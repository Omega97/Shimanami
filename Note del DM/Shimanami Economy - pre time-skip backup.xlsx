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falcone\Il mio Drive\Documents\Shimanami\Note del DM\"/>
    </mc:Choice>
  </mc:AlternateContent>
  <xr:revisionPtr revIDLastSave="0" documentId="13_ncr:1_{EABFA05C-0DC5-4A27-81F2-DD752CE69BB6}" xr6:coauthVersionLast="47" xr6:coauthVersionMax="47" xr10:uidLastSave="{00000000-0000-0000-0000-000000000000}"/>
  <bookViews>
    <workbookView xWindow="-98" yWindow="-98" windowWidth="19396" windowHeight="11475" activeTab="6" xr2:uid="{1F5E2D9F-A52B-4AB0-9D2A-B27616847BC8}"/>
  </bookViews>
  <sheets>
    <sheet name="Nic" sheetId="6" r:id="rId1"/>
    <sheet name="Cris" sheetId="10" r:id="rId2"/>
    <sheet name="Peter" sheetId="17" r:id="rId3"/>
    <sheet name="Zilla" sheetId="7" r:id="rId4"/>
    <sheet name="Vito" sheetId="9" r:id="rId5"/>
    <sheet name="Kleit" sheetId="8" r:id="rId6"/>
    <sheet name="Economia" sheetId="2" r:id="rId7"/>
    <sheet name="Katane" sheetId="14" r:id="rId8"/>
    <sheet name="Cash-flow" sheetId="5" r:id="rId9"/>
    <sheet name="Calendario" sheetId="1" r:id="rId10"/>
    <sheet name="yield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4" i="8" l="1"/>
  <c r="BY24" i="8"/>
  <c r="BX29" i="8"/>
  <c r="BY29" i="8"/>
  <c r="BX30" i="8"/>
  <c r="BY30" i="8"/>
  <c r="BX31" i="8"/>
  <c r="BY31" i="8"/>
  <c r="BX35" i="8"/>
  <c r="BY35" i="8"/>
  <c r="BX40" i="8"/>
  <c r="BY40" i="8"/>
  <c r="BX46" i="8"/>
  <c r="BX52" i="8" s="1"/>
  <c r="BY46" i="8"/>
  <c r="BY52" i="8" s="1"/>
  <c r="BX53" i="8"/>
  <c r="BY53" i="8"/>
  <c r="BX65" i="8"/>
  <c r="BY65" i="8"/>
  <c r="BX66" i="8"/>
  <c r="BY66" i="8"/>
  <c r="BX70" i="8"/>
  <c r="BY70" i="8"/>
  <c r="AS24" i="8"/>
  <c r="AT24" i="8"/>
  <c r="AU24" i="8"/>
  <c r="AV24" i="8"/>
  <c r="AW24" i="8"/>
  <c r="AW69" i="8" s="1"/>
  <c r="AX24" i="8"/>
  <c r="AX69" i="8" s="1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BQ69" i="8" s="1"/>
  <c r="BR24" i="8"/>
  <c r="BR69" i="8" s="1"/>
  <c r="BS24" i="8"/>
  <c r="BT24" i="8"/>
  <c r="BU24" i="8"/>
  <c r="BV24" i="8"/>
  <c r="BW24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BQ29" i="8"/>
  <c r="BR29" i="8"/>
  <c r="BS29" i="8"/>
  <c r="BT29" i="8"/>
  <c r="BU29" i="8"/>
  <c r="BV29" i="8"/>
  <c r="BW29" i="8"/>
  <c r="AS30" i="8"/>
  <c r="AT30" i="8"/>
  <c r="AT52" i="8" s="1"/>
  <c r="AU30" i="8"/>
  <c r="AU52" i="8" s="1"/>
  <c r="AV30" i="8"/>
  <c r="AV52" i="8" s="1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M52" i="8" s="1"/>
  <c r="BN30" i="8"/>
  <c r="BN52" i="8" s="1"/>
  <c r="BO30" i="8"/>
  <c r="BP30" i="8"/>
  <c r="BQ30" i="8"/>
  <c r="BR30" i="8"/>
  <c r="BS30" i="8"/>
  <c r="BT30" i="8"/>
  <c r="BU30" i="8"/>
  <c r="BV30" i="8"/>
  <c r="BW30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BQ31" i="8"/>
  <c r="BR31" i="8"/>
  <c r="BS31" i="8"/>
  <c r="BT31" i="8"/>
  <c r="BU31" i="8"/>
  <c r="BV31" i="8"/>
  <c r="BW31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AS40" i="8"/>
  <c r="AT40" i="8"/>
  <c r="AU40" i="8"/>
  <c r="AV40" i="8"/>
  <c r="AW40" i="8"/>
  <c r="AX40" i="8"/>
  <c r="AY40" i="8"/>
  <c r="AZ40" i="8"/>
  <c r="AZ52" i="8" s="1"/>
  <c r="BA40" i="8"/>
  <c r="BA52" i="8" s="1"/>
  <c r="BB40" i="8"/>
  <c r="BC40" i="8"/>
  <c r="BD40" i="8"/>
  <c r="BE40" i="8"/>
  <c r="BF40" i="8"/>
  <c r="BG40" i="8"/>
  <c r="BH40" i="8"/>
  <c r="BI40" i="8"/>
  <c r="BJ40" i="8"/>
  <c r="BK40" i="8"/>
  <c r="BL40" i="8"/>
  <c r="BM40" i="8"/>
  <c r="BN40" i="8"/>
  <c r="BO40" i="8"/>
  <c r="BP40" i="8"/>
  <c r="BQ40" i="8"/>
  <c r="BQ52" i="8" s="1"/>
  <c r="BR40" i="8"/>
  <c r="BR52" i="8" s="1"/>
  <c r="BS40" i="8"/>
  <c r="BS52" i="8" s="1"/>
  <c r="BT40" i="8"/>
  <c r="BT52" i="8" s="1"/>
  <c r="BU40" i="8"/>
  <c r="BU52" i="8" s="1"/>
  <c r="BV40" i="8"/>
  <c r="BV52" i="8" s="1"/>
  <c r="BW40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BF46" i="8"/>
  <c r="BG46" i="8"/>
  <c r="BH46" i="8"/>
  <c r="BH52" i="8" s="1"/>
  <c r="BI46" i="8"/>
  <c r="BI52" i="8" s="1"/>
  <c r="BJ46" i="8"/>
  <c r="BJ52" i="8" s="1"/>
  <c r="BK46" i="8"/>
  <c r="BK52" i="8" s="1"/>
  <c r="BL46" i="8"/>
  <c r="BL52" i="8" s="1"/>
  <c r="BM46" i="8"/>
  <c r="BN46" i="8"/>
  <c r="BO46" i="8"/>
  <c r="BP46" i="8"/>
  <c r="BQ46" i="8"/>
  <c r="BR46" i="8"/>
  <c r="BS46" i="8"/>
  <c r="BT46" i="8"/>
  <c r="BU46" i="8"/>
  <c r="BV46" i="8"/>
  <c r="BW46" i="8"/>
  <c r="AW52" i="8"/>
  <c r="AX52" i="8"/>
  <c r="AY52" i="8"/>
  <c r="AS53" i="8"/>
  <c r="AT53" i="8"/>
  <c r="AU53" i="8"/>
  <c r="AV53" i="8"/>
  <c r="AW53" i="8"/>
  <c r="AX53" i="8"/>
  <c r="AY53" i="8"/>
  <c r="AZ53" i="8"/>
  <c r="BA53" i="8"/>
  <c r="BB53" i="8"/>
  <c r="BC53" i="8"/>
  <c r="BD53" i="8"/>
  <c r="BE53" i="8" s="1"/>
  <c r="BF53" i="8" s="1"/>
  <c r="BG53" i="8" s="1"/>
  <c r="BH53" i="8" s="1"/>
  <c r="BI53" i="8" s="1"/>
  <c r="BJ53" i="8" s="1"/>
  <c r="BK53" i="8" s="1"/>
  <c r="BL53" i="8" s="1"/>
  <c r="BM53" i="8" s="1"/>
  <c r="BN53" i="8" s="1"/>
  <c r="BO53" i="8" s="1"/>
  <c r="BP53" i="8" s="1"/>
  <c r="BQ53" i="8" s="1"/>
  <c r="BR53" i="8" s="1"/>
  <c r="BS53" i="8" s="1"/>
  <c r="BT53" i="8" s="1"/>
  <c r="BU53" i="8" s="1"/>
  <c r="BV53" i="8"/>
  <c r="BW53" i="8"/>
  <c r="AS65" i="8"/>
  <c r="AS66" i="8" s="1"/>
  <c r="AT65" i="8"/>
  <c r="AT66" i="8" s="1"/>
  <c r="AU65" i="8"/>
  <c r="AU66" i="8" s="1"/>
  <c r="AV65" i="8"/>
  <c r="AV66" i="8" s="1"/>
  <c r="AW65" i="8"/>
  <c r="AW66" i="8" s="1"/>
  <c r="AX65" i="8"/>
  <c r="AX66" i="8" s="1"/>
  <c r="AY65" i="8"/>
  <c r="AY66" i="8" s="1"/>
  <c r="AZ65" i="8"/>
  <c r="AZ66" i="8" s="1"/>
  <c r="BA65" i="8"/>
  <c r="BB65" i="8"/>
  <c r="BC65" i="8"/>
  <c r="BD65" i="8"/>
  <c r="BE65" i="8"/>
  <c r="BF65" i="8"/>
  <c r="BG65" i="8"/>
  <c r="BH65" i="8"/>
  <c r="BH66" i="8" s="1"/>
  <c r="BI65" i="8"/>
  <c r="BI66" i="8" s="1"/>
  <c r="BJ65" i="8"/>
  <c r="BJ66" i="8" s="1"/>
  <c r="BK65" i="8"/>
  <c r="BK66" i="8" s="1"/>
  <c r="BL65" i="8"/>
  <c r="BL66" i="8" s="1"/>
  <c r="BM65" i="8"/>
  <c r="BM66" i="8" s="1"/>
  <c r="BN65" i="8"/>
  <c r="BN66" i="8" s="1"/>
  <c r="BO65" i="8"/>
  <c r="BO66" i="8" s="1"/>
  <c r="BP65" i="8"/>
  <c r="BP66" i="8" s="1"/>
  <c r="BQ65" i="8"/>
  <c r="BR65" i="8"/>
  <c r="BS65" i="8"/>
  <c r="BT65" i="8"/>
  <c r="BU65" i="8"/>
  <c r="BV65" i="8"/>
  <c r="BW65" i="8"/>
  <c r="BA66" i="8"/>
  <c r="BB66" i="8"/>
  <c r="BC66" i="8"/>
  <c r="BD66" i="8"/>
  <c r="BE66" i="8"/>
  <c r="BF66" i="8"/>
  <c r="BG66" i="8"/>
  <c r="BQ66" i="8"/>
  <c r="BR66" i="8"/>
  <c r="BS66" i="8"/>
  <c r="BT66" i="8"/>
  <c r="BU66" i="8"/>
  <c r="BV66" i="8"/>
  <c r="BW66" i="8"/>
  <c r="BH69" i="8"/>
  <c r="BI69" i="8"/>
  <c r="BJ69" i="8"/>
  <c r="AS70" i="8"/>
  <c r="AT70" i="8"/>
  <c r="AU70" i="8"/>
  <c r="AV70" i="8"/>
  <c r="AW70" i="8"/>
  <c r="AX70" i="8"/>
  <c r="AY70" i="8"/>
  <c r="AZ70" i="8"/>
  <c r="BA70" i="8"/>
  <c r="BB70" i="8"/>
  <c r="BC70" i="8"/>
  <c r="BD70" i="8"/>
  <c r="BE70" i="8"/>
  <c r="BF70" i="8"/>
  <c r="BG70" i="8"/>
  <c r="BH70" i="8"/>
  <c r="BI70" i="8"/>
  <c r="BJ70" i="8"/>
  <c r="BK70" i="8"/>
  <c r="BL70" i="8"/>
  <c r="BM70" i="8"/>
  <c r="BN70" i="8"/>
  <c r="BO70" i="8"/>
  <c r="BP70" i="8"/>
  <c r="BQ70" i="8"/>
  <c r="BR70" i="8"/>
  <c r="BS70" i="8"/>
  <c r="BT70" i="8"/>
  <c r="BU70" i="8"/>
  <c r="BV70" i="8"/>
  <c r="BW70" i="8"/>
  <c r="AL46" i="8"/>
  <c r="AM46" i="8"/>
  <c r="AN46" i="8"/>
  <c r="AO46" i="8"/>
  <c r="AP46" i="8"/>
  <c r="AQ46" i="8"/>
  <c r="AR46" i="8"/>
  <c r="AR69" i="8" s="1"/>
  <c r="BX18" i="9"/>
  <c r="BX8" i="9" s="1"/>
  <c r="BY18" i="9"/>
  <c r="BX22" i="9"/>
  <c r="BY22" i="9"/>
  <c r="AT8" i="9"/>
  <c r="AU8" i="9"/>
  <c r="AV8" i="9"/>
  <c r="AW8" i="9"/>
  <c r="AX8" i="9"/>
  <c r="AY8" i="9" s="1"/>
  <c r="AS18" i="9"/>
  <c r="AS8" i="9" s="1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 s="1"/>
  <c r="BH22" i="9" s="1"/>
  <c r="BI22" i="9" s="1"/>
  <c r="BJ22" i="9" s="1"/>
  <c r="BK22" i="9" s="1"/>
  <c r="BL22" i="9" s="1"/>
  <c r="BM22" i="9" s="1"/>
  <c r="BN22" i="9" s="1"/>
  <c r="BO22" i="9" s="1"/>
  <c r="BP22" i="9" s="1"/>
  <c r="BQ22" i="9" s="1"/>
  <c r="BR22" i="9" s="1"/>
  <c r="BS22" i="9" s="1"/>
  <c r="BT22" i="9" s="1"/>
  <c r="BU22" i="9" s="1"/>
  <c r="BV22" i="9" s="1"/>
  <c r="BW22" i="9" s="1"/>
  <c r="BX18" i="7"/>
  <c r="BX38" i="7" s="1"/>
  <c r="BY18" i="7"/>
  <c r="BY38" i="7" s="1"/>
  <c r="BZ18" i="7"/>
  <c r="BZ38" i="7" s="1"/>
  <c r="CA18" i="7"/>
  <c r="CA38" i="7" s="1"/>
  <c r="BX19" i="7"/>
  <c r="BY19" i="7"/>
  <c r="BZ19" i="7"/>
  <c r="CA19" i="7"/>
  <c r="BX21" i="7"/>
  <c r="BY21" i="7"/>
  <c r="BZ21" i="7"/>
  <c r="CA21" i="7"/>
  <c r="BX25" i="7"/>
  <c r="BY25" i="7"/>
  <c r="BZ25" i="7"/>
  <c r="CA25" i="7"/>
  <c r="BX27" i="7"/>
  <c r="BY27" i="7"/>
  <c r="BZ27" i="7"/>
  <c r="CA27" i="7"/>
  <c r="BX31" i="7"/>
  <c r="BY31" i="7"/>
  <c r="BZ31" i="7"/>
  <c r="CA31" i="7"/>
  <c r="BX33" i="7"/>
  <c r="BY33" i="7"/>
  <c r="BZ33" i="7"/>
  <c r="CA33" i="7"/>
  <c r="BX39" i="7"/>
  <c r="BY39" i="7"/>
  <c r="BZ39" i="7"/>
  <c r="CA39" i="7"/>
  <c r="BX45" i="7"/>
  <c r="BY45" i="7"/>
  <c r="BZ45" i="7"/>
  <c r="CA45" i="7"/>
  <c r="BX46" i="7"/>
  <c r="BY46" i="7"/>
  <c r="BZ46" i="7"/>
  <c r="CA46" i="7"/>
  <c r="BX47" i="7"/>
  <c r="BY47" i="7"/>
  <c r="BZ47" i="7"/>
  <c r="CA47" i="7"/>
  <c r="BX50" i="7"/>
  <c r="BY50" i="7"/>
  <c r="BZ50" i="7"/>
  <c r="CA50" i="7"/>
  <c r="AU18" i="7"/>
  <c r="AV18" i="7"/>
  <c r="AW18" i="7"/>
  <c r="AX18" i="7"/>
  <c r="AY18" i="7"/>
  <c r="AZ18" i="7"/>
  <c r="BA18" i="7"/>
  <c r="BB18" i="7"/>
  <c r="BC18" i="7"/>
  <c r="BD18" i="7"/>
  <c r="BE18" i="7"/>
  <c r="BE38" i="7" s="1"/>
  <c r="BF18" i="7"/>
  <c r="BF38" i="7" s="1"/>
  <c r="BG18" i="7"/>
  <c r="BG38" i="7" s="1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AU25" i="7"/>
  <c r="AU38" i="7" s="1"/>
  <c r="AV25" i="7"/>
  <c r="AV38" i="7" s="1"/>
  <c r="AW25" i="7"/>
  <c r="AW38" i="7" s="1"/>
  <c r="AX25" i="7"/>
  <c r="AX38" i="7" s="1"/>
  <c r="AY25" i="7"/>
  <c r="AY38" i="7" s="1"/>
  <c r="AZ25" i="7"/>
  <c r="AZ38" i="7" s="1"/>
  <c r="BA25" i="7"/>
  <c r="BB25" i="7"/>
  <c r="BC25" i="7"/>
  <c r="BD25" i="7"/>
  <c r="BE25" i="7"/>
  <c r="BF25" i="7"/>
  <c r="BG25" i="7"/>
  <c r="BH25" i="7"/>
  <c r="BH38" i="7" s="1"/>
  <c r="BH54" i="7" s="1"/>
  <c r="BI25" i="7"/>
  <c r="BI38" i="7" s="1"/>
  <c r="BI54" i="7" s="1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C38" i="7"/>
  <c r="BC54" i="7" s="1"/>
  <c r="BD38" i="7"/>
  <c r="BD54" i="7" s="1"/>
  <c r="BO38" i="7"/>
  <c r="BP38" i="7"/>
  <c r="BQ38" i="7"/>
  <c r="BR38" i="7"/>
  <c r="BS38" i="7"/>
  <c r="BT38" i="7"/>
  <c r="BU38" i="7"/>
  <c r="BU54" i="7" s="1"/>
  <c r="BV38" i="7"/>
  <c r="BV54" i="7" s="1"/>
  <c r="BW38" i="7"/>
  <c r="BW54" i="7" s="1"/>
  <c r="AU39" i="7"/>
  <c r="AV39" i="7"/>
  <c r="AW39" i="7"/>
  <c r="AX39" i="7"/>
  <c r="AY39" i="7"/>
  <c r="AZ39" i="7"/>
  <c r="BA39" i="7"/>
  <c r="BB39" i="7"/>
  <c r="BC39" i="7"/>
  <c r="BD39" i="7"/>
  <c r="BE39" i="7"/>
  <c r="BF39" i="7"/>
  <c r="BF54" i="7" s="1"/>
  <c r="BG39" i="7"/>
  <c r="BG54" i="7" s="1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AU45" i="7"/>
  <c r="AV45" i="7"/>
  <c r="AW45" i="7"/>
  <c r="AX45" i="7"/>
  <c r="AY45" i="7"/>
  <c r="AZ45" i="7"/>
  <c r="BA45" i="7"/>
  <c r="BB45" i="7"/>
  <c r="BC45" i="7"/>
  <c r="BD45" i="7"/>
  <c r="BE45" i="7"/>
  <c r="BE54" i="7" s="1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BV47" i="7"/>
  <c r="BW47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AL21" i="17"/>
  <c r="AM21" i="17"/>
  <c r="AN21" i="17"/>
  <c r="AO21" i="17"/>
  <c r="AP21" i="17"/>
  <c r="AQ21" i="17"/>
  <c r="AR21" i="17"/>
  <c r="AS21" i="17"/>
  <c r="AS30" i="17" s="1"/>
  <c r="AT21" i="17"/>
  <c r="AT30" i="17" s="1"/>
  <c r="AU21" i="17"/>
  <c r="AV21" i="17"/>
  <c r="AW21" i="17"/>
  <c r="AX21" i="17"/>
  <c r="AY21" i="17"/>
  <c r="AY39" i="17" s="1"/>
  <c r="AZ21" i="17"/>
  <c r="AZ39" i="17" s="1"/>
  <c r="BA21" i="17"/>
  <c r="BB21" i="17"/>
  <c r="BC21" i="17"/>
  <c r="BD21" i="17"/>
  <c r="BE21" i="17"/>
  <c r="BF21" i="17"/>
  <c r="BG21" i="17"/>
  <c r="BH21" i="17"/>
  <c r="BI21" i="17"/>
  <c r="BJ21" i="17"/>
  <c r="BK21" i="17"/>
  <c r="BL21" i="17"/>
  <c r="BL30" i="17" s="1"/>
  <c r="BM21" i="17"/>
  <c r="BM30" i="17" s="1"/>
  <c r="BN21" i="17"/>
  <c r="BO21" i="17"/>
  <c r="BP21" i="17"/>
  <c r="BQ21" i="17"/>
  <c r="BR21" i="17"/>
  <c r="BS21" i="17"/>
  <c r="BT21" i="17"/>
  <c r="BT39" i="17" s="1"/>
  <c r="BU21" i="17"/>
  <c r="BU30" i="17" s="1"/>
  <c r="BV21" i="17"/>
  <c r="BW21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BF22" i="17"/>
  <c r="BG22" i="17"/>
  <c r="BH22" i="17"/>
  <c r="BI22" i="17"/>
  <c r="BJ22" i="17"/>
  <c r="BK22" i="17"/>
  <c r="BL22" i="17"/>
  <c r="BM22" i="17"/>
  <c r="BN22" i="17"/>
  <c r="BO22" i="17"/>
  <c r="BP22" i="17"/>
  <c r="BQ22" i="17"/>
  <c r="BR22" i="17"/>
  <c r="BS22" i="17"/>
  <c r="BT22" i="17"/>
  <c r="BU22" i="17"/>
  <c r="BV22" i="17"/>
  <c r="BW22" i="17"/>
  <c r="AL25" i="17"/>
  <c r="AM25" i="17"/>
  <c r="AN25" i="17"/>
  <c r="AO25" i="17"/>
  <c r="AP25" i="17"/>
  <c r="AQ25" i="17"/>
  <c r="AR25" i="17"/>
  <c r="AS25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BF25" i="17"/>
  <c r="BG25" i="17"/>
  <c r="BH25" i="17"/>
  <c r="BI25" i="17"/>
  <c r="BJ25" i="17"/>
  <c r="BK25" i="17"/>
  <c r="BL25" i="17"/>
  <c r="BM25" i="17"/>
  <c r="BN25" i="17"/>
  <c r="BO25" i="17"/>
  <c r="BP25" i="17"/>
  <c r="BQ25" i="17"/>
  <c r="BR25" i="17"/>
  <c r="BS25" i="17"/>
  <c r="BT25" i="17"/>
  <c r="BU25" i="17"/>
  <c r="BV25" i="17"/>
  <c r="BW25" i="17"/>
  <c r="AL26" i="17"/>
  <c r="AM26" i="17"/>
  <c r="AN26" i="17"/>
  <c r="AO26" i="17"/>
  <c r="AP26" i="17"/>
  <c r="AQ26" i="17"/>
  <c r="AR26" i="17"/>
  <c r="AS26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BF26" i="17"/>
  <c r="BG26" i="17"/>
  <c r="BH26" i="17"/>
  <c r="BI26" i="17"/>
  <c r="BJ26" i="17"/>
  <c r="BK26" i="17"/>
  <c r="BL26" i="17"/>
  <c r="BM26" i="17"/>
  <c r="BN26" i="17"/>
  <c r="BO26" i="17"/>
  <c r="BP26" i="17"/>
  <c r="BQ26" i="17"/>
  <c r="BR26" i="17"/>
  <c r="BS26" i="17"/>
  <c r="BT26" i="17"/>
  <c r="BU26" i="17"/>
  <c r="BV26" i="17"/>
  <c r="BW26" i="17"/>
  <c r="AQ11" i="17"/>
  <c r="AQ30" i="17" s="1"/>
  <c r="AR11" i="17"/>
  <c r="AS11" i="17"/>
  <c r="AT11" i="17"/>
  <c r="AU11" i="17"/>
  <c r="AU30" i="17" s="1"/>
  <c r="AV11" i="17"/>
  <c r="AV30" i="17" s="1"/>
  <c r="AW11" i="17"/>
  <c r="AW30" i="17" s="1"/>
  <c r="AX11" i="17"/>
  <c r="AX30" i="17" s="1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BM11" i="17"/>
  <c r="BN11" i="17"/>
  <c r="BO11" i="17"/>
  <c r="BO30" i="17" s="1"/>
  <c r="BP11" i="17"/>
  <c r="BP30" i="17" s="1"/>
  <c r="BQ11" i="17"/>
  <c r="BQ30" i="17" s="1"/>
  <c r="BR11" i="17"/>
  <c r="BR30" i="17" s="1"/>
  <c r="BS11" i="17"/>
  <c r="BT11" i="17"/>
  <c r="BU11" i="17"/>
  <c r="BV11" i="17"/>
  <c r="BW11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BM12" i="17"/>
  <c r="BN12" i="17"/>
  <c r="BO12" i="17"/>
  <c r="BP12" i="17"/>
  <c r="BQ12" i="17"/>
  <c r="BR12" i="17"/>
  <c r="BS12" i="17"/>
  <c r="BT12" i="17"/>
  <c r="BU12" i="17"/>
  <c r="BV12" i="17"/>
  <c r="BW12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BH14" i="17"/>
  <c r="BI14" i="17"/>
  <c r="BJ14" i="17"/>
  <c r="BK14" i="17"/>
  <c r="BL14" i="17"/>
  <c r="BM14" i="17"/>
  <c r="BN14" i="17"/>
  <c r="BO14" i="17"/>
  <c r="BP14" i="17"/>
  <c r="BQ14" i="17"/>
  <c r="BR14" i="17"/>
  <c r="BS14" i="17"/>
  <c r="BT14" i="17"/>
  <c r="BU14" i="17"/>
  <c r="BV14" i="17"/>
  <c r="BW14" i="17"/>
  <c r="AQ17" i="17"/>
  <c r="AR17" i="17"/>
  <c r="AR30" i="17" s="1"/>
  <c r="AS17" i="17"/>
  <c r="AT17" i="17"/>
  <c r="AU17" i="17"/>
  <c r="AV17" i="17"/>
  <c r="AW17" i="17"/>
  <c r="AX17" i="17"/>
  <c r="AY17" i="17"/>
  <c r="AY30" i="17" s="1"/>
  <c r="AZ17" i="17"/>
  <c r="BA17" i="17"/>
  <c r="BB17" i="17"/>
  <c r="BC17" i="17"/>
  <c r="BD17" i="17"/>
  <c r="BE17" i="17"/>
  <c r="BF17" i="17"/>
  <c r="BG17" i="17"/>
  <c r="BH17" i="17"/>
  <c r="BI17" i="17"/>
  <c r="BJ17" i="17"/>
  <c r="BK17" i="17"/>
  <c r="BL17" i="17"/>
  <c r="BM17" i="17"/>
  <c r="BN17" i="17"/>
  <c r="BO17" i="17"/>
  <c r="BP17" i="17"/>
  <c r="BQ17" i="17"/>
  <c r="BR17" i="17"/>
  <c r="BS17" i="17"/>
  <c r="BS30" i="17" s="1"/>
  <c r="BT17" i="17"/>
  <c r="BU17" i="17"/>
  <c r="BV17" i="17"/>
  <c r="BW17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AZ30" i="17"/>
  <c r="BA30" i="17"/>
  <c r="BA39" i="17" s="1"/>
  <c r="BT30" i="17"/>
  <c r="BK30" i="17"/>
  <c r="BN30" i="17"/>
  <c r="AQ34" i="17"/>
  <c r="AR34" i="17"/>
  <c r="AS34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BF34" i="17"/>
  <c r="BG34" i="17"/>
  <c r="BH34" i="17"/>
  <c r="BI34" i="17"/>
  <c r="BJ34" i="17"/>
  <c r="BK34" i="17"/>
  <c r="BL34" i="17"/>
  <c r="BM34" i="17"/>
  <c r="BN34" i="17"/>
  <c r="BO34" i="17"/>
  <c r="BP34" i="17"/>
  <c r="BQ34" i="17"/>
  <c r="BR34" i="17"/>
  <c r="BS34" i="17"/>
  <c r="BT34" i="17"/>
  <c r="BU34" i="17"/>
  <c r="BV34" i="17"/>
  <c r="BW34" i="17"/>
  <c r="AQ35" i="17"/>
  <c r="AR35" i="17"/>
  <c r="AS35" i="17"/>
  <c r="AT35" i="17"/>
  <c r="AU35" i="17"/>
  <c r="AV35" i="17"/>
  <c r="AW35" i="17"/>
  <c r="AX35" i="17"/>
  <c r="AY35" i="17"/>
  <c r="AZ35" i="17"/>
  <c r="BA35" i="17"/>
  <c r="BB35" i="17"/>
  <c r="BC35" i="17"/>
  <c r="BD35" i="17"/>
  <c r="BE35" i="17"/>
  <c r="BF35" i="17"/>
  <c r="BG35" i="17"/>
  <c r="BH35" i="17"/>
  <c r="BI35" i="17"/>
  <c r="BJ35" i="17"/>
  <c r="BK35" i="17"/>
  <c r="BL35" i="17"/>
  <c r="BM35" i="17"/>
  <c r="BN35" i="17"/>
  <c r="BO35" i="17"/>
  <c r="BP35" i="17"/>
  <c r="BQ35" i="17"/>
  <c r="BR35" i="17"/>
  <c r="BS35" i="17"/>
  <c r="BT35" i="17"/>
  <c r="BU35" i="17"/>
  <c r="BV35" i="17"/>
  <c r="BW35" i="17"/>
  <c r="AQ36" i="17"/>
  <c r="AR36" i="17"/>
  <c r="AS36" i="17"/>
  <c r="AT36" i="17"/>
  <c r="AU36" i="17"/>
  <c r="AV36" i="17"/>
  <c r="AW36" i="17"/>
  <c r="AX36" i="17"/>
  <c r="AY36" i="17"/>
  <c r="AZ36" i="17"/>
  <c r="BA36" i="17"/>
  <c r="BB36" i="17"/>
  <c r="BC36" i="17"/>
  <c r="BD36" i="17"/>
  <c r="BE36" i="17"/>
  <c r="BF36" i="17"/>
  <c r="BG36" i="17"/>
  <c r="BH36" i="17"/>
  <c r="BI36" i="17"/>
  <c r="BJ36" i="17"/>
  <c r="BK36" i="17"/>
  <c r="BL36" i="17"/>
  <c r="BM36" i="17"/>
  <c r="BN36" i="17"/>
  <c r="BO36" i="17"/>
  <c r="BP36" i="17"/>
  <c r="BQ36" i="17"/>
  <c r="BR36" i="17"/>
  <c r="BS36" i="17"/>
  <c r="BT36" i="17"/>
  <c r="BU36" i="17"/>
  <c r="BV36" i="17"/>
  <c r="BW36" i="17"/>
  <c r="BR9" i="10"/>
  <c r="BR26" i="10" s="1"/>
  <c r="BR7" i="10" s="1"/>
  <c r="BS9" i="10"/>
  <c r="BT9" i="10" s="1"/>
  <c r="BR15" i="10"/>
  <c r="BS15" i="10"/>
  <c r="BT15" i="10"/>
  <c r="BU15" i="10"/>
  <c r="BV15" i="10"/>
  <c r="BW15" i="10"/>
  <c r="AQ9" i="10"/>
  <c r="AR9" i="10"/>
  <c r="AS9" i="10"/>
  <c r="AT9" i="10"/>
  <c r="AU9" i="10"/>
  <c r="AV9" i="10" s="1"/>
  <c r="AQ15" i="10"/>
  <c r="AQ7" i="10" s="1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BQ15" i="10"/>
  <c r="AQ26" i="10"/>
  <c r="AR26" i="10"/>
  <c r="AS26" i="10"/>
  <c r="AT26" i="10"/>
  <c r="AU26" i="10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V1" i="2"/>
  <c r="BW1" i="2"/>
  <c r="BX1" i="2"/>
  <c r="BV2" i="2"/>
  <c r="BW2" i="2"/>
  <c r="BX2" i="2"/>
  <c r="BV3" i="2"/>
  <c r="BW3" i="2"/>
  <c r="BX3" i="2"/>
  <c r="BV4" i="2"/>
  <c r="BW4" i="2"/>
  <c r="BX4" i="2"/>
  <c r="BV5" i="2"/>
  <c r="BW5" i="2"/>
  <c r="BX5" i="2"/>
  <c r="BW6" i="2"/>
  <c r="BX6" i="2"/>
  <c r="BV7" i="2"/>
  <c r="BW7" i="2"/>
  <c r="BX7" i="2"/>
  <c r="BR1" i="2"/>
  <c r="BS1" i="2"/>
  <c r="BT1" i="2"/>
  <c r="BU1" i="2"/>
  <c r="BM1" i="2"/>
  <c r="BN1" i="2"/>
  <c r="BO1" i="2"/>
  <c r="BP1" i="2"/>
  <c r="BQ1" i="2"/>
  <c r="BG1" i="2"/>
  <c r="BH1" i="2"/>
  <c r="BI1" i="2"/>
  <c r="BJ1" i="2"/>
  <c r="BK1" i="2"/>
  <c r="BL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AQ7" i="6"/>
  <c r="AR7" i="6"/>
  <c r="AS7" i="6"/>
  <c r="AT7" i="6"/>
  <c r="AU7" i="6"/>
  <c r="AV7" i="6"/>
  <c r="AW7" i="6"/>
  <c r="AQ14" i="6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AP24" i="6"/>
  <c r="AR24" i="8"/>
  <c r="AR29" i="8"/>
  <c r="AR30" i="8"/>
  <c r="AR31" i="8"/>
  <c r="AR35" i="8"/>
  <c r="AR40" i="8"/>
  <c r="AR52" i="8"/>
  <c r="AR53" i="8"/>
  <c r="AR65" i="8"/>
  <c r="AR66" i="8"/>
  <c r="AR70" i="8"/>
  <c r="AP24" i="8"/>
  <c r="AQ24" i="8"/>
  <c r="AP29" i="8"/>
  <c r="AQ29" i="8"/>
  <c r="AP30" i="8"/>
  <c r="AQ30" i="8"/>
  <c r="AP31" i="8"/>
  <c r="AQ31" i="8"/>
  <c r="AP35" i="8"/>
  <c r="AQ35" i="8"/>
  <c r="AP40" i="8"/>
  <c r="AQ40" i="8"/>
  <c r="AP52" i="8"/>
  <c r="AQ52" i="8"/>
  <c r="AP53" i="8"/>
  <c r="AQ53" i="8"/>
  <c r="AP65" i="8"/>
  <c r="AQ65" i="8"/>
  <c r="AP70" i="8"/>
  <c r="AQ70" i="8"/>
  <c r="AT18" i="7"/>
  <c r="AT19" i="7"/>
  <c r="AT21" i="7"/>
  <c r="AT25" i="7"/>
  <c r="AT27" i="7"/>
  <c r="AT31" i="7"/>
  <c r="AT33" i="7"/>
  <c r="AT39" i="7"/>
  <c r="AT45" i="7"/>
  <c r="AT46" i="7"/>
  <c r="AT47" i="7"/>
  <c r="AT50" i="7"/>
  <c r="AR18" i="7"/>
  <c r="AS18" i="7"/>
  <c r="AR19" i="7"/>
  <c r="AS19" i="7"/>
  <c r="AR21" i="7"/>
  <c r="AS21" i="7"/>
  <c r="AR25" i="7"/>
  <c r="AS25" i="7"/>
  <c r="AR27" i="7"/>
  <c r="AS27" i="7"/>
  <c r="AR31" i="7"/>
  <c r="AS31" i="7"/>
  <c r="AR33" i="7"/>
  <c r="AS33" i="7"/>
  <c r="AR39" i="7"/>
  <c r="AS39" i="7"/>
  <c r="AR45" i="7"/>
  <c r="AS45" i="7"/>
  <c r="AR46" i="7"/>
  <c r="AS46" i="7"/>
  <c r="AR47" i="7"/>
  <c r="AS47" i="7"/>
  <c r="AR50" i="7"/>
  <c r="AS50" i="7"/>
  <c r="AO11" i="17"/>
  <c r="AO30" i="17" s="1"/>
  <c r="AP11" i="17"/>
  <c r="AP30" i="17" s="1"/>
  <c r="AO12" i="17"/>
  <c r="AP12" i="17"/>
  <c r="AO14" i="17"/>
  <c r="AP14" i="17"/>
  <c r="AO17" i="17"/>
  <c r="AP17" i="17"/>
  <c r="AO18" i="17"/>
  <c r="AP18" i="17"/>
  <c r="AO34" i="17"/>
  <c r="AP34" i="17"/>
  <c r="AO35" i="17"/>
  <c r="AP35" i="17"/>
  <c r="AO36" i="17"/>
  <c r="AP36" i="17"/>
  <c r="AN15" i="10"/>
  <c r="AO15" i="10"/>
  <c r="AP15" i="10"/>
  <c r="AN14" i="6"/>
  <c r="AO14" i="6"/>
  <c r="AP14" i="6"/>
  <c r="AN15" i="6"/>
  <c r="AO15" i="6"/>
  <c r="AP15" i="6"/>
  <c r="AN16" i="6"/>
  <c r="AO16" i="6"/>
  <c r="AP16" i="6"/>
  <c r="AN19" i="6"/>
  <c r="AO19" i="6" s="1"/>
  <c r="AP19" i="6" s="1"/>
  <c r="AN24" i="6"/>
  <c r="AO24" i="6"/>
  <c r="AN27" i="6"/>
  <c r="AN37" i="6"/>
  <c r="AN7" i="6" s="1"/>
  <c r="AO37" i="6"/>
  <c r="AP37" i="6"/>
  <c r="AL1" i="2"/>
  <c r="AM1" i="2"/>
  <c r="AN1" i="2" s="1"/>
  <c r="AL6" i="2"/>
  <c r="AM6" i="2"/>
  <c r="AN6" i="2"/>
  <c r="AI1" i="2"/>
  <c r="AJ1" i="2"/>
  <c r="AK1" i="2" s="1"/>
  <c r="AI2" i="2"/>
  <c r="AJ2" i="2"/>
  <c r="AK2" i="2"/>
  <c r="AI6" i="2"/>
  <c r="AJ6" i="2"/>
  <c r="AK6" i="2"/>
  <c r="AK22" i="9"/>
  <c r="AL22" i="9" s="1"/>
  <c r="AM22" i="9" s="1"/>
  <c r="AN22" i="9" s="1"/>
  <c r="AO22" i="9" s="1"/>
  <c r="AP22" i="9" s="1"/>
  <c r="AQ22" i="9" s="1"/>
  <c r="AR22" i="9" s="1"/>
  <c r="AJ22" i="9"/>
  <c r="AP18" i="9"/>
  <c r="AQ18" i="9"/>
  <c r="AR18" i="9"/>
  <c r="AM36" i="9"/>
  <c r="AY35" i="9"/>
  <c r="AO18" i="7"/>
  <c r="AP18" i="7"/>
  <c r="AQ18" i="7"/>
  <c r="AO19" i="7"/>
  <c r="AP19" i="7"/>
  <c r="AQ19" i="7"/>
  <c r="AQ38" i="7" s="1"/>
  <c r="AO21" i="7"/>
  <c r="AP21" i="7"/>
  <c r="AQ21" i="7"/>
  <c r="AO25" i="7"/>
  <c r="AP25" i="7"/>
  <c r="AQ25" i="7"/>
  <c r="AO27" i="7"/>
  <c r="AP27" i="7"/>
  <c r="AQ27" i="7"/>
  <c r="AO31" i="7"/>
  <c r="AP31" i="7"/>
  <c r="AQ31" i="7"/>
  <c r="AO33" i="7"/>
  <c r="AP33" i="7"/>
  <c r="AQ33" i="7"/>
  <c r="AO39" i="7"/>
  <c r="AP39" i="7"/>
  <c r="AQ39" i="7"/>
  <c r="AO45" i="7"/>
  <c r="AP45" i="7"/>
  <c r="AQ45" i="7"/>
  <c r="AO46" i="7"/>
  <c r="AP46" i="7"/>
  <c r="AQ46" i="7"/>
  <c r="AO47" i="7"/>
  <c r="AP47" i="7"/>
  <c r="AQ47" i="7"/>
  <c r="AO50" i="7"/>
  <c r="AP50" i="7"/>
  <c r="AQ50" i="7"/>
  <c r="AM18" i="9"/>
  <c r="AN18" i="9"/>
  <c r="AO18" i="9"/>
  <c r="AN11" i="17"/>
  <c r="AN12" i="17"/>
  <c r="AN14" i="17"/>
  <c r="AN17" i="17"/>
  <c r="AN30" i="17" s="1"/>
  <c r="AN18" i="17"/>
  <c r="AN34" i="17"/>
  <c r="AN35" i="17"/>
  <c r="AN36" i="17"/>
  <c r="AK11" i="17"/>
  <c r="AL11" i="17"/>
  <c r="AM11" i="17"/>
  <c r="AK12" i="17"/>
  <c r="AL12" i="17"/>
  <c r="AM12" i="17"/>
  <c r="AK14" i="17"/>
  <c r="AL14" i="17"/>
  <c r="AM14" i="17"/>
  <c r="AK17" i="17"/>
  <c r="AL17" i="17"/>
  <c r="AM17" i="17"/>
  <c r="AK18" i="17"/>
  <c r="AL18" i="17"/>
  <c r="AM18" i="17"/>
  <c r="AK21" i="17"/>
  <c r="AK22" i="17"/>
  <c r="AK25" i="17"/>
  <c r="AK26" i="17"/>
  <c r="AK34" i="17"/>
  <c r="AL34" i="17"/>
  <c r="AM34" i="17"/>
  <c r="AK35" i="17"/>
  <c r="AL35" i="17"/>
  <c r="AM35" i="17"/>
  <c r="AK36" i="17"/>
  <c r="AL36" i="17"/>
  <c r="AM36" i="17"/>
  <c r="A29" i="10" a="1"/>
  <c r="A29" i="10" s="1"/>
  <c r="AK42" i="6"/>
  <c r="AK18" i="6"/>
  <c r="Z19" i="6"/>
  <c r="AA19" i="6"/>
  <c r="AB19" i="6"/>
  <c r="AC19" i="6"/>
  <c r="AD19" i="6"/>
  <c r="AE19" i="6"/>
  <c r="AF19" i="6"/>
  <c r="AG19" i="6"/>
  <c r="AH19" i="6"/>
  <c r="AI19" i="6"/>
  <c r="AJ19" i="6"/>
  <c r="Y19" i="6"/>
  <c r="AK5" i="6"/>
  <c r="AM27" i="6"/>
  <c r="AL27" i="6"/>
  <c r="AK27" i="6"/>
  <c r="A42" i="6" a="1"/>
  <c r="A42" i="6" s="1"/>
  <c r="A42" i="17" a="1"/>
  <c r="A42" i="17" s="1"/>
  <c r="O17" i="2"/>
  <c r="AL37" i="6"/>
  <c r="AM37" i="6"/>
  <c r="AK37" i="6"/>
  <c r="AK16" i="6"/>
  <c r="AL16" i="6"/>
  <c r="AM16" i="6"/>
  <c r="AK24" i="6"/>
  <c r="AL24" i="6"/>
  <c r="AM24" i="6"/>
  <c r="AK10" i="6"/>
  <c r="AL10" i="6"/>
  <c r="AM10" i="6"/>
  <c r="AE22" i="9"/>
  <c r="AF22" i="9"/>
  <c r="AG22" i="9"/>
  <c r="AH22" i="9"/>
  <c r="AI22" i="9"/>
  <c r="AD22" i="9"/>
  <c r="AL5" i="7"/>
  <c r="AK15" i="10"/>
  <c r="AL15" i="10"/>
  <c r="AM15" i="10"/>
  <c r="AH77" i="8"/>
  <c r="AI77" i="8"/>
  <c r="AJ77" i="8"/>
  <c r="AK77" i="8"/>
  <c r="AL77" i="8"/>
  <c r="AG77" i="8"/>
  <c r="AH65" i="8"/>
  <c r="AI65" i="8"/>
  <c r="AJ65" i="8"/>
  <c r="AK65" i="8"/>
  <c r="AL65" i="8"/>
  <c r="AM65" i="8"/>
  <c r="AN65" i="8"/>
  <c r="AO65" i="8"/>
  <c r="AH66" i="8"/>
  <c r="AI66" i="8"/>
  <c r="AJ66" i="8"/>
  <c r="AK66" i="8"/>
  <c r="AL66" i="8"/>
  <c r="AM66" i="8"/>
  <c r="AN66" i="8"/>
  <c r="AO66" i="8"/>
  <c r="AG66" i="8"/>
  <c r="AG65" i="8"/>
  <c r="AG70" i="8"/>
  <c r="AH70" i="8"/>
  <c r="AI70" i="8"/>
  <c r="AH18" i="6"/>
  <c r="Z15" i="6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Z16" i="6"/>
  <c r="AA16" i="6"/>
  <c r="AB16" i="6"/>
  <c r="AC16" i="6"/>
  <c r="AD16" i="6"/>
  <c r="AE16" i="6"/>
  <c r="AF16" i="6"/>
  <c r="AG16" i="6"/>
  <c r="AH16" i="6"/>
  <c r="AI16" i="6"/>
  <c r="AJ16" i="6"/>
  <c r="Y16" i="6"/>
  <c r="AH24" i="6"/>
  <c r="AI24" i="6"/>
  <c r="AJ24" i="6"/>
  <c r="AH10" i="6"/>
  <c r="AI10" i="6"/>
  <c r="AJ10" i="6"/>
  <c r="AL18" i="9"/>
  <c r="AJ18" i="9"/>
  <c r="AK18" i="9"/>
  <c r="AL18" i="7"/>
  <c r="AM18" i="7"/>
  <c r="AN18" i="7"/>
  <c r="AL19" i="7"/>
  <c r="AM19" i="7"/>
  <c r="AN19" i="7"/>
  <c r="AL21" i="7"/>
  <c r="AM21" i="7"/>
  <c r="AN21" i="7"/>
  <c r="AL25" i="7"/>
  <c r="AM25" i="7"/>
  <c r="AN25" i="7"/>
  <c r="AL27" i="7"/>
  <c r="AM27" i="7"/>
  <c r="AN27" i="7"/>
  <c r="AL31" i="7"/>
  <c r="AM31" i="7"/>
  <c r="AN31" i="7"/>
  <c r="AL33" i="7"/>
  <c r="AM33" i="7"/>
  <c r="AN33" i="7"/>
  <c r="AL39" i="7"/>
  <c r="AM39" i="7"/>
  <c r="AN39" i="7"/>
  <c r="AL45" i="7"/>
  <c r="AM45" i="7"/>
  <c r="AN45" i="7"/>
  <c r="AL46" i="7"/>
  <c r="AM46" i="7"/>
  <c r="AN46" i="7"/>
  <c r="AL47" i="7"/>
  <c r="AM47" i="7"/>
  <c r="AN47" i="7"/>
  <c r="AL50" i="7"/>
  <c r="AM50" i="7"/>
  <c r="AN50" i="7"/>
  <c r="AI11" i="17"/>
  <c r="AJ11" i="17"/>
  <c r="AI12" i="17"/>
  <c r="AJ12" i="17"/>
  <c r="AI14" i="17"/>
  <c r="AJ14" i="17"/>
  <c r="AI17" i="17"/>
  <c r="AJ17" i="17"/>
  <c r="AI18" i="17"/>
  <c r="AJ18" i="17"/>
  <c r="AI21" i="17"/>
  <c r="AJ21" i="17"/>
  <c r="AI22" i="17"/>
  <c r="AJ22" i="17"/>
  <c r="AI25" i="17"/>
  <c r="AJ25" i="17"/>
  <c r="AI26" i="17"/>
  <c r="AJ26" i="17"/>
  <c r="AI34" i="17"/>
  <c r="AJ34" i="17"/>
  <c r="AI35" i="17"/>
  <c r="AJ35" i="17"/>
  <c r="AI36" i="17"/>
  <c r="AJ36" i="17"/>
  <c r="AH15" i="10"/>
  <c r="AI15" i="10"/>
  <c r="AJ15" i="10"/>
  <c r="AF1" i="2"/>
  <c r="AG1" i="2"/>
  <c r="AH1" i="2"/>
  <c r="AE5" i="10"/>
  <c r="AM24" i="8"/>
  <c r="AN24" i="8"/>
  <c r="AO24" i="8"/>
  <c r="AM29" i="8"/>
  <c r="AN29" i="8"/>
  <c r="AO29" i="8"/>
  <c r="AM30" i="8"/>
  <c r="AN30" i="8"/>
  <c r="AO30" i="8"/>
  <c r="AM31" i="8"/>
  <c r="AN31" i="8"/>
  <c r="AO31" i="8"/>
  <c r="AM35" i="8"/>
  <c r="AN35" i="8"/>
  <c r="AO35" i="8"/>
  <c r="AM40" i="8"/>
  <c r="AN40" i="8"/>
  <c r="AO40" i="8"/>
  <c r="AM70" i="8"/>
  <c r="AN70" i="8"/>
  <c r="AO70" i="8"/>
  <c r="AJ5" i="8"/>
  <c r="AK70" i="8"/>
  <c r="AL70" i="8"/>
  <c r="AJ70" i="8"/>
  <c r="AF25" i="17"/>
  <c r="AG25" i="17"/>
  <c r="AH25" i="17"/>
  <c r="AE25" i="17"/>
  <c r="AF11" i="17"/>
  <c r="AG11" i="17"/>
  <c r="AH11" i="17"/>
  <c r="AF12" i="17"/>
  <c r="AG12" i="17"/>
  <c r="AH12" i="17"/>
  <c r="AF14" i="17"/>
  <c r="AG14" i="17"/>
  <c r="AH14" i="17"/>
  <c r="AF17" i="17"/>
  <c r="AG17" i="17"/>
  <c r="AH17" i="17"/>
  <c r="AF18" i="17"/>
  <c r="AG18" i="17"/>
  <c r="AH18" i="17"/>
  <c r="AF21" i="17"/>
  <c r="AG21" i="17"/>
  <c r="AH21" i="17"/>
  <c r="AF22" i="17"/>
  <c r="AG22" i="17"/>
  <c r="AH22" i="17"/>
  <c r="AF26" i="17"/>
  <c r="AG26" i="17"/>
  <c r="AH26" i="17"/>
  <c r="AJ24" i="8"/>
  <c r="AK24" i="8"/>
  <c r="AL24" i="8"/>
  <c r="AJ29" i="8"/>
  <c r="AK29" i="8"/>
  <c r="AL29" i="8"/>
  <c r="AJ30" i="8"/>
  <c r="AK30" i="8"/>
  <c r="AL30" i="8"/>
  <c r="AJ31" i="8"/>
  <c r="AK31" i="8"/>
  <c r="AL31" i="8"/>
  <c r="AJ35" i="8"/>
  <c r="AK35" i="8"/>
  <c r="AL35" i="8"/>
  <c r="AJ37" i="8"/>
  <c r="AK37" i="8"/>
  <c r="AJ40" i="8"/>
  <c r="AK40" i="8"/>
  <c r="AL40" i="8"/>
  <c r="AJ46" i="8"/>
  <c r="AK46" i="8"/>
  <c r="AH32" i="7"/>
  <c r="AG32" i="7"/>
  <c r="AF32" i="7"/>
  <c r="AH26" i="7"/>
  <c r="AG26" i="7"/>
  <c r="AF26" i="7"/>
  <c r="AF20" i="7"/>
  <c r="AG20" i="7"/>
  <c r="AH20" i="7"/>
  <c r="AC14" i="17"/>
  <c r="AD14" i="17"/>
  <c r="AC15" i="17"/>
  <c r="AD15" i="17"/>
  <c r="AC17" i="17"/>
  <c r="AD17" i="17"/>
  <c r="AC18" i="17"/>
  <c r="AD18" i="17"/>
  <c r="AC19" i="17"/>
  <c r="AD19" i="17"/>
  <c r="AC21" i="17"/>
  <c r="AD21" i="17"/>
  <c r="AC22" i="17"/>
  <c r="AD22" i="17"/>
  <c r="AC23" i="17"/>
  <c r="AD23" i="17"/>
  <c r="AC25" i="17"/>
  <c r="AD25" i="17"/>
  <c r="AC26" i="17"/>
  <c r="AD26" i="17"/>
  <c r="AC27" i="17"/>
  <c r="AD27" i="17"/>
  <c r="AD78" i="8"/>
  <c r="AB31" i="10"/>
  <c r="AB5" i="10"/>
  <c r="AG18" i="9"/>
  <c r="AH18" i="9"/>
  <c r="AI18" i="9"/>
  <c r="AD1" i="2"/>
  <c r="AE1" i="2"/>
  <c r="AE24" i="6"/>
  <c r="AF24" i="6"/>
  <c r="AG24" i="6"/>
  <c r="AE27" i="6"/>
  <c r="AF27" i="6"/>
  <c r="AG27" i="6"/>
  <c r="AE10" i="6"/>
  <c r="AF10" i="6"/>
  <c r="AG10" i="6"/>
  <c r="AE15" i="10"/>
  <c r="AF15" i="10"/>
  <c r="AG15" i="10"/>
  <c r="AC1" i="2"/>
  <c r="AF18" i="7"/>
  <c r="AG18" i="7"/>
  <c r="AH18" i="7"/>
  <c r="AI18" i="7"/>
  <c r="AJ18" i="7"/>
  <c r="AF19" i="7"/>
  <c r="AG19" i="7"/>
  <c r="AH19" i="7"/>
  <c r="AI19" i="7"/>
  <c r="AJ19" i="7"/>
  <c r="AF21" i="7"/>
  <c r="AG21" i="7"/>
  <c r="AH21" i="7"/>
  <c r="AI21" i="7"/>
  <c r="AJ21" i="7"/>
  <c r="AF25" i="7"/>
  <c r="AG25" i="7"/>
  <c r="AH25" i="7"/>
  <c r="AI25" i="7"/>
  <c r="AJ25" i="7"/>
  <c r="AF27" i="7"/>
  <c r="AG27" i="7"/>
  <c r="AH27" i="7"/>
  <c r="AI27" i="7"/>
  <c r="AJ27" i="7"/>
  <c r="AF31" i="7"/>
  <c r="AG31" i="7"/>
  <c r="AH31" i="7"/>
  <c r="AI31" i="7"/>
  <c r="AJ31" i="7"/>
  <c r="AF33" i="7"/>
  <c r="AG33" i="7"/>
  <c r="AH33" i="7"/>
  <c r="AI33" i="7"/>
  <c r="AJ33" i="7"/>
  <c r="AF38" i="7"/>
  <c r="AG38" i="7"/>
  <c r="AH38" i="7"/>
  <c r="AI38" i="7"/>
  <c r="AJ38" i="7"/>
  <c r="AF39" i="7"/>
  <c r="AG39" i="7"/>
  <c r="AH39" i="7"/>
  <c r="AI39" i="7"/>
  <c r="AJ39" i="7"/>
  <c r="AC11" i="17"/>
  <c r="AD11" i="17"/>
  <c r="AE11" i="17"/>
  <c r="AC12" i="17"/>
  <c r="AD12" i="17"/>
  <c r="AE12" i="17"/>
  <c r="AE14" i="17"/>
  <c r="AE17" i="17"/>
  <c r="AE18" i="17"/>
  <c r="AE21" i="17"/>
  <c r="AE22" i="17"/>
  <c r="AE26" i="17"/>
  <c r="C14" i="9"/>
  <c r="AF5" i="7"/>
  <c r="AI45" i="7"/>
  <c r="AJ45" i="7"/>
  <c r="AK45" i="7"/>
  <c r="AI46" i="7"/>
  <c r="AJ46" i="7"/>
  <c r="AK46" i="7"/>
  <c r="AI47" i="7"/>
  <c r="AJ47" i="7"/>
  <c r="AK47" i="7"/>
  <c r="AI50" i="7"/>
  <c r="AJ50" i="7"/>
  <c r="AK50" i="7"/>
  <c r="AK18" i="7"/>
  <c r="AK19" i="7"/>
  <c r="AK21" i="7"/>
  <c r="AK25" i="7"/>
  <c r="AK27" i="7"/>
  <c r="AK31" i="7"/>
  <c r="AK33" i="7"/>
  <c r="AK39" i="7"/>
  <c r="AC50" i="7"/>
  <c r="AD50" i="7"/>
  <c r="AE50" i="7"/>
  <c r="AF58" i="7"/>
  <c r="E14" i="7"/>
  <c r="V5" i="7"/>
  <c r="N17" i="2"/>
  <c r="AH34" i="17"/>
  <c r="AH35" i="17"/>
  <c r="AH36" i="17"/>
  <c r="AA5" i="8"/>
  <c r="AB53" i="8"/>
  <c r="AC53" i="8" s="1"/>
  <c r="AD53" i="8" s="1"/>
  <c r="AE53" i="8" s="1"/>
  <c r="AF53" i="8" s="1"/>
  <c r="AG53" i="8" s="1"/>
  <c r="AH53" i="8" s="1"/>
  <c r="AI53" i="8" s="1"/>
  <c r="AJ53" i="8" s="1"/>
  <c r="AK53" i="8" s="1"/>
  <c r="AL53" i="8" s="1"/>
  <c r="AM53" i="8" s="1"/>
  <c r="AN53" i="8" s="1"/>
  <c r="AO53" i="8" s="1"/>
  <c r="AG21" i="8"/>
  <c r="AH21" i="8"/>
  <c r="AI21" i="8"/>
  <c r="AG24" i="8"/>
  <c r="AH24" i="8"/>
  <c r="AI24" i="8"/>
  <c r="AG29" i="8"/>
  <c r="AH29" i="8"/>
  <c r="AI29" i="8"/>
  <c r="AG30" i="8"/>
  <c r="AH30" i="8"/>
  <c r="AI30" i="8"/>
  <c r="AG31" i="8"/>
  <c r="AH31" i="8"/>
  <c r="AI31" i="8"/>
  <c r="AG33" i="8"/>
  <c r="AG37" i="8" s="1"/>
  <c r="AH33" i="8"/>
  <c r="AH37" i="8" s="1"/>
  <c r="AI33" i="8"/>
  <c r="AG34" i="8"/>
  <c r="AH34" i="8"/>
  <c r="AI34" i="8"/>
  <c r="AG35" i="8"/>
  <c r="AH35" i="8"/>
  <c r="AI35" i="8"/>
  <c r="AG40" i="8"/>
  <c r="AH40" i="8"/>
  <c r="AI40" i="8"/>
  <c r="AG41" i="8"/>
  <c r="AH41" i="8"/>
  <c r="AI41" i="8"/>
  <c r="AG46" i="8"/>
  <c r="AH46" i="8"/>
  <c r="AI46" i="8"/>
  <c r="AG47" i="8"/>
  <c r="AH47" i="8"/>
  <c r="AI47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A46" i="8"/>
  <c r="AB46" i="8"/>
  <c r="AC46" i="8"/>
  <c r="AD46" i="8"/>
  <c r="AE46" i="8"/>
  <c r="AF46" i="8"/>
  <c r="AA47" i="8"/>
  <c r="AB47" i="8"/>
  <c r="AC47" i="8"/>
  <c r="AD47" i="8"/>
  <c r="AE47" i="8"/>
  <c r="AF47" i="8"/>
  <c r="O40" i="8"/>
  <c r="AA34" i="8"/>
  <c r="AB34" i="8"/>
  <c r="AC34" i="8"/>
  <c r="AA35" i="8"/>
  <c r="AB35" i="8"/>
  <c r="AC35" i="8"/>
  <c r="AA31" i="8"/>
  <c r="AB31" i="8"/>
  <c r="AC31" i="8"/>
  <c r="AF34" i="8"/>
  <c r="AE34" i="8"/>
  <c r="AD34" i="8"/>
  <c r="AF31" i="8"/>
  <c r="AE31" i="8"/>
  <c r="AD31" i="8"/>
  <c r="AE34" i="17"/>
  <c r="AF34" i="17"/>
  <c r="AG34" i="17"/>
  <c r="AE35" i="17"/>
  <c r="AF35" i="17"/>
  <c r="AG35" i="17"/>
  <c r="AE36" i="17"/>
  <c r="AF36" i="17"/>
  <c r="AG36" i="17"/>
  <c r="AE48" i="17"/>
  <c r="AF48" i="17"/>
  <c r="AG48" i="17"/>
  <c r="Y48" i="17"/>
  <c r="Z48" i="17"/>
  <c r="AA48" i="17"/>
  <c r="AC48" i="17"/>
  <c r="AD48" i="17"/>
  <c r="AB48" i="17"/>
  <c r="Y25" i="17"/>
  <c r="Z25" i="17"/>
  <c r="AA25" i="17"/>
  <c r="Y26" i="17"/>
  <c r="Z26" i="17"/>
  <c r="AA26" i="17"/>
  <c r="Y27" i="17"/>
  <c r="Z27" i="17"/>
  <c r="AA27" i="17"/>
  <c r="AB25" i="17"/>
  <c r="Y5" i="17"/>
  <c r="AB27" i="17"/>
  <c r="AB26" i="17"/>
  <c r="AG50" i="7"/>
  <c r="AH50" i="7"/>
  <c r="AF50" i="7"/>
  <c r="AE5" i="7"/>
  <c r="Y43" i="6"/>
  <c r="A66" i="6"/>
  <c r="A65" i="6" s="1"/>
  <c r="Z14" i="6" s="1"/>
  <c r="N14" i="10"/>
  <c r="O14" i="10"/>
  <c r="P14" i="10"/>
  <c r="Q14" i="10"/>
  <c r="R14" i="10"/>
  <c r="S14" i="10"/>
  <c r="T14" i="10"/>
  <c r="U14" i="10"/>
  <c r="V14" i="10"/>
  <c r="W14" i="10"/>
  <c r="X14" i="10"/>
  <c r="M14" i="10"/>
  <c r="F14" i="10"/>
  <c r="G14" i="10"/>
  <c r="H14" i="10"/>
  <c r="I14" i="10"/>
  <c r="J14" i="10"/>
  <c r="K14" i="10"/>
  <c r="L14" i="10"/>
  <c r="E14" i="10"/>
  <c r="Z1" i="2"/>
  <c r="AA1" i="2"/>
  <c r="AB1" i="2"/>
  <c r="AD21" i="8"/>
  <c r="AE21" i="8"/>
  <c r="AF21" i="8"/>
  <c r="AD24" i="8"/>
  <c r="AE24" i="8"/>
  <c r="AF24" i="8"/>
  <c r="AD29" i="8"/>
  <c r="AE29" i="8"/>
  <c r="AF29" i="8"/>
  <c r="AD30" i="8"/>
  <c r="AE30" i="8"/>
  <c r="AF30" i="8"/>
  <c r="AD33" i="8"/>
  <c r="AD37" i="8" s="1"/>
  <c r="AE33" i="8"/>
  <c r="AE37" i="8" s="1"/>
  <c r="AF33" i="8"/>
  <c r="AF37" i="8" s="1"/>
  <c r="AD35" i="8"/>
  <c r="AE35" i="8"/>
  <c r="AF35" i="8"/>
  <c r="AD18" i="9"/>
  <c r="AE18" i="9"/>
  <c r="AF18" i="9"/>
  <c r="AF45" i="7"/>
  <c r="AG45" i="7"/>
  <c r="AH45" i="7"/>
  <c r="AF46" i="7"/>
  <c r="AG46" i="7"/>
  <c r="AH46" i="7"/>
  <c r="AF47" i="7"/>
  <c r="AG47" i="7"/>
  <c r="AH47" i="7"/>
  <c r="AB15" i="10"/>
  <c r="AC15" i="10"/>
  <c r="AD15" i="10"/>
  <c r="AB24" i="6"/>
  <c r="AC24" i="6"/>
  <c r="AD24" i="6"/>
  <c r="AB27" i="6"/>
  <c r="AC27" i="6"/>
  <c r="AD27" i="6"/>
  <c r="AB10" i="6"/>
  <c r="AC10" i="6"/>
  <c r="AD10" i="6"/>
  <c r="AB11" i="17"/>
  <c r="AB12" i="17"/>
  <c r="AB14" i="17"/>
  <c r="AB15" i="17"/>
  <c r="AB17" i="17"/>
  <c r="AB18" i="17"/>
  <c r="AB19" i="17"/>
  <c r="AB21" i="17"/>
  <c r="AB22" i="17"/>
  <c r="AB23" i="17"/>
  <c r="AB31" i="17"/>
  <c r="AC31" i="17"/>
  <c r="AD31" i="17"/>
  <c r="AB34" i="17"/>
  <c r="AC34" i="17"/>
  <c r="AD34" i="17"/>
  <c r="AB35" i="17"/>
  <c r="AC35" i="17"/>
  <c r="AD35" i="17"/>
  <c r="AB36" i="17"/>
  <c r="AC36" i="17"/>
  <c r="AD36" i="17"/>
  <c r="Y42" i="6"/>
  <c r="Z10" i="6"/>
  <c r="AA10" i="6"/>
  <c r="Y10" i="6"/>
  <c r="W1" i="2"/>
  <c r="X1" i="2"/>
  <c r="Y1" i="2"/>
  <c r="Y15" i="10"/>
  <c r="Z15" i="10"/>
  <c r="AA15" i="10"/>
  <c r="Y24" i="6"/>
  <c r="Z24" i="6"/>
  <c r="AA24" i="6"/>
  <c r="Y27" i="6"/>
  <c r="Z27" i="6"/>
  <c r="AA27" i="6"/>
  <c r="AA21" i="8"/>
  <c r="AB21" i="8"/>
  <c r="AC21" i="8"/>
  <c r="AA24" i="8"/>
  <c r="AB24" i="8"/>
  <c r="AC24" i="8"/>
  <c r="AA29" i="8"/>
  <c r="AB29" i="8"/>
  <c r="AC29" i="8"/>
  <c r="AA30" i="8"/>
  <c r="AB30" i="8"/>
  <c r="AC30" i="8"/>
  <c r="AA33" i="8"/>
  <c r="AA37" i="8" s="1"/>
  <c r="AB33" i="8"/>
  <c r="AB37" i="8" s="1"/>
  <c r="AC33" i="8"/>
  <c r="AC37" i="8" s="1"/>
  <c r="AA18" i="9"/>
  <c r="AB18" i="9"/>
  <c r="AC18" i="9"/>
  <c r="Y11" i="17"/>
  <c r="Z11" i="17"/>
  <c r="AA11" i="17"/>
  <c r="Y12" i="17"/>
  <c r="Z12" i="17"/>
  <c r="AA12" i="17"/>
  <c r="Y14" i="17"/>
  <c r="Z14" i="17"/>
  <c r="AA14" i="17"/>
  <c r="Y15" i="17"/>
  <c r="Z15" i="17"/>
  <c r="AA15" i="17"/>
  <c r="Y17" i="17"/>
  <c r="Z17" i="17"/>
  <c r="AA17" i="17"/>
  <c r="Y18" i="17"/>
  <c r="Z18" i="17"/>
  <c r="AA18" i="17"/>
  <c r="Y19" i="17"/>
  <c r="Z19" i="17"/>
  <c r="AA19" i="17"/>
  <c r="Y21" i="17"/>
  <c r="Z21" i="17"/>
  <c r="AA21" i="17"/>
  <c r="Y22" i="17"/>
  <c r="Z22" i="17"/>
  <c r="AA22" i="17"/>
  <c r="Y23" i="17"/>
  <c r="Z23" i="17"/>
  <c r="AA23" i="17"/>
  <c r="Y31" i="17"/>
  <c r="Z31" i="17"/>
  <c r="AA31" i="17"/>
  <c r="Y34" i="17"/>
  <c r="Z34" i="17"/>
  <c r="AA34" i="17"/>
  <c r="Y35" i="17"/>
  <c r="Z35" i="17"/>
  <c r="AA35" i="17"/>
  <c r="Y36" i="17"/>
  <c r="Z36" i="17"/>
  <c r="AA36" i="17"/>
  <c r="AC18" i="7"/>
  <c r="AD18" i="7"/>
  <c r="AE18" i="7"/>
  <c r="AC19" i="7"/>
  <c r="AD19" i="7"/>
  <c r="AE19" i="7"/>
  <c r="AC20" i="7"/>
  <c r="AD20" i="7"/>
  <c r="AE20" i="7"/>
  <c r="AC21" i="7"/>
  <c r="AD21" i="7"/>
  <c r="AE21" i="7"/>
  <c r="AC25" i="7"/>
  <c r="AD25" i="7"/>
  <c r="AE25" i="7"/>
  <c r="AC26" i="7"/>
  <c r="AD26" i="7"/>
  <c r="AE26" i="7"/>
  <c r="AC27" i="7"/>
  <c r="AD27" i="7"/>
  <c r="AE27" i="7"/>
  <c r="AC31" i="7"/>
  <c r="AD31" i="7"/>
  <c r="AE31" i="7"/>
  <c r="AC32" i="7"/>
  <c r="AD32" i="7"/>
  <c r="AE32" i="7"/>
  <c r="AC33" i="7"/>
  <c r="AD33" i="7"/>
  <c r="AE33" i="7"/>
  <c r="AC39" i="7"/>
  <c r="AD39" i="7"/>
  <c r="AE39" i="7"/>
  <c r="AC45" i="7"/>
  <c r="AD45" i="7"/>
  <c r="AE45" i="7"/>
  <c r="AC46" i="7"/>
  <c r="AD46" i="7"/>
  <c r="AE46" i="7"/>
  <c r="AC47" i="7"/>
  <c r="AD47" i="7"/>
  <c r="AE47" i="7"/>
  <c r="AA19" i="7"/>
  <c r="AB19" i="7"/>
  <c r="Z19" i="7"/>
  <c r="AA20" i="7"/>
  <c r="AB20" i="7"/>
  <c r="Z20" i="7"/>
  <c r="T14" i="17"/>
  <c r="U14" i="17"/>
  <c r="V14" i="17"/>
  <c r="W14" i="17"/>
  <c r="X14" i="17"/>
  <c r="S14" i="17"/>
  <c r="S17" i="17"/>
  <c r="S15" i="17"/>
  <c r="T15" i="17"/>
  <c r="U15" i="17"/>
  <c r="V15" i="17"/>
  <c r="W15" i="17"/>
  <c r="X15" i="17"/>
  <c r="V29" i="8"/>
  <c r="W29" i="8"/>
  <c r="X29" i="8"/>
  <c r="Y29" i="8"/>
  <c r="Z29" i="8"/>
  <c r="V30" i="8"/>
  <c r="W30" i="8"/>
  <c r="X30" i="8"/>
  <c r="Y30" i="8"/>
  <c r="Z30" i="8"/>
  <c r="U30" i="8"/>
  <c r="U29" i="8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I18" i="9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H18" i="7"/>
  <c r="H54" i="7" s="1"/>
  <c r="I18" i="7"/>
  <c r="I54" i="7" s="1"/>
  <c r="J18" i="7"/>
  <c r="J60" i="7" s="1"/>
  <c r="K18" i="7"/>
  <c r="K54" i="7" s="1"/>
  <c r="L18" i="7"/>
  <c r="L60" i="7" s="1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E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X15" i="10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X35" i="17"/>
  <c r="D35" i="17"/>
  <c r="E35" i="17"/>
  <c r="F35" i="17"/>
  <c r="D34" i="17"/>
  <c r="E34" i="17"/>
  <c r="F34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T17" i="17"/>
  <c r="U17" i="17"/>
  <c r="V17" i="17"/>
  <c r="W17" i="17"/>
  <c r="X17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X24" i="6"/>
  <c r="M29" i="8"/>
  <c r="N29" i="8"/>
  <c r="O29" i="8"/>
  <c r="P29" i="8"/>
  <c r="Q29" i="8"/>
  <c r="R29" i="8"/>
  <c r="S29" i="8"/>
  <c r="T29" i="8"/>
  <c r="M30" i="8"/>
  <c r="N30" i="8"/>
  <c r="O30" i="8"/>
  <c r="P30" i="8"/>
  <c r="Q30" i="8"/>
  <c r="R30" i="8"/>
  <c r="S30" i="8"/>
  <c r="T30" i="8"/>
  <c r="L29" i="8"/>
  <c r="L30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F24" i="8"/>
  <c r="G24" i="8"/>
  <c r="H24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L35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L33" i="8"/>
  <c r="Q46" i="7"/>
  <c r="R46" i="7"/>
  <c r="S46" i="7"/>
  <c r="T46" i="7"/>
  <c r="U46" i="7"/>
  <c r="V46" i="7"/>
  <c r="W46" i="7"/>
  <c r="X46" i="7"/>
  <c r="Y46" i="7"/>
  <c r="Z46" i="7"/>
  <c r="AA46" i="7"/>
  <c r="AB46" i="7"/>
  <c r="Q47" i="7"/>
  <c r="R47" i="7"/>
  <c r="S47" i="7"/>
  <c r="T47" i="7"/>
  <c r="U47" i="7"/>
  <c r="V47" i="7"/>
  <c r="W47" i="7"/>
  <c r="X47" i="7"/>
  <c r="Y47" i="7"/>
  <c r="Z47" i="7"/>
  <c r="AA47" i="7"/>
  <c r="AB47" i="7"/>
  <c r="N47" i="7"/>
  <c r="O47" i="7"/>
  <c r="P47" i="7"/>
  <c r="N46" i="7"/>
  <c r="O46" i="7"/>
  <c r="P46" i="7"/>
  <c r="K46" i="7"/>
  <c r="L46" i="7"/>
  <c r="M46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H45" i="7"/>
  <c r="I45" i="7"/>
  <c r="J45" i="7"/>
  <c r="Q33" i="7"/>
  <c r="R33" i="7"/>
  <c r="S33" i="7"/>
  <c r="T33" i="7"/>
  <c r="U33" i="7"/>
  <c r="V33" i="7"/>
  <c r="W33" i="7"/>
  <c r="X33" i="7"/>
  <c r="Y33" i="7"/>
  <c r="Z33" i="7"/>
  <c r="AA33" i="7"/>
  <c r="AB33" i="7"/>
  <c r="N33" i="7"/>
  <c r="O33" i="7"/>
  <c r="P33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K27" i="7"/>
  <c r="L27" i="7"/>
  <c r="M27" i="7"/>
  <c r="M22" i="17"/>
  <c r="N22" i="17"/>
  <c r="O22" i="17"/>
  <c r="P22" i="17"/>
  <c r="Q22" i="17"/>
  <c r="R22" i="17"/>
  <c r="S22" i="17"/>
  <c r="T22" i="17"/>
  <c r="U22" i="17"/>
  <c r="V22" i="17"/>
  <c r="W22" i="17"/>
  <c r="X22" i="17"/>
  <c r="J22" i="17"/>
  <c r="K22" i="17"/>
  <c r="L22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G18" i="17"/>
  <c r="H18" i="17"/>
  <c r="I18" i="1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H21" i="7"/>
  <c r="I21" i="7"/>
  <c r="J21" i="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D12" i="17"/>
  <c r="E12" i="17"/>
  <c r="F12" i="17"/>
  <c r="Z39" i="7"/>
  <c r="AA39" i="7"/>
  <c r="AB39" i="7"/>
  <c r="V19" i="17"/>
  <c r="W19" i="17"/>
  <c r="X19" i="17"/>
  <c r="V23" i="17"/>
  <c r="W23" i="17"/>
  <c r="X23" i="17"/>
  <c r="V31" i="17"/>
  <c r="W31" i="17"/>
  <c r="X31" i="17"/>
  <c r="R5" i="7"/>
  <c r="M5" i="7"/>
  <c r="N5" i="7"/>
  <c r="K5" i="7"/>
  <c r="G5" i="7"/>
  <c r="H5" i="7"/>
  <c r="J5" i="17"/>
  <c r="G5" i="17"/>
  <c r="D5" i="17"/>
  <c r="C5" i="17"/>
  <c r="D5" i="10"/>
  <c r="V5" i="6"/>
  <c r="P5" i="6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AH3" i="6" s="1"/>
  <c r="AI3" i="6" s="1"/>
  <c r="AJ3" i="6" s="1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BD3" i="6" s="1"/>
  <c r="BE3" i="6" s="1"/>
  <c r="BF3" i="6" s="1"/>
  <c r="BG3" i="6" s="1"/>
  <c r="BH3" i="6" s="1"/>
  <c r="BI3" i="6" s="1"/>
  <c r="BJ3" i="6" s="1"/>
  <c r="BK3" i="6" s="1"/>
  <c r="BL3" i="6" s="1"/>
  <c r="BM3" i="6" s="1"/>
  <c r="BN3" i="6" s="1"/>
  <c r="BO3" i="6" s="1"/>
  <c r="BP3" i="6" s="1"/>
  <c r="BQ3" i="6" s="1"/>
  <c r="BR3" i="6" s="1"/>
  <c r="BS3" i="6" s="1"/>
  <c r="BT3" i="6" s="1"/>
  <c r="BU3" i="6" s="1"/>
  <c r="BV3" i="6" s="1"/>
  <c r="BW3" i="6" s="1"/>
  <c r="BX3" i="6" s="1"/>
  <c r="BY3" i="6" s="1"/>
  <c r="BZ3" i="6" s="1"/>
  <c r="CA3" i="6" s="1"/>
  <c r="CB3" i="6" s="1"/>
  <c r="CC3" i="6" s="1"/>
  <c r="CD3" i="6" s="1"/>
  <c r="CE3" i="6" s="1"/>
  <c r="CF3" i="6" s="1"/>
  <c r="CG3" i="6" s="1"/>
  <c r="CH3" i="6" s="1"/>
  <c r="CI3" i="6" s="1"/>
  <c r="CJ3" i="6" s="1"/>
  <c r="CK3" i="6" s="1"/>
  <c r="CL3" i="6" s="1"/>
  <c r="CM3" i="6" s="1"/>
  <c r="CN3" i="6" s="1"/>
  <c r="CO3" i="6" s="1"/>
  <c r="CP3" i="6" s="1"/>
  <c r="CQ3" i="6" s="1"/>
  <c r="CR3" i="6" s="1"/>
  <c r="E2" i="6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BB2" i="6" s="1"/>
  <c r="BC2" i="6" s="1"/>
  <c r="BD2" i="6" s="1"/>
  <c r="BE2" i="6" s="1"/>
  <c r="BF2" i="6" s="1"/>
  <c r="BG2" i="6" s="1"/>
  <c r="BH2" i="6" s="1"/>
  <c r="BI2" i="6" s="1"/>
  <c r="BJ2" i="6" s="1"/>
  <c r="BK2" i="6" s="1"/>
  <c r="BL2" i="6" s="1"/>
  <c r="BM2" i="6" s="1"/>
  <c r="BN2" i="6" s="1"/>
  <c r="BO2" i="6" s="1"/>
  <c r="BP2" i="6" s="1"/>
  <c r="BQ2" i="6" s="1"/>
  <c r="BR2" i="6" s="1"/>
  <c r="BS2" i="6" s="1"/>
  <c r="BT2" i="6" s="1"/>
  <c r="BU2" i="6" s="1"/>
  <c r="BV2" i="6" s="1"/>
  <c r="BW2" i="6" s="1"/>
  <c r="BX2" i="6" s="1"/>
  <c r="BY2" i="6" s="1"/>
  <c r="BZ2" i="6" s="1"/>
  <c r="CA2" i="6" s="1"/>
  <c r="CB2" i="6" s="1"/>
  <c r="CC2" i="6" s="1"/>
  <c r="CD2" i="6" s="1"/>
  <c r="CE2" i="6" s="1"/>
  <c r="CF2" i="6" s="1"/>
  <c r="CG2" i="6" s="1"/>
  <c r="CH2" i="6" s="1"/>
  <c r="CI2" i="6" s="1"/>
  <c r="CJ2" i="6" s="1"/>
  <c r="CK2" i="6" s="1"/>
  <c r="CL2" i="6" s="1"/>
  <c r="CM2" i="6" s="1"/>
  <c r="CN2" i="6" s="1"/>
  <c r="CO2" i="6" s="1"/>
  <c r="CP2" i="6" s="1"/>
  <c r="CQ2" i="6" s="1"/>
  <c r="CR2" i="6" s="1"/>
  <c r="D3" i="10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E2" i="10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BJ2" i="10" s="1"/>
  <c r="BK2" i="10" s="1"/>
  <c r="BL2" i="10" s="1"/>
  <c r="BM2" i="10" s="1"/>
  <c r="BN2" i="10" s="1"/>
  <c r="BO2" i="10" s="1"/>
  <c r="BP2" i="10" s="1"/>
  <c r="BQ2" i="10" s="1"/>
  <c r="BR2" i="10" s="1"/>
  <c r="BS2" i="10" s="1"/>
  <c r="BT2" i="10" s="1"/>
  <c r="BU2" i="10" s="1"/>
  <c r="BV2" i="10" s="1"/>
  <c r="BW2" i="10" s="1"/>
  <c r="BX2" i="10" s="1"/>
  <c r="BY2" i="10" s="1"/>
  <c r="BZ2" i="10" s="1"/>
  <c r="CA2" i="10" s="1"/>
  <c r="CB2" i="10" s="1"/>
  <c r="CC2" i="10" s="1"/>
  <c r="CD2" i="10" s="1"/>
  <c r="CE2" i="10" s="1"/>
  <c r="CF2" i="10" s="1"/>
  <c r="CG2" i="10" s="1"/>
  <c r="CH2" i="10" s="1"/>
  <c r="CI2" i="10" s="1"/>
  <c r="CJ2" i="10" s="1"/>
  <c r="CK2" i="10" s="1"/>
  <c r="CL2" i="10" s="1"/>
  <c r="CM2" i="10" s="1"/>
  <c r="CN2" i="10" s="1"/>
  <c r="CO2" i="10" s="1"/>
  <c r="CP2" i="10" s="1"/>
  <c r="CQ2" i="10" s="1"/>
  <c r="CR2" i="10" s="1"/>
  <c r="D3" i="17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AH3" i="17" s="1"/>
  <c r="AI3" i="17" s="1"/>
  <c r="AJ3" i="17" s="1"/>
  <c r="AK3" i="17" s="1"/>
  <c r="AL3" i="17" s="1"/>
  <c r="AM3" i="17" s="1"/>
  <c r="AN3" i="17" s="1"/>
  <c r="AO3" i="17" s="1"/>
  <c r="AP3" i="17" s="1"/>
  <c r="AQ3" i="17" s="1"/>
  <c r="AR3" i="17" s="1"/>
  <c r="AS3" i="17" s="1"/>
  <c r="AT3" i="17" s="1"/>
  <c r="AU3" i="17" s="1"/>
  <c r="AV3" i="17" s="1"/>
  <c r="AW3" i="17" s="1"/>
  <c r="AX3" i="17" s="1"/>
  <c r="AY3" i="17" s="1"/>
  <c r="AZ3" i="17" s="1"/>
  <c r="BA3" i="17" s="1"/>
  <c r="BB3" i="17" s="1"/>
  <c r="BC3" i="17" s="1"/>
  <c r="BD3" i="17" s="1"/>
  <c r="BE3" i="17" s="1"/>
  <c r="BF3" i="17" s="1"/>
  <c r="BG3" i="17" s="1"/>
  <c r="BH3" i="17" s="1"/>
  <c r="BI3" i="17" s="1"/>
  <c r="BJ3" i="17" s="1"/>
  <c r="BK3" i="17" s="1"/>
  <c r="BL3" i="17" s="1"/>
  <c r="BM3" i="17" s="1"/>
  <c r="BN3" i="17" s="1"/>
  <c r="BO3" i="17" s="1"/>
  <c r="BP3" i="17" s="1"/>
  <c r="BQ3" i="17" s="1"/>
  <c r="BR3" i="17" s="1"/>
  <c r="BS3" i="17" s="1"/>
  <c r="BT3" i="17" s="1"/>
  <c r="BU3" i="17" s="1"/>
  <c r="BV3" i="17" s="1"/>
  <c r="BW3" i="17" s="1"/>
  <c r="BX3" i="17" s="1"/>
  <c r="BY3" i="17" s="1"/>
  <c r="BZ3" i="17" s="1"/>
  <c r="CA3" i="17" s="1"/>
  <c r="CB3" i="17" s="1"/>
  <c r="CC3" i="17" s="1"/>
  <c r="CD3" i="17" s="1"/>
  <c r="CE3" i="17" s="1"/>
  <c r="CF3" i="17" s="1"/>
  <c r="CG3" i="17" s="1"/>
  <c r="CH3" i="17" s="1"/>
  <c r="CI3" i="17" s="1"/>
  <c r="CJ3" i="17" s="1"/>
  <c r="CK3" i="17" s="1"/>
  <c r="CL3" i="17" s="1"/>
  <c r="CM3" i="17" s="1"/>
  <c r="CN3" i="17" s="1"/>
  <c r="CO3" i="17" s="1"/>
  <c r="CP3" i="17" s="1"/>
  <c r="CQ3" i="17" s="1"/>
  <c r="CR3" i="17" s="1"/>
  <c r="E2" i="17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AH2" i="17" s="1"/>
  <c r="AI2" i="17" s="1"/>
  <c r="AJ2" i="17" s="1"/>
  <c r="AK2" i="17" s="1"/>
  <c r="AL2" i="17" s="1"/>
  <c r="AM2" i="17" s="1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BA2" i="17" s="1"/>
  <c r="BB2" i="17" s="1"/>
  <c r="BC2" i="17" s="1"/>
  <c r="BD2" i="17" s="1"/>
  <c r="BE2" i="17" s="1"/>
  <c r="BF2" i="17" s="1"/>
  <c r="BG2" i="17" s="1"/>
  <c r="BH2" i="17" s="1"/>
  <c r="BI2" i="17" s="1"/>
  <c r="BJ2" i="17" s="1"/>
  <c r="BK2" i="17" s="1"/>
  <c r="BL2" i="17" s="1"/>
  <c r="BM2" i="17" s="1"/>
  <c r="BN2" i="17" s="1"/>
  <c r="BO2" i="17" s="1"/>
  <c r="BP2" i="17" s="1"/>
  <c r="BQ2" i="17" s="1"/>
  <c r="BR2" i="17" s="1"/>
  <c r="BS2" i="17" s="1"/>
  <c r="BT2" i="17" s="1"/>
  <c r="BU2" i="17" s="1"/>
  <c r="BV2" i="17" s="1"/>
  <c r="BW2" i="17" s="1"/>
  <c r="BX2" i="17" s="1"/>
  <c r="BY2" i="17" s="1"/>
  <c r="BZ2" i="17" s="1"/>
  <c r="CA2" i="17" s="1"/>
  <c r="CB2" i="17" s="1"/>
  <c r="CC2" i="17" s="1"/>
  <c r="CD2" i="17" s="1"/>
  <c r="CE2" i="17" s="1"/>
  <c r="CF2" i="17" s="1"/>
  <c r="CG2" i="17" s="1"/>
  <c r="CH2" i="17" s="1"/>
  <c r="CI2" i="17" s="1"/>
  <c r="CJ2" i="17" s="1"/>
  <c r="CK2" i="17" s="1"/>
  <c r="CL2" i="17" s="1"/>
  <c r="CM2" i="17" s="1"/>
  <c r="CN2" i="17" s="1"/>
  <c r="CO2" i="17" s="1"/>
  <c r="CP2" i="17" s="1"/>
  <c r="CQ2" i="17" s="1"/>
  <c r="CR2" i="17" s="1"/>
  <c r="H3" i="7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BW3" i="7" s="1"/>
  <c r="BX3" i="7" s="1"/>
  <c r="BY3" i="7" s="1"/>
  <c r="BZ3" i="7" s="1"/>
  <c r="CA3" i="7" s="1"/>
  <c r="CB3" i="7" s="1"/>
  <c r="CC3" i="7" s="1"/>
  <c r="CD3" i="7" s="1"/>
  <c r="CE3" i="7" s="1"/>
  <c r="CF3" i="7" s="1"/>
  <c r="CG3" i="7" s="1"/>
  <c r="CH3" i="7" s="1"/>
  <c r="CI3" i="7" s="1"/>
  <c r="CJ3" i="7" s="1"/>
  <c r="CK3" i="7" s="1"/>
  <c r="CL3" i="7" s="1"/>
  <c r="CM3" i="7" s="1"/>
  <c r="CN3" i="7" s="1"/>
  <c r="CO3" i="7" s="1"/>
  <c r="CP3" i="7" s="1"/>
  <c r="CQ3" i="7" s="1"/>
  <c r="CR3" i="7" s="1"/>
  <c r="CS3" i="7" s="1"/>
  <c r="CT3" i="7" s="1"/>
  <c r="CU3" i="7" s="1"/>
  <c r="CV3" i="7" s="1"/>
  <c r="I2" i="7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U5" i="9"/>
  <c r="O5" i="9"/>
  <c r="F3" i="9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P3" i="9" s="1"/>
  <c r="BQ3" i="9" s="1"/>
  <c r="BR3" i="9" s="1"/>
  <c r="BS3" i="9" s="1"/>
  <c r="BT3" i="9" s="1"/>
  <c r="BU3" i="9" s="1"/>
  <c r="BV3" i="9" s="1"/>
  <c r="BW3" i="9" s="1"/>
  <c r="BX3" i="9" s="1"/>
  <c r="BY3" i="9" s="1"/>
  <c r="BZ3" i="9" s="1"/>
  <c r="CA3" i="9" s="1"/>
  <c r="CB3" i="9" s="1"/>
  <c r="CC3" i="9" s="1"/>
  <c r="CD3" i="9" s="1"/>
  <c r="CE3" i="9" s="1"/>
  <c r="CF3" i="9" s="1"/>
  <c r="CG3" i="9" s="1"/>
  <c r="CH3" i="9" s="1"/>
  <c r="CI3" i="9" s="1"/>
  <c r="CJ3" i="9" s="1"/>
  <c r="CK3" i="9" s="1"/>
  <c r="CL3" i="9" s="1"/>
  <c r="CM3" i="9" s="1"/>
  <c r="CN3" i="9" s="1"/>
  <c r="CO3" i="9" s="1"/>
  <c r="CP3" i="9" s="1"/>
  <c r="CQ3" i="9" s="1"/>
  <c r="CR3" i="9" s="1"/>
  <c r="CS3" i="9" s="1"/>
  <c r="CT3" i="9" s="1"/>
  <c r="G2" i="9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AG2" i="9" s="1"/>
  <c r="AH2" i="9" s="1"/>
  <c r="AI2" i="9" s="1"/>
  <c r="AJ2" i="9" s="1"/>
  <c r="AK2" i="9" s="1"/>
  <c r="AL2" i="9" s="1"/>
  <c r="AM2" i="9" s="1"/>
  <c r="AN2" i="9" s="1"/>
  <c r="AO2" i="9" s="1"/>
  <c r="AP2" i="9" s="1"/>
  <c r="AQ2" i="9" s="1"/>
  <c r="AR2" i="9" s="1"/>
  <c r="AS2" i="9" s="1"/>
  <c r="AT2" i="9" s="1"/>
  <c r="AU2" i="9" s="1"/>
  <c r="AV2" i="9" s="1"/>
  <c r="AW2" i="9" s="1"/>
  <c r="AX2" i="9" s="1"/>
  <c r="AY2" i="9" s="1"/>
  <c r="AZ2" i="9" s="1"/>
  <c r="BA2" i="9" s="1"/>
  <c r="BB2" i="9" s="1"/>
  <c r="BC2" i="9" s="1"/>
  <c r="BD2" i="9" s="1"/>
  <c r="BE2" i="9" s="1"/>
  <c r="BF2" i="9" s="1"/>
  <c r="BG2" i="9" s="1"/>
  <c r="BH2" i="9" s="1"/>
  <c r="BI2" i="9" s="1"/>
  <c r="BJ2" i="9" s="1"/>
  <c r="BK2" i="9" s="1"/>
  <c r="BL2" i="9" s="1"/>
  <c r="BM2" i="9" s="1"/>
  <c r="BN2" i="9" s="1"/>
  <c r="BO2" i="9" s="1"/>
  <c r="BP2" i="9" s="1"/>
  <c r="BQ2" i="9" s="1"/>
  <c r="BR2" i="9" s="1"/>
  <c r="BS2" i="9" s="1"/>
  <c r="BT2" i="9" s="1"/>
  <c r="BU2" i="9" s="1"/>
  <c r="BV2" i="9" s="1"/>
  <c r="BW2" i="9" s="1"/>
  <c r="BX2" i="9" s="1"/>
  <c r="BY2" i="9" s="1"/>
  <c r="BZ2" i="9" s="1"/>
  <c r="CA2" i="9" s="1"/>
  <c r="CB2" i="9" s="1"/>
  <c r="CC2" i="9" s="1"/>
  <c r="CD2" i="9" s="1"/>
  <c r="CE2" i="9" s="1"/>
  <c r="CF2" i="9" s="1"/>
  <c r="CG2" i="9" s="1"/>
  <c r="CH2" i="9" s="1"/>
  <c r="CI2" i="9" s="1"/>
  <c r="CJ2" i="9" s="1"/>
  <c r="CK2" i="9" s="1"/>
  <c r="CL2" i="9" s="1"/>
  <c r="CM2" i="9" s="1"/>
  <c r="CN2" i="9" s="1"/>
  <c r="CO2" i="9" s="1"/>
  <c r="CP2" i="9" s="1"/>
  <c r="CQ2" i="9" s="1"/>
  <c r="CR2" i="9" s="1"/>
  <c r="CS2" i="9" s="1"/>
  <c r="CT2" i="9" s="1"/>
  <c r="X5" i="8"/>
  <c r="L5" i="8"/>
  <c r="G2" i="8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BE2" i="8" s="1"/>
  <c r="BF2" i="8" s="1"/>
  <c r="BG2" i="8" s="1"/>
  <c r="BH2" i="8" s="1"/>
  <c r="BI2" i="8" s="1"/>
  <c r="BJ2" i="8" s="1"/>
  <c r="BK2" i="8" s="1"/>
  <c r="BL2" i="8" s="1"/>
  <c r="BM2" i="8" s="1"/>
  <c r="BN2" i="8" s="1"/>
  <c r="BO2" i="8" s="1"/>
  <c r="BP2" i="8" s="1"/>
  <c r="BQ2" i="8" s="1"/>
  <c r="BR2" i="8" s="1"/>
  <c r="BS2" i="8" s="1"/>
  <c r="BT2" i="8" s="1"/>
  <c r="BU2" i="8" s="1"/>
  <c r="BV2" i="8" s="1"/>
  <c r="BW2" i="8" s="1"/>
  <c r="BX2" i="8" s="1"/>
  <c r="BY2" i="8" s="1"/>
  <c r="BZ2" i="8" s="1"/>
  <c r="CA2" i="8" s="1"/>
  <c r="CB2" i="8" s="1"/>
  <c r="CC2" i="8" s="1"/>
  <c r="CD2" i="8" s="1"/>
  <c r="CE2" i="8" s="1"/>
  <c r="CF2" i="8" s="1"/>
  <c r="CG2" i="8" s="1"/>
  <c r="CH2" i="8" s="1"/>
  <c r="CI2" i="8" s="1"/>
  <c r="CJ2" i="8" s="1"/>
  <c r="CK2" i="8" s="1"/>
  <c r="CL2" i="8" s="1"/>
  <c r="CM2" i="8" s="1"/>
  <c r="CN2" i="8" s="1"/>
  <c r="CO2" i="8" s="1"/>
  <c r="CP2" i="8" s="1"/>
  <c r="CQ2" i="8" s="1"/>
  <c r="CR2" i="8" s="1"/>
  <c r="CS2" i="8" s="1"/>
  <c r="CT2" i="8" s="1"/>
  <c r="X21" i="8"/>
  <c r="Y21" i="8"/>
  <c r="Z21" i="8"/>
  <c r="G19" i="8"/>
  <c r="H19" i="8"/>
  <c r="I19" i="8"/>
  <c r="J19" i="8"/>
  <c r="K19" i="8"/>
  <c r="F19" i="8"/>
  <c r="G20" i="8"/>
  <c r="H20" i="8"/>
  <c r="I20" i="8"/>
  <c r="J20" i="8"/>
  <c r="K20" i="8"/>
  <c r="F20" i="8"/>
  <c r="J22" i="8"/>
  <c r="K22" i="8"/>
  <c r="I22" i="8"/>
  <c r="E5" i="8"/>
  <c r="J23" i="8"/>
  <c r="K23" i="8"/>
  <c r="E5" i="6"/>
  <c r="B5" i="14"/>
  <c r="S43" i="6"/>
  <c r="N83" i="2"/>
  <c r="G83" i="2"/>
  <c r="F83" i="2" s="1"/>
  <c r="D84" i="2" s="1"/>
  <c r="D85" i="2" s="1"/>
  <c r="O79" i="2"/>
  <c r="U23" i="17"/>
  <c r="T23" i="17"/>
  <c r="S23" i="17"/>
  <c r="R23" i="17"/>
  <c r="Q23" i="17"/>
  <c r="P23" i="17"/>
  <c r="O23" i="17"/>
  <c r="N23" i="17"/>
  <c r="M23" i="17"/>
  <c r="L23" i="17"/>
  <c r="K23" i="17"/>
  <c r="J23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G19" i="17"/>
  <c r="U21" i="8"/>
  <c r="V21" i="8"/>
  <c r="W21" i="8"/>
  <c r="W39" i="7"/>
  <c r="X39" i="7"/>
  <c r="Y39" i="7"/>
  <c r="S31" i="17"/>
  <c r="T31" i="17"/>
  <c r="U31" i="17"/>
  <c r="O41" i="8"/>
  <c r="L21" i="8"/>
  <c r="M21" i="8"/>
  <c r="N21" i="8"/>
  <c r="O21" i="8"/>
  <c r="P21" i="8"/>
  <c r="Q21" i="8"/>
  <c r="R21" i="8"/>
  <c r="S21" i="8"/>
  <c r="T21" i="8"/>
  <c r="O37" i="10"/>
  <c r="G8" i="7"/>
  <c r="T39" i="7"/>
  <c r="U39" i="7"/>
  <c r="V39" i="7"/>
  <c r="P31" i="17"/>
  <c r="Q31" i="17"/>
  <c r="R31" i="17"/>
  <c r="R39" i="7"/>
  <c r="S39" i="7"/>
  <c r="Q39" i="7"/>
  <c r="Q5" i="7"/>
  <c r="K49" i="17"/>
  <c r="J49" i="17"/>
  <c r="M32" i="17"/>
  <c r="M5" i="17" s="1"/>
  <c r="M31" i="17"/>
  <c r="N31" i="17"/>
  <c r="O31" i="17"/>
  <c r="C7" i="5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B16" i="8"/>
  <c r="F21" i="8"/>
  <c r="G21" i="8"/>
  <c r="H21" i="8"/>
  <c r="K21" i="8"/>
  <c r="J21" i="8"/>
  <c r="I21" i="8"/>
  <c r="I23" i="8"/>
  <c r="C7" i="17"/>
  <c r="D68" i="2"/>
  <c r="D65" i="2"/>
  <c r="I36" i="9"/>
  <c r="K26" i="7"/>
  <c r="F3" i="8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I25" i="5"/>
  <c r="I28" i="5"/>
  <c r="E8" i="9"/>
  <c r="F8" i="9" s="1"/>
  <c r="G8" i="9" s="1"/>
  <c r="H8" i="9" s="1"/>
  <c r="E10" i="8"/>
  <c r="C7" i="6"/>
  <c r="I26" i="5"/>
  <c r="I21" i="5"/>
  <c r="H22" i="5"/>
  <c r="H25" i="5" s="1"/>
  <c r="BY69" i="8" l="1"/>
  <c r="BX69" i="8"/>
  <c r="BX10" i="8"/>
  <c r="AV69" i="8"/>
  <c r="AS52" i="8"/>
  <c r="AU69" i="8"/>
  <c r="BN69" i="8"/>
  <c r="AT69" i="8"/>
  <c r="BM69" i="8"/>
  <c r="AS69" i="8"/>
  <c r="AS10" i="8" s="1"/>
  <c r="BL69" i="8"/>
  <c r="BP52" i="8"/>
  <c r="BK69" i="8"/>
  <c r="BO52" i="8"/>
  <c r="BO69" i="8" s="1"/>
  <c r="BB52" i="8"/>
  <c r="BB69" i="8" s="1"/>
  <c r="BP69" i="8"/>
  <c r="BD69" i="8"/>
  <c r="BC69" i="8"/>
  <c r="BG52" i="8"/>
  <c r="BG69" i="8" s="1"/>
  <c r="BV69" i="8"/>
  <c r="BF52" i="8"/>
  <c r="BF69" i="8" s="1"/>
  <c r="BU69" i="8"/>
  <c r="BA69" i="8"/>
  <c r="BE52" i="8"/>
  <c r="BE69" i="8" s="1"/>
  <c r="BT69" i="8"/>
  <c r="AZ69" i="8"/>
  <c r="BD52" i="8"/>
  <c r="BW52" i="8"/>
  <c r="BC52" i="8"/>
  <c r="BW69" i="8"/>
  <c r="BS69" i="8"/>
  <c r="AY69" i="8"/>
  <c r="BX6" i="9"/>
  <c r="BT6" i="2" s="1"/>
  <c r="BY8" i="9"/>
  <c r="BX9" i="9"/>
  <c r="AY6" i="9"/>
  <c r="AU6" i="2" s="1"/>
  <c r="AY9" i="9"/>
  <c r="AZ8" i="9"/>
  <c r="AS6" i="9"/>
  <c r="AO6" i="2" s="1"/>
  <c r="AS9" i="9"/>
  <c r="AX6" i="9"/>
  <c r="AT6" i="2" s="1"/>
  <c r="AX9" i="9"/>
  <c r="AW6" i="9"/>
  <c r="AS6" i="2" s="1"/>
  <c r="AW9" i="9"/>
  <c r="AV6" i="9"/>
  <c r="AR6" i="2" s="1"/>
  <c r="AV9" i="9"/>
  <c r="AU6" i="9"/>
  <c r="AQ6" i="2" s="1"/>
  <c r="AU9" i="9"/>
  <c r="AT6" i="9"/>
  <c r="AP6" i="2" s="1"/>
  <c r="AT9" i="9"/>
  <c r="CA54" i="7"/>
  <c r="BZ54" i="7"/>
  <c r="BY54" i="7"/>
  <c r="BX54" i="7"/>
  <c r="BX8" i="7"/>
  <c r="BP54" i="7"/>
  <c r="AV54" i="7"/>
  <c r="BO54" i="7"/>
  <c r="AU54" i="7"/>
  <c r="BK54" i="7"/>
  <c r="BB38" i="7"/>
  <c r="BB54" i="7" s="1"/>
  <c r="BA38" i="7"/>
  <c r="BA54" i="7" s="1"/>
  <c r="AU8" i="7"/>
  <c r="BN38" i="7"/>
  <c r="BN54" i="7" s="1"/>
  <c r="BM38" i="7"/>
  <c r="BM54" i="7" s="1"/>
  <c r="BT54" i="7"/>
  <c r="AZ54" i="7"/>
  <c r="BL38" i="7"/>
  <c r="BL54" i="7" s="1"/>
  <c r="BS54" i="7"/>
  <c r="AY54" i="7"/>
  <c r="BK38" i="7"/>
  <c r="BR54" i="7"/>
  <c r="AX54" i="7"/>
  <c r="BJ38" i="7"/>
  <c r="BJ54" i="7" s="1"/>
  <c r="BQ54" i="7"/>
  <c r="AW54" i="7"/>
  <c r="AJ54" i="7"/>
  <c r="J54" i="7"/>
  <c r="AI54" i="7"/>
  <c r="AQ54" i="7"/>
  <c r="AH54" i="7"/>
  <c r="AG54" i="7"/>
  <c r="AF54" i="7"/>
  <c r="AS38" i="7"/>
  <c r="AR38" i="7"/>
  <c r="AP38" i="7"/>
  <c r="AP54" i="7" s="1"/>
  <c r="AS54" i="7"/>
  <c r="AO38" i="7"/>
  <c r="AO54" i="7" s="1"/>
  <c r="BS39" i="17"/>
  <c r="BR39" i="17"/>
  <c r="AW39" i="17"/>
  <c r="BP39" i="17"/>
  <c r="BU39" i="17"/>
  <c r="AN39" i="17"/>
  <c r="AN4" i="17" s="1"/>
  <c r="AO39" i="17"/>
  <c r="BV30" i="17"/>
  <c r="BV39" i="17" s="1"/>
  <c r="AP39" i="17"/>
  <c r="AX39" i="17"/>
  <c r="BQ39" i="17"/>
  <c r="AV39" i="17"/>
  <c r="BB30" i="17"/>
  <c r="BB39" i="17" s="1"/>
  <c r="BK39" i="17"/>
  <c r="BJ30" i="17"/>
  <c r="BJ39" i="17"/>
  <c r="BI30" i="17"/>
  <c r="BI39" i="17" s="1"/>
  <c r="BO39" i="17"/>
  <c r="AU39" i="17"/>
  <c r="BH30" i="17"/>
  <c r="BH39" i="17" s="1"/>
  <c r="BN39" i="17"/>
  <c r="AT39" i="17"/>
  <c r="BM39" i="17"/>
  <c r="AS39" i="17"/>
  <c r="BL39" i="17"/>
  <c r="AR39" i="17"/>
  <c r="AQ39" i="17"/>
  <c r="BG30" i="17"/>
  <c r="BG39" i="17" s="1"/>
  <c r="BF30" i="17"/>
  <c r="BF39" i="17" s="1"/>
  <c r="BE30" i="17"/>
  <c r="BE39" i="17" s="1"/>
  <c r="BD30" i="17"/>
  <c r="BD39" i="17" s="1"/>
  <c r="BW30" i="17"/>
  <c r="BW39" i="17" s="1"/>
  <c r="BC30" i="17"/>
  <c r="BC39" i="17" s="1"/>
  <c r="BU9" i="10"/>
  <c r="BT26" i="10"/>
  <c r="BR6" i="10"/>
  <c r="BP3" i="2" s="1"/>
  <c r="BR8" i="10"/>
  <c r="BS26" i="10"/>
  <c r="BS7" i="10" s="1"/>
  <c r="AQ6" i="10"/>
  <c r="AQ8" i="10"/>
  <c r="AR7" i="10"/>
  <c r="AV26" i="10"/>
  <c r="AW9" i="10"/>
  <c r="AO3" i="2"/>
  <c r="BE19" i="6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AX7" i="6"/>
  <c r="AW6" i="6"/>
  <c r="AU2" i="2" s="1"/>
  <c r="AV6" i="6"/>
  <c r="AT2" i="2" s="1"/>
  <c r="AV8" i="6"/>
  <c r="AU6" i="6"/>
  <c r="AS2" i="2" s="1"/>
  <c r="AU8" i="6"/>
  <c r="AT6" i="6"/>
  <c r="AR2" i="2" s="1"/>
  <c r="AT8" i="6"/>
  <c r="AS6" i="6"/>
  <c r="AQ2" i="2" s="1"/>
  <c r="AS8" i="6"/>
  <c r="AR6" i="6"/>
  <c r="AP2" i="2" s="1"/>
  <c r="AR8" i="6"/>
  <c r="AQ6" i="6"/>
  <c r="AO2" i="2" s="1"/>
  <c r="AQ8" i="6"/>
  <c r="AW8" i="6"/>
  <c r="AQ66" i="8"/>
  <c r="AP66" i="8"/>
  <c r="AQ69" i="8"/>
  <c r="AP69" i="8"/>
  <c r="AT38" i="7"/>
  <c r="AT54" i="7" s="1"/>
  <c r="AR54" i="7"/>
  <c r="AN6" i="6"/>
  <c r="AL2" i="2" s="1"/>
  <c r="AO7" i="6"/>
  <c r="AN8" i="6"/>
  <c r="AM30" i="17"/>
  <c r="AM39" i="17" s="1"/>
  <c r="AL30" i="17"/>
  <c r="AL39" i="17" s="1"/>
  <c r="AK30" i="17"/>
  <c r="AK39" i="17"/>
  <c r="AK19" i="6"/>
  <c r="AL19" i="6" s="1"/>
  <c r="AM19" i="6" s="1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E39" i="17"/>
  <c r="I39" i="17"/>
  <c r="F39" i="17"/>
  <c r="J39" i="17"/>
  <c r="G39" i="17"/>
  <c r="AJ30" i="17"/>
  <c r="AJ39" i="17" s="1"/>
  <c r="D39" i="17"/>
  <c r="D7" i="17" s="1"/>
  <c r="D6" i="17" s="1"/>
  <c r="B4" i="2" s="1"/>
  <c r="AI30" i="17"/>
  <c r="AI39" i="17" s="1"/>
  <c r="K39" i="17"/>
  <c r="L39" i="17"/>
  <c r="H39" i="17"/>
  <c r="AH30" i="17"/>
  <c r="AH39" i="17" s="1"/>
  <c r="AG30" i="17"/>
  <c r="AG39" i="17" s="1"/>
  <c r="AF30" i="17"/>
  <c r="AF39" i="17" s="1"/>
  <c r="AD30" i="17"/>
  <c r="AD39" i="17" s="1"/>
  <c r="AK14" i="6"/>
  <c r="AM14" i="6"/>
  <c r="AL14" i="6"/>
  <c r="AM38" i="7"/>
  <c r="AL38" i="7"/>
  <c r="AK38" i="7"/>
  <c r="AK54" i="7" s="1"/>
  <c r="AN38" i="7"/>
  <c r="AN54" i="7" s="1"/>
  <c r="AB52" i="8"/>
  <c r="AO52" i="8"/>
  <c r="AO69" i="8" s="1"/>
  <c r="AN52" i="8"/>
  <c r="AN69" i="8" s="1"/>
  <c r="AM52" i="8"/>
  <c r="AM69" i="8" s="1"/>
  <c r="AC52" i="8"/>
  <c r="AI14" i="6"/>
  <c r="AH14" i="6"/>
  <c r="AF14" i="6"/>
  <c r="AJ14" i="6"/>
  <c r="AE14" i="6"/>
  <c r="AG14" i="6"/>
  <c r="AD14" i="6"/>
  <c r="Y14" i="6"/>
  <c r="AC14" i="6"/>
  <c r="AB14" i="6"/>
  <c r="AA14" i="6"/>
  <c r="Y5" i="6"/>
  <c r="AM54" i="7"/>
  <c r="AL54" i="7"/>
  <c r="H69" i="8"/>
  <c r="W69" i="8"/>
  <c r="V69" i="8"/>
  <c r="U69" i="8"/>
  <c r="AA52" i="8"/>
  <c r="AA69" i="8" s="1"/>
  <c r="G69" i="8"/>
  <c r="AE52" i="8"/>
  <c r="AE69" i="8" s="1"/>
  <c r="AD52" i="8"/>
  <c r="AD69" i="8" s="1"/>
  <c r="AL52" i="8"/>
  <c r="AL69" i="8" s="1"/>
  <c r="F69" i="8"/>
  <c r="AF52" i="8"/>
  <c r="AF69" i="8" s="1"/>
  <c r="Y69" i="8"/>
  <c r="AG52" i="8"/>
  <c r="AG69" i="8" s="1"/>
  <c r="T69" i="8"/>
  <c r="S69" i="8"/>
  <c r="R69" i="8"/>
  <c r="Q69" i="8"/>
  <c r="AC69" i="8"/>
  <c r="P69" i="8"/>
  <c r="O69" i="8"/>
  <c r="N69" i="8"/>
  <c r="Z69" i="8"/>
  <c r="AI52" i="8"/>
  <c r="AI69" i="8" s="1"/>
  <c r="X69" i="8"/>
  <c r="AH52" i="8"/>
  <c r="AH69" i="8" s="1"/>
  <c r="M69" i="8"/>
  <c r="L69" i="8"/>
  <c r="K69" i="8"/>
  <c r="J69" i="8"/>
  <c r="I69" i="8"/>
  <c r="AB69" i="8"/>
  <c r="AK52" i="8"/>
  <c r="AK69" i="8" s="1"/>
  <c r="AJ52" i="8"/>
  <c r="AJ69" i="8" s="1"/>
  <c r="AE30" i="17"/>
  <c r="AC30" i="17"/>
  <c r="AC39" i="17" s="1"/>
  <c r="AE39" i="17"/>
  <c r="AG5" i="17"/>
  <c r="F6" i="9"/>
  <c r="B6" i="2" s="1"/>
  <c r="AE38" i="7"/>
  <c r="AE54" i="7" s="1"/>
  <c r="AD38" i="7"/>
  <c r="AD54" i="7" s="1"/>
  <c r="AC38" i="7"/>
  <c r="AC54" i="7" s="1"/>
  <c r="Y30" i="17"/>
  <c r="Y39" i="17" s="1"/>
  <c r="AB30" i="17"/>
  <c r="AB39" i="17" s="1"/>
  <c r="AA30" i="17"/>
  <c r="AA39" i="17" s="1"/>
  <c r="Z30" i="17"/>
  <c r="Z39" i="17" s="1"/>
  <c r="U3" i="10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G3" i="10" s="1"/>
  <c r="AH3" i="10" s="1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Z3" i="10" s="1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BK3" i="10" s="1"/>
  <c r="BL3" i="10" s="1"/>
  <c r="BM3" i="10" s="1"/>
  <c r="BN3" i="10" s="1"/>
  <c r="BO3" i="10" s="1"/>
  <c r="BP3" i="10" s="1"/>
  <c r="BQ3" i="10" s="1"/>
  <c r="BR3" i="10" s="1"/>
  <c r="BS3" i="10" s="1"/>
  <c r="BT3" i="10" s="1"/>
  <c r="BU3" i="10" s="1"/>
  <c r="BV3" i="10" s="1"/>
  <c r="BW3" i="10" s="1"/>
  <c r="BX3" i="10" s="1"/>
  <c r="BY3" i="10" s="1"/>
  <c r="BZ3" i="10" s="1"/>
  <c r="CA3" i="10" s="1"/>
  <c r="CB3" i="10" s="1"/>
  <c r="CC3" i="10" s="1"/>
  <c r="CD3" i="10" s="1"/>
  <c r="CE3" i="10" s="1"/>
  <c r="CF3" i="10" s="1"/>
  <c r="CG3" i="10" s="1"/>
  <c r="CH3" i="10" s="1"/>
  <c r="CI3" i="10" s="1"/>
  <c r="CJ3" i="10" s="1"/>
  <c r="CK3" i="10" s="1"/>
  <c r="CL3" i="10" s="1"/>
  <c r="CM3" i="10" s="1"/>
  <c r="CN3" i="10" s="1"/>
  <c r="CO3" i="10" s="1"/>
  <c r="CP3" i="10" s="1"/>
  <c r="CQ3" i="10" s="1"/>
  <c r="CR3" i="10" s="1"/>
  <c r="AA38" i="7"/>
  <c r="AB38" i="7"/>
  <c r="Z38" i="7"/>
  <c r="AB32" i="7"/>
  <c r="AA32" i="7"/>
  <c r="Z32" i="7"/>
  <c r="P32" i="7"/>
  <c r="X30" i="17"/>
  <c r="X39" i="17" s="1"/>
  <c r="W30" i="17"/>
  <c r="W39" i="17" s="1"/>
  <c r="AB26" i="7"/>
  <c r="AA26" i="7"/>
  <c r="Z26" i="7"/>
  <c r="V30" i="17"/>
  <c r="V39" i="17" s="1"/>
  <c r="Y26" i="7"/>
  <c r="X26" i="7"/>
  <c r="W26" i="7"/>
  <c r="Y38" i="7"/>
  <c r="X38" i="7"/>
  <c r="Y32" i="7"/>
  <c r="X32" i="7"/>
  <c r="N32" i="7"/>
  <c r="W32" i="7"/>
  <c r="O32" i="7"/>
  <c r="O54" i="7" s="1"/>
  <c r="G6" i="9"/>
  <c r="C6" i="2" s="1"/>
  <c r="H6" i="9"/>
  <c r="D6" i="2" s="1"/>
  <c r="AA3" i="8"/>
  <c r="AB3" i="8" s="1"/>
  <c r="AC3" i="8" s="1"/>
  <c r="AD3" i="8" s="1"/>
  <c r="AE3" i="8" s="1"/>
  <c r="AF3" i="8" s="1"/>
  <c r="AG3" i="8" s="1"/>
  <c r="AH3" i="8" s="1"/>
  <c r="AI3" i="8" s="1"/>
  <c r="AJ3" i="8" s="1"/>
  <c r="AK3" i="8" s="1"/>
  <c r="AL3" i="8" s="1"/>
  <c r="AM3" i="8" s="1"/>
  <c r="AN3" i="8" s="1"/>
  <c r="AO3" i="8" s="1"/>
  <c r="AP3" i="8" s="1"/>
  <c r="AQ3" i="8" s="1"/>
  <c r="AR3" i="8" s="1"/>
  <c r="AS3" i="8" s="1"/>
  <c r="AT3" i="8" s="1"/>
  <c r="AU3" i="8" s="1"/>
  <c r="AV3" i="8" s="1"/>
  <c r="AW3" i="8" s="1"/>
  <c r="AX3" i="8" s="1"/>
  <c r="AY3" i="8" s="1"/>
  <c r="AZ3" i="8" s="1"/>
  <c r="BA3" i="8" s="1"/>
  <c r="BB3" i="8" s="1"/>
  <c r="BC3" i="8" s="1"/>
  <c r="BD3" i="8" s="1"/>
  <c r="BE3" i="8" s="1"/>
  <c r="BF3" i="8" s="1"/>
  <c r="BG3" i="8" s="1"/>
  <c r="BH3" i="8" s="1"/>
  <c r="BI3" i="8" s="1"/>
  <c r="BJ3" i="8" s="1"/>
  <c r="BK3" i="8" s="1"/>
  <c r="BL3" i="8" s="1"/>
  <c r="BM3" i="8" s="1"/>
  <c r="BN3" i="8" s="1"/>
  <c r="BO3" i="8" s="1"/>
  <c r="BP3" i="8" s="1"/>
  <c r="BQ3" i="8" s="1"/>
  <c r="BR3" i="8" s="1"/>
  <c r="BS3" i="8" s="1"/>
  <c r="BT3" i="8" s="1"/>
  <c r="BU3" i="8" s="1"/>
  <c r="BV3" i="8" s="1"/>
  <c r="BW3" i="8" s="1"/>
  <c r="BX3" i="8" s="1"/>
  <c r="BY3" i="8" s="1"/>
  <c r="BZ3" i="8" s="1"/>
  <c r="CA3" i="8" s="1"/>
  <c r="CB3" i="8" s="1"/>
  <c r="CC3" i="8" s="1"/>
  <c r="CD3" i="8" s="1"/>
  <c r="CE3" i="8" s="1"/>
  <c r="CF3" i="8" s="1"/>
  <c r="CG3" i="8" s="1"/>
  <c r="CH3" i="8" s="1"/>
  <c r="CI3" i="8" s="1"/>
  <c r="CJ3" i="8" s="1"/>
  <c r="CK3" i="8" s="1"/>
  <c r="CL3" i="8" s="1"/>
  <c r="CM3" i="8" s="1"/>
  <c r="CN3" i="8" s="1"/>
  <c r="CO3" i="8" s="1"/>
  <c r="CP3" i="8" s="1"/>
  <c r="CQ3" i="8" s="1"/>
  <c r="CR3" i="8" s="1"/>
  <c r="CS3" i="8" s="1"/>
  <c r="CT3" i="8" s="1"/>
  <c r="O80" i="2"/>
  <c r="O81" i="2" s="1"/>
  <c r="O82" i="2" s="1"/>
  <c r="O83" i="2" s="1"/>
  <c r="N84" i="2" s="1"/>
  <c r="M84" i="2" s="1"/>
  <c r="K85" i="2" s="1"/>
  <c r="U30" i="17"/>
  <c r="U39" i="17" s="1"/>
  <c r="W38" i="7"/>
  <c r="S30" i="17"/>
  <c r="S39" i="17" s="1"/>
  <c r="T30" i="17"/>
  <c r="T39" i="17" s="1"/>
  <c r="V32" i="7"/>
  <c r="U32" i="7"/>
  <c r="T32" i="7"/>
  <c r="S26" i="7"/>
  <c r="S54" i="7" s="1"/>
  <c r="R26" i="7"/>
  <c r="Q26" i="7"/>
  <c r="Q54" i="7" s="1"/>
  <c r="V26" i="7"/>
  <c r="U26" i="7"/>
  <c r="T26" i="7"/>
  <c r="V38" i="7"/>
  <c r="V54" i="7" s="1"/>
  <c r="U38" i="7"/>
  <c r="T38" i="7"/>
  <c r="P30" i="17"/>
  <c r="P39" i="17" s="1"/>
  <c r="R30" i="17"/>
  <c r="R39" i="17" s="1"/>
  <c r="Q30" i="17"/>
  <c r="Q39" i="17" s="1"/>
  <c r="S38" i="7"/>
  <c r="R38" i="7"/>
  <c r="Q38" i="7"/>
  <c r="Q32" i="7"/>
  <c r="R32" i="7"/>
  <c r="S32" i="7"/>
  <c r="D69" i="2"/>
  <c r="P26" i="7"/>
  <c r="P54" i="7" s="1"/>
  <c r="O26" i="7"/>
  <c r="N26" i="7"/>
  <c r="M26" i="7"/>
  <c r="M54" i="7" s="1"/>
  <c r="L26" i="7"/>
  <c r="L54" i="7" s="1"/>
  <c r="I8" i="9"/>
  <c r="I6" i="9" s="1"/>
  <c r="E6" i="2" s="1"/>
  <c r="F9" i="9"/>
  <c r="G9" i="9"/>
  <c r="H9" i="9"/>
  <c r="C34" i="10"/>
  <c r="E9" i="10"/>
  <c r="E26" i="10" s="1"/>
  <c r="BX6" i="8" l="1"/>
  <c r="BT7" i="2" s="1"/>
  <c r="BY10" i="8"/>
  <c r="BX11" i="8"/>
  <c r="AS6" i="8"/>
  <c r="AO7" i="2" s="1"/>
  <c r="AS11" i="8"/>
  <c r="AT10" i="8"/>
  <c r="BY6" i="9"/>
  <c r="BU6" i="2" s="1"/>
  <c r="BY9" i="9"/>
  <c r="AZ6" i="9"/>
  <c r="AV6" i="2" s="1"/>
  <c r="AZ9" i="9"/>
  <c r="BA8" i="9"/>
  <c r="BX6" i="7"/>
  <c r="BR5" i="2" s="1"/>
  <c r="BY8" i="7"/>
  <c r="BX9" i="7"/>
  <c r="AU6" i="7"/>
  <c r="AO5" i="2" s="1"/>
  <c r="AV8" i="7"/>
  <c r="AU9" i="7"/>
  <c r="T54" i="7"/>
  <c r="U54" i="7"/>
  <c r="N54" i="7"/>
  <c r="W54" i="7"/>
  <c r="AB54" i="7"/>
  <c r="BS6" i="10"/>
  <c r="BQ3" i="2" s="1"/>
  <c r="BT7" i="10"/>
  <c r="BS8" i="10"/>
  <c r="BV9" i="10"/>
  <c r="BU26" i="10"/>
  <c r="AW26" i="10"/>
  <c r="AX9" i="10"/>
  <c r="AR6" i="10"/>
  <c r="AR8" i="10"/>
  <c r="AS7" i="10"/>
  <c r="AY7" i="6"/>
  <c r="AX6" i="6"/>
  <c r="AV2" i="2" s="1"/>
  <c r="AX8" i="6"/>
  <c r="AO6" i="6"/>
  <c r="AM2" i="2" s="1"/>
  <c r="AP7" i="6"/>
  <c r="AO8" i="6"/>
  <c r="D6" i="6"/>
  <c r="B2" i="2" s="1"/>
  <c r="X54" i="7"/>
  <c r="AA54" i="7"/>
  <c r="R54" i="7"/>
  <c r="Y54" i="7"/>
  <c r="Z54" i="7"/>
  <c r="AO4" i="8"/>
  <c r="C7" i="10"/>
  <c r="D7" i="10" s="1"/>
  <c r="E7" i="10" s="1"/>
  <c r="C5" i="10"/>
  <c r="M30" i="17"/>
  <c r="M39" i="17" s="1"/>
  <c r="O30" i="17"/>
  <c r="O39" i="17" s="1"/>
  <c r="N30" i="17"/>
  <c r="N39" i="17" s="1"/>
  <c r="J8" i="9"/>
  <c r="D8" i="6"/>
  <c r="D8" i="17"/>
  <c r="F9" i="10"/>
  <c r="F26" i="10" s="1"/>
  <c r="E7" i="17"/>
  <c r="E6" i="17" s="1"/>
  <c r="C4" i="2" s="1"/>
  <c r="I9" i="9"/>
  <c r="H8" i="7"/>
  <c r="H6" i="7" s="1"/>
  <c r="B5" i="2" s="1"/>
  <c r="F10" i="8"/>
  <c r="F6" i="8" s="1"/>
  <c r="B7" i="2" s="1"/>
  <c r="E6" i="6"/>
  <c r="C2" i="2" s="1"/>
  <c r="C28" i="5"/>
  <c r="L5" i="13"/>
  <c r="L6" i="13"/>
  <c r="L7" i="13"/>
  <c r="L8" i="13"/>
  <c r="L9" i="13"/>
  <c r="L10" i="13"/>
  <c r="L11" i="13"/>
  <c r="J12" i="13"/>
  <c r="J13" i="13"/>
  <c r="I20" i="13"/>
  <c r="J6" i="13"/>
  <c r="J7" i="13"/>
  <c r="J8" i="13"/>
  <c r="J9" i="13"/>
  <c r="J10" i="13"/>
  <c r="J11" i="13"/>
  <c r="J5" i="13"/>
  <c r="G20" i="13"/>
  <c r="E20" i="13"/>
  <c r="C20" i="13"/>
  <c r="C65" i="5"/>
  <c r="H11" i="13"/>
  <c r="H10" i="13"/>
  <c r="H9" i="13"/>
  <c r="H8" i="13"/>
  <c r="H7" i="13"/>
  <c r="H6" i="13"/>
  <c r="H5" i="13"/>
  <c r="I54" i="2"/>
  <c r="I56" i="2"/>
  <c r="I55" i="2"/>
  <c r="C53" i="5"/>
  <c r="C54" i="5"/>
  <c r="C55" i="5"/>
  <c r="C24" i="5"/>
  <c r="F9" i="5"/>
  <c r="C8" i="5"/>
  <c r="C41" i="5"/>
  <c r="C39" i="5"/>
  <c r="C40" i="5" s="1"/>
  <c r="C23" i="5"/>
  <c r="C25" i="5"/>
  <c r="C26" i="5" s="1"/>
  <c r="C27" i="5" s="1"/>
  <c r="C9" i="5"/>
  <c r="F56" i="2"/>
  <c r="F54" i="2"/>
  <c r="F55" i="2"/>
  <c r="F53" i="2"/>
  <c r="F58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2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C23" i="1" s="1"/>
  <c r="C24" i="1" s="1"/>
  <c r="C25" i="1" s="1"/>
  <c r="C26" i="1" s="1"/>
  <c r="C27" i="1" s="1"/>
  <c r="C28" i="1" s="1"/>
  <c r="C29" i="1" s="1"/>
  <c r="C30" i="1" s="1"/>
  <c r="B23" i="1"/>
  <c r="B24" i="1"/>
  <c r="B25" i="1"/>
  <c r="B26" i="1"/>
  <c r="B27" i="1"/>
  <c r="B28" i="1"/>
  <c r="B29" i="1"/>
  <c r="B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B10" i="1"/>
  <c r="B11" i="1"/>
  <c r="B12" i="1"/>
  <c r="B13" i="1"/>
  <c r="B14" i="1"/>
  <c r="B15" i="1"/>
  <c r="B9" i="1"/>
  <c r="C2" i="1"/>
  <c r="B2" i="1"/>
  <c r="B3" i="1"/>
  <c r="B5" i="1" s="1"/>
  <c r="B7" i="1" s="1"/>
  <c r="B4" i="1"/>
  <c r="B6" i="1" s="1"/>
  <c r="B8" i="1" s="1"/>
  <c r="BY6" i="8" l="1"/>
  <c r="BU7" i="2" s="1"/>
  <c r="BY11" i="8"/>
  <c r="AT6" i="8"/>
  <c r="AP7" i="2" s="1"/>
  <c r="AT11" i="8"/>
  <c r="AU10" i="8"/>
  <c r="BV6" i="2"/>
  <c r="BB8" i="9"/>
  <c r="BA6" i="9"/>
  <c r="AW6" i="2" s="1"/>
  <c r="BA9" i="9"/>
  <c r="BY6" i="7"/>
  <c r="BS5" i="2" s="1"/>
  <c r="BZ8" i="7"/>
  <c r="BY9" i="7"/>
  <c r="AV6" i="7"/>
  <c r="AP5" i="2" s="1"/>
  <c r="AV9" i="7"/>
  <c r="AW8" i="7"/>
  <c r="BW9" i="10"/>
  <c r="BW26" i="10" s="1"/>
  <c r="BV26" i="10"/>
  <c r="BT6" i="10"/>
  <c r="BR3" i="2" s="1"/>
  <c r="BU7" i="10"/>
  <c r="BT8" i="10"/>
  <c r="AS6" i="10"/>
  <c r="AS8" i="10"/>
  <c r="AT7" i="10"/>
  <c r="AX26" i="10"/>
  <c r="AY9" i="10"/>
  <c r="F7" i="10"/>
  <c r="AP3" i="2"/>
  <c r="AZ7" i="6"/>
  <c r="AY6" i="6"/>
  <c r="AW2" i="2" s="1"/>
  <c r="AY8" i="6"/>
  <c r="AP6" i="6"/>
  <c r="AN2" i="2" s="1"/>
  <c r="AP8" i="6"/>
  <c r="D6" i="10"/>
  <c r="B3" i="2" s="1"/>
  <c r="J6" i="9"/>
  <c r="F6" i="2" s="1"/>
  <c r="J9" i="9"/>
  <c r="K8" i="9"/>
  <c r="L8" i="9" s="1"/>
  <c r="L6" i="9" s="1"/>
  <c r="H6" i="2" s="1"/>
  <c r="F11" i="8"/>
  <c r="F7" i="17"/>
  <c r="F6" i="17" s="1"/>
  <c r="D4" i="2" s="1"/>
  <c r="G9" i="10"/>
  <c r="G26" i="10" s="1"/>
  <c r="E8" i="17"/>
  <c r="I8" i="7"/>
  <c r="I6" i="7" s="1"/>
  <c r="C5" i="2" s="1"/>
  <c r="H9" i="7"/>
  <c r="E6" i="10"/>
  <c r="C3" i="2" s="1"/>
  <c r="D8" i="10"/>
  <c r="F6" i="6"/>
  <c r="D2" i="2" s="1"/>
  <c r="E8" i="6"/>
  <c r="G10" i="8"/>
  <c r="G6" i="8" s="1"/>
  <c r="C7" i="2" s="1"/>
  <c r="C57" i="5"/>
  <c r="C11" i="5"/>
  <c r="C12" i="5" s="1"/>
  <c r="C42" i="5"/>
  <c r="C44" i="5" s="1"/>
  <c r="C30" i="5"/>
  <c r="F59" i="2"/>
  <c r="D58" i="2" s="1"/>
  <c r="B269" i="1"/>
  <c r="B271" i="1" s="1"/>
  <c r="B273" i="1" s="1"/>
  <c r="B270" i="1"/>
  <c r="B272" i="1" s="1"/>
  <c r="B274" i="1" s="1"/>
  <c r="B275" i="1"/>
  <c r="B38" i="1"/>
  <c r="B40" i="1" s="1"/>
  <c r="B42" i="1" s="1"/>
  <c r="B39" i="1"/>
  <c r="B41" i="1" s="1"/>
  <c r="B43" i="1" s="1"/>
  <c r="B44" i="1"/>
  <c r="AU6" i="8" l="1"/>
  <c r="AQ7" i="2" s="1"/>
  <c r="AU11" i="8"/>
  <c r="AV10" i="8"/>
  <c r="BC8" i="9"/>
  <c r="BB6" i="9"/>
  <c r="AX6" i="2" s="1"/>
  <c r="BB9" i="9"/>
  <c r="BZ6" i="7"/>
  <c r="BT5" i="2" s="1"/>
  <c r="CA8" i="7"/>
  <c r="BZ9" i="7"/>
  <c r="AW9" i="7"/>
  <c r="AW6" i="7"/>
  <c r="AQ5" i="2" s="1"/>
  <c r="AX8" i="7"/>
  <c r="BU6" i="10"/>
  <c r="BS3" i="2" s="1"/>
  <c r="BV7" i="10"/>
  <c r="BU8" i="10"/>
  <c r="AY26" i="10"/>
  <c r="AZ9" i="10"/>
  <c r="AT6" i="10"/>
  <c r="AT8" i="10"/>
  <c r="AU7" i="10"/>
  <c r="G7" i="10"/>
  <c r="AQ3" i="2"/>
  <c r="BA7" i="6"/>
  <c r="AZ6" i="6"/>
  <c r="AX2" i="2" s="1"/>
  <c r="AZ8" i="6"/>
  <c r="K9" i="9"/>
  <c r="K6" i="9"/>
  <c r="G6" i="2" s="1"/>
  <c r="M8" i="9"/>
  <c r="M6" i="9" s="1"/>
  <c r="I6" i="2" s="1"/>
  <c r="L9" i="9"/>
  <c r="E8" i="10"/>
  <c r="D59" i="2"/>
  <c r="G7" i="17"/>
  <c r="G6" i="17" s="1"/>
  <c r="E4" i="2" s="1"/>
  <c r="F8" i="17"/>
  <c r="H9" i="10"/>
  <c r="H26" i="10" s="1"/>
  <c r="F6" i="10"/>
  <c r="D3" i="2" s="1"/>
  <c r="J8" i="7"/>
  <c r="J6" i="7" s="1"/>
  <c r="D5" i="2" s="1"/>
  <c r="I9" i="7"/>
  <c r="H10" i="8"/>
  <c r="H6" i="8" s="1"/>
  <c r="D7" i="2" s="1"/>
  <c r="G11" i="8"/>
  <c r="G6" i="6"/>
  <c r="E2" i="2" s="1"/>
  <c r="F8" i="6"/>
  <c r="B282" i="1"/>
  <c r="B276" i="1"/>
  <c r="B278" i="1" s="1"/>
  <c r="B280" i="1" s="1"/>
  <c r="B277" i="1"/>
  <c r="B279" i="1" s="1"/>
  <c r="B281" i="1" s="1"/>
  <c r="C269" i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B51" i="1"/>
  <c r="B45" i="1"/>
  <c r="B47" i="1" s="1"/>
  <c r="B49" i="1" s="1"/>
  <c r="B46" i="1"/>
  <c r="B48" i="1" s="1"/>
  <c r="B50" i="1" s="1"/>
  <c r="C38" i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AV6" i="8" l="1"/>
  <c r="AR7" i="2" s="1"/>
  <c r="AV11" i="8"/>
  <c r="AW10" i="8"/>
  <c r="BD8" i="9"/>
  <c r="BC6" i="9"/>
  <c r="AY6" i="2" s="1"/>
  <c r="BC9" i="9"/>
  <c r="CA6" i="7"/>
  <c r="BU5" i="2" s="1"/>
  <c r="CA9" i="7"/>
  <c r="AX9" i="7"/>
  <c r="AX6" i="7"/>
  <c r="AR5" i="2" s="1"/>
  <c r="AY8" i="7"/>
  <c r="BV6" i="10"/>
  <c r="BT3" i="2" s="1"/>
  <c r="BW7" i="10"/>
  <c r="BV8" i="10"/>
  <c r="AU6" i="10"/>
  <c r="AV7" i="10"/>
  <c r="AU8" i="10"/>
  <c r="AZ26" i="10"/>
  <c r="BA9" i="10"/>
  <c r="H7" i="10"/>
  <c r="AR3" i="2"/>
  <c r="BB7" i="6"/>
  <c r="BA6" i="6"/>
  <c r="AY2" i="2" s="1"/>
  <c r="BA8" i="6"/>
  <c r="N8" i="9"/>
  <c r="M9" i="9"/>
  <c r="G6" i="10"/>
  <c r="E3" i="2" s="1"/>
  <c r="G8" i="17"/>
  <c r="H7" i="17"/>
  <c r="H6" i="17" s="1"/>
  <c r="F4" i="2" s="1"/>
  <c r="I9" i="10"/>
  <c r="I26" i="10" s="1"/>
  <c r="F8" i="10"/>
  <c r="K8" i="7"/>
  <c r="K6" i="7" s="1"/>
  <c r="E5" i="2" s="1"/>
  <c r="J9" i="7"/>
  <c r="H11" i="8"/>
  <c r="I10" i="8"/>
  <c r="I6" i="8" s="1"/>
  <c r="E7" i="2" s="1"/>
  <c r="H6" i="6"/>
  <c r="F2" i="2" s="1"/>
  <c r="G8" i="6"/>
  <c r="B289" i="1"/>
  <c r="B283" i="1"/>
  <c r="B285" i="1" s="1"/>
  <c r="B287" i="1" s="1"/>
  <c r="B284" i="1"/>
  <c r="B286" i="1" s="1"/>
  <c r="B288" i="1" s="1"/>
  <c r="B58" i="1"/>
  <c r="B52" i="1"/>
  <c r="B54" i="1" s="1"/>
  <c r="B56" i="1" s="1"/>
  <c r="B53" i="1"/>
  <c r="B55" i="1" s="1"/>
  <c r="B57" i="1" s="1"/>
  <c r="AW6" i="8" l="1"/>
  <c r="AS7" i="2" s="1"/>
  <c r="AW11" i="8"/>
  <c r="AX10" i="8"/>
  <c r="BE8" i="9"/>
  <c r="BD6" i="9"/>
  <c r="AZ6" i="2" s="1"/>
  <c r="BD9" i="9"/>
  <c r="AY9" i="7"/>
  <c r="AY6" i="7"/>
  <c r="AS5" i="2" s="1"/>
  <c r="AZ8" i="7"/>
  <c r="BW6" i="10"/>
  <c r="BU3" i="2" s="1"/>
  <c r="BW8" i="10"/>
  <c r="BA26" i="10"/>
  <c r="BB9" i="10"/>
  <c r="AV6" i="10"/>
  <c r="AW7" i="10"/>
  <c r="AV8" i="10"/>
  <c r="I7" i="10"/>
  <c r="AS3" i="2"/>
  <c r="BC7" i="6"/>
  <c r="BB6" i="6"/>
  <c r="AZ2" i="2" s="1"/>
  <c r="BB8" i="6"/>
  <c r="O8" i="9"/>
  <c r="O6" i="9" s="1"/>
  <c r="K6" i="2" s="1"/>
  <c r="N6" i="9"/>
  <c r="J6" i="2" s="1"/>
  <c r="P8" i="9"/>
  <c r="P6" i="9" s="1"/>
  <c r="L6" i="2" s="1"/>
  <c r="O9" i="9"/>
  <c r="N9" i="9"/>
  <c r="H6" i="10"/>
  <c r="F3" i="2" s="1"/>
  <c r="G8" i="10"/>
  <c r="H8" i="17"/>
  <c r="I7" i="17"/>
  <c r="I6" i="17" s="1"/>
  <c r="G4" i="2" s="1"/>
  <c r="J9" i="10"/>
  <c r="J26" i="10" s="1"/>
  <c r="L8" i="7"/>
  <c r="L6" i="7" s="1"/>
  <c r="F5" i="2" s="1"/>
  <c r="K9" i="7"/>
  <c r="J10" i="8"/>
  <c r="J6" i="8" s="1"/>
  <c r="F7" i="2" s="1"/>
  <c r="I11" i="8"/>
  <c r="I6" i="6"/>
  <c r="G2" i="2" s="1"/>
  <c r="H8" i="6"/>
  <c r="B296" i="1"/>
  <c r="B290" i="1"/>
  <c r="B292" i="1" s="1"/>
  <c r="B294" i="1" s="1"/>
  <c r="B291" i="1"/>
  <c r="B293" i="1" s="1"/>
  <c r="B295" i="1" s="1"/>
  <c r="C283" i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B65" i="1"/>
  <c r="B59" i="1"/>
  <c r="B61" i="1" s="1"/>
  <c r="B63" i="1" s="1"/>
  <c r="B60" i="1"/>
  <c r="B62" i="1" s="1"/>
  <c r="B64" i="1" s="1"/>
  <c r="C52" i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AX6" i="8" l="1"/>
  <c r="AT7" i="2" s="1"/>
  <c r="AX11" i="8"/>
  <c r="AY10" i="8"/>
  <c r="BF8" i="9"/>
  <c r="BE6" i="9"/>
  <c r="BA6" i="2" s="1"/>
  <c r="BE9" i="9"/>
  <c r="AZ9" i="7"/>
  <c r="AZ6" i="7"/>
  <c r="AT5" i="2" s="1"/>
  <c r="BA8" i="7"/>
  <c r="AW8" i="10"/>
  <c r="AW6" i="10"/>
  <c r="AX7" i="10"/>
  <c r="BC9" i="10"/>
  <c r="BB26" i="10"/>
  <c r="J7" i="10"/>
  <c r="AT3" i="2"/>
  <c r="BD7" i="6"/>
  <c r="BC6" i="6"/>
  <c r="BA2" i="2" s="1"/>
  <c r="BC8" i="6"/>
  <c r="Q8" i="9"/>
  <c r="P9" i="9"/>
  <c r="H8" i="10"/>
  <c r="I6" i="10"/>
  <c r="G3" i="2" s="1"/>
  <c r="I8" i="17"/>
  <c r="J7" i="17"/>
  <c r="J6" i="17" s="1"/>
  <c r="H4" i="2" s="1"/>
  <c r="K9" i="10"/>
  <c r="K26" i="10" s="1"/>
  <c r="I8" i="6"/>
  <c r="J6" i="6"/>
  <c r="H2" i="2" s="1"/>
  <c r="M8" i="7"/>
  <c r="M6" i="7" s="1"/>
  <c r="G5" i="2" s="1"/>
  <c r="L9" i="7"/>
  <c r="K10" i="8"/>
  <c r="K6" i="8" s="1"/>
  <c r="G7" i="2" s="1"/>
  <c r="J11" i="8"/>
  <c r="B303" i="1"/>
  <c r="B297" i="1"/>
  <c r="B299" i="1" s="1"/>
  <c r="B301" i="1" s="1"/>
  <c r="B298" i="1"/>
  <c r="B300" i="1" s="1"/>
  <c r="B302" i="1" s="1"/>
  <c r="B72" i="1"/>
  <c r="B66" i="1"/>
  <c r="B68" i="1" s="1"/>
  <c r="B70" i="1" s="1"/>
  <c r="B67" i="1"/>
  <c r="B69" i="1" s="1"/>
  <c r="B71" i="1" s="1"/>
  <c r="AY6" i="8" l="1"/>
  <c r="AU7" i="2" s="1"/>
  <c r="AZ10" i="8"/>
  <c r="AY11" i="8"/>
  <c r="BG8" i="9"/>
  <c r="BF6" i="9"/>
  <c r="BB6" i="2" s="1"/>
  <c r="BF9" i="9"/>
  <c r="BA9" i="7"/>
  <c r="BA6" i="7"/>
  <c r="AU5" i="2" s="1"/>
  <c r="BB8" i="7"/>
  <c r="BD9" i="10"/>
  <c r="BC26" i="10"/>
  <c r="AX8" i="10"/>
  <c r="AX6" i="10"/>
  <c r="AY7" i="10"/>
  <c r="K7" i="10"/>
  <c r="AU3" i="2"/>
  <c r="BE7" i="6"/>
  <c r="BD6" i="6"/>
  <c r="BB2" i="2" s="1"/>
  <c r="BD8" i="6"/>
  <c r="R8" i="9"/>
  <c r="R6" i="9" s="1"/>
  <c r="N6" i="2" s="1"/>
  <c r="Q6" i="9"/>
  <c r="M6" i="2" s="1"/>
  <c r="S8" i="9"/>
  <c r="S6" i="9" s="1"/>
  <c r="O6" i="2" s="1"/>
  <c r="R9" i="9"/>
  <c r="Q9" i="9"/>
  <c r="I8" i="10"/>
  <c r="J6" i="10"/>
  <c r="H3" i="2" s="1"/>
  <c r="K7" i="17"/>
  <c r="K6" i="17" s="1"/>
  <c r="I4" i="2" s="1"/>
  <c r="J8" i="17"/>
  <c r="L10" i="8"/>
  <c r="L6" i="8" s="1"/>
  <c r="H7" i="2" s="1"/>
  <c r="L9" i="10"/>
  <c r="L26" i="10" s="1"/>
  <c r="K6" i="6"/>
  <c r="I2" i="2" s="1"/>
  <c r="J8" i="6"/>
  <c r="M9" i="7"/>
  <c r="N8" i="7"/>
  <c r="N6" i="7" s="1"/>
  <c r="H5" i="2" s="1"/>
  <c r="K11" i="8"/>
  <c r="B310" i="1"/>
  <c r="B304" i="1"/>
  <c r="B306" i="1" s="1"/>
  <c r="B308" i="1" s="1"/>
  <c r="B305" i="1"/>
  <c r="B307" i="1" s="1"/>
  <c r="B309" i="1" s="1"/>
  <c r="C297" i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B79" i="1"/>
  <c r="B74" i="1"/>
  <c r="B76" i="1" s="1"/>
  <c r="B78" i="1" s="1"/>
  <c r="B73" i="1"/>
  <c r="B75" i="1" s="1"/>
  <c r="B77" i="1" s="1"/>
  <c r="C66" i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AZ6" i="8" l="1"/>
  <c r="AV7" i="2" s="1"/>
  <c r="BA10" i="8"/>
  <c r="AZ11" i="8"/>
  <c r="BH8" i="9"/>
  <c r="BG6" i="9"/>
  <c r="BC6" i="2" s="1"/>
  <c r="BG9" i="9"/>
  <c r="BB9" i="7"/>
  <c r="BB6" i="7"/>
  <c r="AV5" i="2" s="1"/>
  <c r="BC8" i="7"/>
  <c r="AY8" i="10"/>
  <c r="AZ7" i="10"/>
  <c r="AY6" i="10"/>
  <c r="BE9" i="10"/>
  <c r="BD26" i="10"/>
  <c r="L7" i="10"/>
  <c r="AV3" i="2"/>
  <c r="BE8" i="6"/>
  <c r="BF7" i="6"/>
  <c r="BE6" i="6"/>
  <c r="BC2" i="2" s="1"/>
  <c r="M9" i="10"/>
  <c r="T8" i="9"/>
  <c r="T6" i="9" s="1"/>
  <c r="P6" i="2" s="1"/>
  <c r="S9" i="9"/>
  <c r="J8" i="10"/>
  <c r="K6" i="10"/>
  <c r="I3" i="2" s="1"/>
  <c r="K8" i="17"/>
  <c r="L7" i="17"/>
  <c r="L11" i="8"/>
  <c r="M10" i="8"/>
  <c r="M6" i="8" s="1"/>
  <c r="I7" i="2" s="1"/>
  <c r="K8" i="6"/>
  <c r="N9" i="7"/>
  <c r="O8" i="7"/>
  <c r="O6" i="7" s="1"/>
  <c r="I5" i="2" s="1"/>
  <c r="B317" i="1"/>
  <c r="B311" i="1"/>
  <c r="B313" i="1" s="1"/>
  <c r="B315" i="1" s="1"/>
  <c r="B312" i="1"/>
  <c r="B314" i="1" s="1"/>
  <c r="B316" i="1" s="1"/>
  <c r="B86" i="1"/>
  <c r="B80" i="1"/>
  <c r="B82" i="1" s="1"/>
  <c r="B84" i="1" s="1"/>
  <c r="B81" i="1"/>
  <c r="B83" i="1" s="1"/>
  <c r="B85" i="1" s="1"/>
  <c r="BB10" i="8" l="1"/>
  <c r="BA6" i="8"/>
  <c r="AW7" i="2" s="1"/>
  <c r="BA11" i="8"/>
  <c r="BI8" i="9"/>
  <c r="BH6" i="9"/>
  <c r="BD6" i="2" s="1"/>
  <c r="BH9" i="9"/>
  <c r="BC9" i="7"/>
  <c r="BC6" i="7"/>
  <c r="AW5" i="2" s="1"/>
  <c r="BD8" i="7"/>
  <c r="BF9" i="10"/>
  <c r="BE26" i="10"/>
  <c r="AZ8" i="10"/>
  <c r="BA7" i="10"/>
  <c r="AZ6" i="10"/>
  <c r="M7" i="10"/>
  <c r="AW3" i="2"/>
  <c r="BF8" i="6"/>
  <c r="BG7" i="6"/>
  <c r="BF6" i="6"/>
  <c r="BD2" i="2" s="1"/>
  <c r="N9" i="10"/>
  <c r="M26" i="10"/>
  <c r="M6" i="6"/>
  <c r="K2" i="2" s="1"/>
  <c r="L6" i="6"/>
  <c r="J2" i="2" s="1"/>
  <c r="M7" i="17"/>
  <c r="M6" i="17" s="1"/>
  <c r="K4" i="2" s="1"/>
  <c r="L6" i="17"/>
  <c r="J4" i="2" s="1"/>
  <c r="U8" i="9"/>
  <c r="U6" i="9" s="1"/>
  <c r="Q6" i="2" s="1"/>
  <c r="T9" i="9"/>
  <c r="L6" i="10"/>
  <c r="J3" i="2" s="1"/>
  <c r="K8" i="10"/>
  <c r="L8" i="17"/>
  <c r="M11" i="8"/>
  <c r="N10" i="8"/>
  <c r="N6" i="8" s="1"/>
  <c r="J7" i="2" s="1"/>
  <c r="L8" i="6"/>
  <c r="P8" i="7"/>
  <c r="O9" i="7"/>
  <c r="B324" i="1"/>
  <c r="B318" i="1"/>
  <c r="B320" i="1" s="1"/>
  <c r="B322" i="1" s="1"/>
  <c r="B319" i="1"/>
  <c r="B321" i="1" s="1"/>
  <c r="B323" i="1" s="1"/>
  <c r="C311" i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B93" i="1"/>
  <c r="B87" i="1"/>
  <c r="B89" i="1" s="1"/>
  <c r="B91" i="1" s="1"/>
  <c r="B88" i="1"/>
  <c r="B90" i="1" s="1"/>
  <c r="B92" i="1" s="1"/>
  <c r="C80" i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BC10" i="8" l="1"/>
  <c r="BB6" i="8"/>
  <c r="AX7" i="2" s="1"/>
  <c r="BB11" i="8"/>
  <c r="BJ8" i="9"/>
  <c r="BI6" i="9"/>
  <c r="BE6" i="2" s="1"/>
  <c r="BI9" i="9"/>
  <c r="BD9" i="7"/>
  <c r="BD6" i="7"/>
  <c r="AX5" i="2" s="1"/>
  <c r="BE8" i="7"/>
  <c r="BA8" i="10"/>
  <c r="BB7" i="10"/>
  <c r="BA6" i="10"/>
  <c r="BF26" i="10"/>
  <c r="BG9" i="10"/>
  <c r="AX3" i="2"/>
  <c r="BG8" i="6"/>
  <c r="BH7" i="6"/>
  <c r="BG6" i="6"/>
  <c r="BE2" i="2" s="1"/>
  <c r="M8" i="6"/>
  <c r="N6" i="6"/>
  <c r="L2" i="2" s="1"/>
  <c r="O9" i="10"/>
  <c r="N26" i="10"/>
  <c r="N7" i="10" s="1"/>
  <c r="Q8" i="7"/>
  <c r="Q6" i="7" s="1"/>
  <c r="K5" i="2" s="1"/>
  <c r="P6" i="7"/>
  <c r="J5" i="2" s="1"/>
  <c r="M8" i="17"/>
  <c r="N7" i="17"/>
  <c r="N6" i="17" s="1"/>
  <c r="L4" i="2" s="1"/>
  <c r="V8" i="9"/>
  <c r="V6" i="9" s="1"/>
  <c r="R6" i="2" s="1"/>
  <c r="U9" i="9"/>
  <c r="M6" i="10"/>
  <c r="K3" i="2" s="1"/>
  <c r="N11" i="8"/>
  <c r="O10" i="8"/>
  <c r="O6" i="8" s="1"/>
  <c r="K7" i="2" s="1"/>
  <c r="L8" i="10"/>
  <c r="P9" i="7"/>
  <c r="B331" i="1"/>
  <c r="B325" i="1"/>
  <c r="B327" i="1" s="1"/>
  <c r="B329" i="1" s="1"/>
  <c r="B326" i="1"/>
  <c r="B328" i="1" s="1"/>
  <c r="B330" i="1" s="1"/>
  <c r="B100" i="1"/>
  <c r="B94" i="1"/>
  <c r="B96" i="1" s="1"/>
  <c r="B98" i="1" s="1"/>
  <c r="B95" i="1"/>
  <c r="B97" i="1" s="1"/>
  <c r="B99" i="1" s="1"/>
  <c r="BD10" i="8" l="1"/>
  <c r="BC11" i="8"/>
  <c r="BC6" i="8"/>
  <c r="AY7" i="2" s="1"/>
  <c r="BK8" i="9"/>
  <c r="BJ6" i="9"/>
  <c r="BF6" i="2" s="1"/>
  <c r="BJ9" i="9"/>
  <c r="BF8" i="7"/>
  <c r="BE9" i="7"/>
  <c r="BE6" i="7"/>
  <c r="AY5" i="2" s="1"/>
  <c r="BH9" i="10"/>
  <c r="BG26" i="10"/>
  <c r="BB8" i="10"/>
  <c r="BB6" i="10"/>
  <c r="BC7" i="10"/>
  <c r="O7" i="10"/>
  <c r="AY3" i="2"/>
  <c r="BH8" i="6"/>
  <c r="BI7" i="6"/>
  <c r="BH6" i="6"/>
  <c r="BF2" i="2" s="1"/>
  <c r="N8" i="6"/>
  <c r="O6" i="6"/>
  <c r="M2" i="2" s="1"/>
  <c r="Q9" i="7"/>
  <c r="R8" i="7"/>
  <c r="R6" i="7" s="1"/>
  <c r="L5" i="2" s="1"/>
  <c r="O26" i="10"/>
  <c r="P9" i="10"/>
  <c r="N8" i="17"/>
  <c r="O7" i="17"/>
  <c r="O8" i="17" s="1"/>
  <c r="V9" i="9"/>
  <c r="W8" i="9"/>
  <c r="M8" i="10"/>
  <c r="N6" i="10"/>
  <c r="L3" i="2" s="1"/>
  <c r="P10" i="8"/>
  <c r="P6" i="8" s="1"/>
  <c r="L7" i="2" s="1"/>
  <c r="O11" i="8"/>
  <c r="C325" i="1"/>
  <c r="C326" i="1" s="1"/>
  <c r="C327" i="1" s="1"/>
  <c r="C328" i="1" s="1"/>
  <c r="C329" i="1" s="1"/>
  <c r="C330" i="1" s="1"/>
  <c r="C331" i="1" s="1"/>
  <c r="B101" i="1"/>
  <c r="B103" i="1" s="1"/>
  <c r="B105" i="1" s="1"/>
  <c r="B102" i="1"/>
  <c r="B104" i="1" s="1"/>
  <c r="B106" i="1" s="1"/>
  <c r="B107" i="1"/>
  <c r="C94" i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BE10" i="8" l="1"/>
  <c r="BD11" i="8"/>
  <c r="BD6" i="8"/>
  <c r="AZ7" i="2" s="1"/>
  <c r="BK9" i="9"/>
  <c r="BL8" i="9"/>
  <c r="BK6" i="9"/>
  <c r="BG6" i="2" s="1"/>
  <c r="BG8" i="7"/>
  <c r="BF9" i="7"/>
  <c r="BF6" i="7"/>
  <c r="AZ5" i="2" s="1"/>
  <c r="BD7" i="10"/>
  <c r="BC8" i="10"/>
  <c r="BC6" i="10"/>
  <c r="BI9" i="10"/>
  <c r="BH26" i="10"/>
  <c r="P7" i="10"/>
  <c r="AZ3" i="2"/>
  <c r="BI8" i="6"/>
  <c r="BI6" i="6"/>
  <c r="BG2" i="2" s="1"/>
  <c r="BJ7" i="6"/>
  <c r="P6" i="6"/>
  <c r="N2" i="2" s="1"/>
  <c r="O8" i="6"/>
  <c r="R9" i="7"/>
  <c r="S8" i="7"/>
  <c r="T8" i="7" s="1"/>
  <c r="T6" i="7" s="1"/>
  <c r="N5" i="2" s="1"/>
  <c r="Q9" i="10"/>
  <c r="P26" i="10"/>
  <c r="P7" i="17"/>
  <c r="O6" i="17"/>
  <c r="M4" i="2" s="1"/>
  <c r="X8" i="9"/>
  <c r="W6" i="9"/>
  <c r="S6" i="2" s="1"/>
  <c r="W9" i="9"/>
  <c r="N8" i="10"/>
  <c r="Q10" i="8"/>
  <c r="P11" i="8"/>
  <c r="B108" i="1"/>
  <c r="B110" i="1" s="1"/>
  <c r="B112" i="1" s="1"/>
  <c r="B109" i="1"/>
  <c r="B111" i="1" s="1"/>
  <c r="B113" i="1" s="1"/>
  <c r="B114" i="1"/>
  <c r="BF10" i="8" l="1"/>
  <c r="BE11" i="8"/>
  <c r="BE6" i="8"/>
  <c r="BA7" i="2" s="1"/>
  <c r="BL9" i="9"/>
  <c r="BM8" i="9"/>
  <c r="BL6" i="9"/>
  <c r="BH6" i="2" s="1"/>
  <c r="BH8" i="7"/>
  <c r="BG6" i="7"/>
  <c r="BA5" i="2" s="1"/>
  <c r="BG9" i="7"/>
  <c r="BJ9" i="10"/>
  <c r="BI26" i="10"/>
  <c r="BE7" i="10"/>
  <c r="BD6" i="10"/>
  <c r="BD8" i="10"/>
  <c r="BA3" i="2"/>
  <c r="BJ8" i="6"/>
  <c r="BJ6" i="6"/>
  <c r="BH2" i="2" s="1"/>
  <c r="BK7" i="6"/>
  <c r="Q6" i="6"/>
  <c r="O2" i="2" s="1"/>
  <c r="P8" i="6"/>
  <c r="S9" i="7"/>
  <c r="S6" i="7"/>
  <c r="M5" i="2" s="1"/>
  <c r="R9" i="10"/>
  <c r="Q26" i="10"/>
  <c r="Q7" i="10" s="1"/>
  <c r="P6" i="10"/>
  <c r="N3" i="2" s="1"/>
  <c r="O6" i="10"/>
  <c r="M3" i="2" s="1"/>
  <c r="T9" i="7"/>
  <c r="U8" i="7"/>
  <c r="U6" i="7" s="1"/>
  <c r="O5" i="2" s="1"/>
  <c r="P6" i="17"/>
  <c r="N4" i="2" s="1"/>
  <c r="Q7" i="17"/>
  <c r="P8" i="17"/>
  <c r="X6" i="9"/>
  <c r="T6" i="2" s="1"/>
  <c r="Y8" i="9"/>
  <c r="X9" i="9"/>
  <c r="R10" i="8"/>
  <c r="R6" i="8" s="1"/>
  <c r="N7" i="2" s="1"/>
  <c r="Q6" i="8"/>
  <c r="M7" i="2" s="1"/>
  <c r="Q11" i="8"/>
  <c r="O8" i="10"/>
  <c r="B115" i="1"/>
  <c r="B117" i="1" s="1"/>
  <c r="B119" i="1" s="1"/>
  <c r="B116" i="1"/>
  <c r="B118" i="1" s="1"/>
  <c r="B120" i="1" s="1"/>
  <c r="B121" i="1"/>
  <c r="C108" i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BG10" i="8" l="1"/>
  <c r="BF11" i="8"/>
  <c r="BF6" i="8"/>
  <c r="BB7" i="2" s="1"/>
  <c r="BM6" i="9"/>
  <c r="BI6" i="2" s="1"/>
  <c r="BM9" i="9"/>
  <c r="BN8" i="9"/>
  <c r="BI8" i="7"/>
  <c r="BH6" i="7"/>
  <c r="BB5" i="2" s="1"/>
  <c r="BH9" i="7"/>
  <c r="BF7" i="10"/>
  <c r="BE6" i="10"/>
  <c r="BE8" i="10"/>
  <c r="BK9" i="10"/>
  <c r="BJ26" i="10"/>
  <c r="R7" i="10"/>
  <c r="BB3" i="2"/>
  <c r="BK6" i="6"/>
  <c r="BI2" i="2" s="1"/>
  <c r="BK8" i="6"/>
  <c r="BL7" i="6"/>
  <c r="R6" i="6"/>
  <c r="P2" i="2" s="1"/>
  <c r="Q8" i="6"/>
  <c r="U9" i="7"/>
  <c r="P8" i="10"/>
  <c r="Q6" i="10"/>
  <c r="O3" i="2" s="1"/>
  <c r="R26" i="10"/>
  <c r="S9" i="10"/>
  <c r="R11" i="8"/>
  <c r="V8" i="7"/>
  <c r="V6" i="7" s="1"/>
  <c r="P5" i="2" s="1"/>
  <c r="Q6" i="17"/>
  <c r="O4" i="2" s="1"/>
  <c r="R7" i="17"/>
  <c r="Q8" i="17"/>
  <c r="Y6" i="9"/>
  <c r="U6" i="2" s="1"/>
  <c r="Z8" i="9"/>
  <c r="AA8" i="9" s="1"/>
  <c r="Y9" i="9"/>
  <c r="S10" i="8"/>
  <c r="S6" i="8" s="1"/>
  <c r="O7" i="2" s="1"/>
  <c r="B123" i="1"/>
  <c r="B125" i="1" s="1"/>
  <c r="B127" i="1" s="1"/>
  <c r="B128" i="1"/>
  <c r="B122" i="1"/>
  <c r="B124" i="1" s="1"/>
  <c r="B126" i="1" s="1"/>
  <c r="BH10" i="8" l="1"/>
  <c r="BG11" i="8"/>
  <c r="BG6" i="8"/>
  <c r="BC7" i="2" s="1"/>
  <c r="BN6" i="9"/>
  <c r="BJ6" i="2" s="1"/>
  <c r="BN9" i="9"/>
  <c r="BO8" i="9"/>
  <c r="BJ8" i="7"/>
  <c r="BI6" i="7"/>
  <c r="BC5" i="2" s="1"/>
  <c r="BI9" i="7"/>
  <c r="BL9" i="10"/>
  <c r="BK26" i="10"/>
  <c r="BG7" i="10"/>
  <c r="BF6" i="10"/>
  <c r="BF8" i="10"/>
  <c r="BC3" i="2"/>
  <c r="BL6" i="6"/>
  <c r="BJ2" i="2" s="1"/>
  <c r="BL8" i="6"/>
  <c r="BM7" i="6"/>
  <c r="AA6" i="9"/>
  <c r="W6" i="2" s="1"/>
  <c r="AB8" i="9"/>
  <c r="AA9" i="9"/>
  <c r="S6" i="6"/>
  <c r="Q2" i="2" s="1"/>
  <c r="R8" i="6"/>
  <c r="Q8" i="10"/>
  <c r="V9" i="7"/>
  <c r="W8" i="7"/>
  <c r="W6" i="7" s="1"/>
  <c r="Q5" i="2" s="1"/>
  <c r="T9" i="10"/>
  <c r="S26" i="10"/>
  <c r="S7" i="10" s="1"/>
  <c r="R6" i="17"/>
  <c r="P4" i="2" s="1"/>
  <c r="R8" i="17"/>
  <c r="S7" i="17"/>
  <c r="Z6" i="9"/>
  <c r="V6" i="2" s="1"/>
  <c r="Z9" i="9"/>
  <c r="T10" i="8"/>
  <c r="T6" i="8" s="1"/>
  <c r="P7" i="2" s="1"/>
  <c r="S11" i="8"/>
  <c r="B130" i="1"/>
  <c r="B132" i="1" s="1"/>
  <c r="B134" i="1" s="1"/>
  <c r="B129" i="1"/>
  <c r="B131" i="1" s="1"/>
  <c r="B133" i="1" s="1"/>
  <c r="B135" i="1"/>
  <c r="C122" i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BI10" i="8" l="1"/>
  <c r="BH11" i="8"/>
  <c r="BH6" i="8"/>
  <c r="BD7" i="2" s="1"/>
  <c r="BO6" i="9"/>
  <c r="BK6" i="2" s="1"/>
  <c r="BO9" i="9"/>
  <c r="BP8" i="9"/>
  <c r="BK8" i="7"/>
  <c r="BJ6" i="7"/>
  <c r="BD5" i="2" s="1"/>
  <c r="BJ9" i="7"/>
  <c r="BH7" i="10"/>
  <c r="BG8" i="10"/>
  <c r="BG6" i="10"/>
  <c r="BM9" i="10"/>
  <c r="BL26" i="10"/>
  <c r="BD3" i="2"/>
  <c r="BM6" i="6"/>
  <c r="BK2" i="2" s="1"/>
  <c r="BM8" i="6"/>
  <c r="BN7" i="6"/>
  <c r="AB6" i="9"/>
  <c r="X6" i="2" s="1"/>
  <c r="AC8" i="9"/>
  <c r="AB9" i="9"/>
  <c r="S6" i="10"/>
  <c r="Q3" i="2" s="1"/>
  <c r="T6" i="6"/>
  <c r="R2" i="2" s="1"/>
  <c r="S8" i="6"/>
  <c r="R8" i="10"/>
  <c r="R6" i="10"/>
  <c r="P3" i="2" s="1"/>
  <c r="W9" i="7"/>
  <c r="X8" i="7"/>
  <c r="X6" i="7" s="1"/>
  <c r="R5" i="2" s="1"/>
  <c r="U9" i="10"/>
  <c r="T26" i="10"/>
  <c r="T7" i="10" s="1"/>
  <c r="U10" i="8"/>
  <c r="U6" i="8" s="1"/>
  <c r="Q7" i="2" s="1"/>
  <c r="S6" i="17"/>
  <c r="Q4" i="2" s="1"/>
  <c r="T7" i="17"/>
  <c r="S8" i="17"/>
  <c r="T11" i="8"/>
  <c r="B136" i="1"/>
  <c r="B138" i="1" s="1"/>
  <c r="B140" i="1" s="1"/>
  <c r="B137" i="1"/>
  <c r="B139" i="1" s="1"/>
  <c r="B141" i="1" s="1"/>
  <c r="B142" i="1"/>
  <c r="BJ10" i="8" l="1"/>
  <c r="BI11" i="8"/>
  <c r="BI6" i="8"/>
  <c r="BE7" i="2" s="1"/>
  <c r="BP6" i="9"/>
  <c r="BL6" i="2" s="1"/>
  <c r="BP9" i="9"/>
  <c r="BQ8" i="9"/>
  <c r="BL8" i="7"/>
  <c r="BK6" i="7"/>
  <c r="BE5" i="2" s="1"/>
  <c r="BK9" i="7"/>
  <c r="BN9" i="10"/>
  <c r="BM26" i="10"/>
  <c r="BI7" i="10"/>
  <c r="BH8" i="10"/>
  <c r="BH6" i="10"/>
  <c r="BE3" i="2"/>
  <c r="BN6" i="6"/>
  <c r="BL2" i="2" s="1"/>
  <c r="BN8" i="6"/>
  <c r="BO7" i="6"/>
  <c r="U6" i="6"/>
  <c r="S2" i="2" s="1"/>
  <c r="AD8" i="9"/>
  <c r="AC6" i="9"/>
  <c r="Y6" i="2" s="1"/>
  <c r="AC9" i="9"/>
  <c r="S8" i="10"/>
  <c r="T6" i="10"/>
  <c r="R3" i="2" s="1"/>
  <c r="T8" i="6"/>
  <c r="X9" i="7"/>
  <c r="Y8" i="7"/>
  <c r="Y6" i="7" s="1"/>
  <c r="S5" i="2" s="1"/>
  <c r="V9" i="10"/>
  <c r="U26" i="10"/>
  <c r="U7" i="10" s="1"/>
  <c r="U11" i="8"/>
  <c r="V10" i="8"/>
  <c r="V6" i="8" s="1"/>
  <c r="R7" i="2" s="1"/>
  <c r="T6" i="17"/>
  <c r="R4" i="2" s="1"/>
  <c r="T8" i="17"/>
  <c r="U7" i="17"/>
  <c r="B149" i="1"/>
  <c r="B143" i="1"/>
  <c r="B145" i="1" s="1"/>
  <c r="B147" i="1" s="1"/>
  <c r="B144" i="1"/>
  <c r="B146" i="1" s="1"/>
  <c r="B148" i="1" s="1"/>
  <c r="C136" i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BK10" i="8" l="1"/>
  <c r="BJ11" i="8"/>
  <c r="BJ6" i="8"/>
  <c r="BF7" i="2" s="1"/>
  <c r="BQ6" i="9"/>
  <c r="BM6" i="2" s="1"/>
  <c r="BQ9" i="9"/>
  <c r="BR8" i="9"/>
  <c r="BM8" i="7"/>
  <c r="BL6" i="7"/>
  <c r="BF5" i="2" s="1"/>
  <c r="BL9" i="7"/>
  <c r="BJ7" i="10"/>
  <c r="BI8" i="10"/>
  <c r="BI6" i="10"/>
  <c r="BO9" i="10"/>
  <c r="BN26" i="10"/>
  <c r="V7" i="10"/>
  <c r="BF3" i="2"/>
  <c r="BO6" i="6"/>
  <c r="BM2" i="2" s="1"/>
  <c r="BO8" i="6"/>
  <c r="BP7" i="6"/>
  <c r="U8" i="6"/>
  <c r="V6" i="6"/>
  <c r="T2" i="2" s="1"/>
  <c r="AD9" i="9"/>
  <c r="AD6" i="9"/>
  <c r="Z6" i="2" s="1"/>
  <c r="AE8" i="9"/>
  <c r="T8" i="10"/>
  <c r="U8" i="10"/>
  <c r="Y9" i="7"/>
  <c r="Z8" i="7"/>
  <c r="Z6" i="7" s="1"/>
  <c r="T5" i="2" s="1"/>
  <c r="W9" i="10"/>
  <c r="V26" i="10"/>
  <c r="W10" i="8"/>
  <c r="X10" i="8" s="1"/>
  <c r="V11" i="8"/>
  <c r="U6" i="17"/>
  <c r="S4" i="2" s="1"/>
  <c r="V7" i="17"/>
  <c r="U8" i="17"/>
  <c r="B151" i="1"/>
  <c r="B153" i="1" s="1"/>
  <c r="B155" i="1" s="1"/>
  <c r="B156" i="1"/>
  <c r="B150" i="1"/>
  <c r="B152" i="1" s="1"/>
  <c r="B154" i="1" s="1"/>
  <c r="BK11" i="8" l="1"/>
  <c r="BL10" i="8"/>
  <c r="BK6" i="8"/>
  <c r="BG7" i="2" s="1"/>
  <c r="BR6" i="9"/>
  <c r="BN6" i="2" s="1"/>
  <c r="BR9" i="9"/>
  <c r="BS8" i="9"/>
  <c r="BN8" i="7"/>
  <c r="BM6" i="7"/>
  <c r="BG5" i="2" s="1"/>
  <c r="BM9" i="7"/>
  <c r="BP9" i="10"/>
  <c r="BO26" i="10"/>
  <c r="BJ8" i="10"/>
  <c r="BJ6" i="10"/>
  <c r="BK7" i="10"/>
  <c r="BG3" i="2"/>
  <c r="BP6" i="6"/>
  <c r="BN2" i="2" s="1"/>
  <c r="BQ7" i="6"/>
  <c r="BP8" i="6"/>
  <c r="V8" i="6"/>
  <c r="W6" i="6"/>
  <c r="U2" i="2" s="1"/>
  <c r="AE6" i="9"/>
  <c r="AA6" i="2" s="1"/>
  <c r="AF8" i="9"/>
  <c r="AG8" i="9" s="1"/>
  <c r="AE9" i="9"/>
  <c r="U6" i="10"/>
  <c r="S3" i="2" s="1"/>
  <c r="V8" i="10"/>
  <c r="Z9" i="7"/>
  <c r="AA8" i="7"/>
  <c r="AA6" i="7" s="1"/>
  <c r="U5" i="2" s="1"/>
  <c r="X9" i="10"/>
  <c r="W26" i="10"/>
  <c r="W7" i="10" s="1"/>
  <c r="W11" i="8"/>
  <c r="W6" i="8"/>
  <c r="S7" i="2" s="1"/>
  <c r="V6" i="17"/>
  <c r="T4" i="2" s="1"/>
  <c r="W7" i="17"/>
  <c r="V8" i="17"/>
  <c r="Y10" i="8"/>
  <c r="X6" i="8"/>
  <c r="T7" i="2" s="1"/>
  <c r="X11" i="8"/>
  <c r="B158" i="1"/>
  <c r="B160" i="1" s="1"/>
  <c r="B162" i="1" s="1"/>
  <c r="B163" i="1"/>
  <c r="B157" i="1"/>
  <c r="B159" i="1" s="1"/>
  <c r="B161" i="1" s="1"/>
  <c r="C150" i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BL11" i="8" l="1"/>
  <c r="BM10" i="8"/>
  <c r="BL6" i="8"/>
  <c r="BH7" i="2" s="1"/>
  <c r="BS6" i="9"/>
  <c r="BO6" i="2" s="1"/>
  <c r="BS9" i="9"/>
  <c r="BT8" i="9"/>
  <c r="BO8" i="7"/>
  <c r="BN6" i="7"/>
  <c r="BH5" i="2" s="1"/>
  <c r="BN9" i="7"/>
  <c r="BK6" i="10"/>
  <c r="BK8" i="10"/>
  <c r="BL7" i="10"/>
  <c r="BP26" i="10"/>
  <c r="BQ9" i="10"/>
  <c r="BQ26" i="10" s="1"/>
  <c r="BH3" i="2"/>
  <c r="BR7" i="6"/>
  <c r="BQ6" i="6"/>
  <c r="BO2" i="2" s="1"/>
  <c r="BQ8" i="6"/>
  <c r="Z6" i="6"/>
  <c r="X2" i="2" s="1"/>
  <c r="W8" i="6"/>
  <c r="AG6" i="9"/>
  <c r="AH8" i="9"/>
  <c r="AG9" i="9"/>
  <c r="AC6" i="2"/>
  <c r="AF6" i="9"/>
  <c r="AB6" i="2" s="1"/>
  <c r="AF9" i="9"/>
  <c r="V6" i="10"/>
  <c r="T3" i="2" s="1"/>
  <c r="W6" i="10"/>
  <c r="U3" i="2" s="1"/>
  <c r="X26" i="10"/>
  <c r="X7" i="10" s="1"/>
  <c r="Y9" i="10"/>
  <c r="AB8" i="7"/>
  <c r="AA9" i="7"/>
  <c r="W6" i="17"/>
  <c r="U4" i="2" s="1"/>
  <c r="X7" i="17"/>
  <c r="Y7" i="17" s="1"/>
  <c r="W8" i="17"/>
  <c r="Z10" i="8"/>
  <c r="AA10" i="8" s="1"/>
  <c r="Y11" i="8"/>
  <c r="Y6" i="8"/>
  <c r="U7" i="2" s="1"/>
  <c r="B165" i="1"/>
  <c r="B167" i="1" s="1"/>
  <c r="B169" i="1" s="1"/>
  <c r="B170" i="1"/>
  <c r="B164" i="1"/>
  <c r="B166" i="1" s="1"/>
  <c r="B168" i="1" s="1"/>
  <c r="BM6" i="8" l="1"/>
  <c r="BI7" i="2" s="1"/>
  <c r="BM11" i="8"/>
  <c r="BN10" i="8"/>
  <c r="BT6" i="9"/>
  <c r="BP6" i="2" s="1"/>
  <c r="BT9" i="9"/>
  <c r="BU8" i="9"/>
  <c r="BO6" i="7"/>
  <c r="BI5" i="2" s="1"/>
  <c r="BO9" i="7"/>
  <c r="BP8" i="7"/>
  <c r="BL6" i="10"/>
  <c r="BL8" i="10"/>
  <c r="BM7" i="10"/>
  <c r="BI3" i="2"/>
  <c r="BS7" i="6"/>
  <c r="BR6" i="6"/>
  <c r="BP2" i="2" s="1"/>
  <c r="BR8" i="6"/>
  <c r="X6" i="6"/>
  <c r="V2" i="2" s="1"/>
  <c r="Z8" i="6"/>
  <c r="AB8" i="6"/>
  <c r="X8" i="6"/>
  <c r="Y8" i="6"/>
  <c r="Y6" i="6"/>
  <c r="W2" i="2" s="1"/>
  <c r="AH6" i="9"/>
  <c r="AD6" i="2" s="1"/>
  <c r="AI8" i="9"/>
  <c r="AJ8" i="9" s="1"/>
  <c r="AH9" i="9"/>
  <c r="AA11" i="8"/>
  <c r="AA6" i="8"/>
  <c r="W7" i="2" s="1"/>
  <c r="AB10" i="8"/>
  <c r="AB9" i="7"/>
  <c r="AC8" i="7"/>
  <c r="Y6" i="17"/>
  <c r="W4" i="2" s="1"/>
  <c r="Z7" i="17"/>
  <c r="Y8" i="17"/>
  <c r="X6" i="10"/>
  <c r="V3" i="2" s="1"/>
  <c r="W8" i="10"/>
  <c r="Y26" i="10"/>
  <c r="Y7" i="10" s="1"/>
  <c r="Z9" i="10"/>
  <c r="AB6" i="7"/>
  <c r="V5" i="2" s="1"/>
  <c r="X8" i="17"/>
  <c r="X6" i="17"/>
  <c r="V4" i="2" s="1"/>
  <c r="Z11" i="8"/>
  <c r="Z6" i="8"/>
  <c r="V7" i="2" s="1"/>
  <c r="B171" i="1"/>
  <c r="B173" i="1" s="1"/>
  <c r="B175" i="1" s="1"/>
  <c r="B172" i="1"/>
  <c r="B174" i="1" s="1"/>
  <c r="B176" i="1" s="1"/>
  <c r="B177" i="1"/>
  <c r="C164" i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BN6" i="8" l="1"/>
  <c r="BJ7" i="2" s="1"/>
  <c r="BN11" i="8"/>
  <c r="BO10" i="8"/>
  <c r="BV8" i="9"/>
  <c r="BU6" i="9"/>
  <c r="BQ6" i="2" s="1"/>
  <c r="BU9" i="9"/>
  <c r="BP6" i="7"/>
  <c r="BJ5" i="2" s="1"/>
  <c r="BP9" i="7"/>
  <c r="BQ8" i="7"/>
  <c r="BM6" i="10"/>
  <c r="BN7" i="10"/>
  <c r="BM8" i="10"/>
  <c r="BJ3" i="2"/>
  <c r="BT7" i="6"/>
  <c r="BS6" i="6"/>
  <c r="BQ2" i="2" s="1"/>
  <c r="BS8" i="6"/>
  <c r="AA8" i="6"/>
  <c r="AA6" i="6"/>
  <c r="Y2" i="2" s="1"/>
  <c r="AC6" i="6"/>
  <c r="AA2" i="2" s="1"/>
  <c r="AB6" i="6"/>
  <c r="Z2" i="2" s="1"/>
  <c r="AJ6" i="9"/>
  <c r="AF6" i="2" s="1"/>
  <c r="AJ9" i="9"/>
  <c r="AK8" i="9"/>
  <c r="AI6" i="9"/>
  <c r="AE6" i="2" s="1"/>
  <c r="AI9" i="9"/>
  <c r="AB6" i="8"/>
  <c r="X7" i="2" s="1"/>
  <c r="AC10" i="8"/>
  <c r="AB11" i="8"/>
  <c r="AC6" i="7"/>
  <c r="W5" i="2" s="1"/>
  <c r="AD8" i="7"/>
  <c r="AC9" i="7"/>
  <c r="Y8" i="10"/>
  <c r="X8" i="10"/>
  <c r="Z6" i="17"/>
  <c r="X4" i="2" s="1"/>
  <c r="AA7" i="17"/>
  <c r="Z8" i="17"/>
  <c r="Z26" i="10"/>
  <c r="Z7" i="10" s="1"/>
  <c r="AA9" i="10"/>
  <c r="B178" i="1"/>
  <c r="B180" i="1" s="1"/>
  <c r="B182" i="1" s="1"/>
  <c r="B184" i="1"/>
  <c r="B179" i="1"/>
  <c r="B181" i="1" s="1"/>
  <c r="B183" i="1" s="1"/>
  <c r="BO6" i="8" l="1"/>
  <c r="BK7" i="2" s="1"/>
  <c r="BO11" i="8"/>
  <c r="BP10" i="8"/>
  <c r="BW8" i="9"/>
  <c r="BV6" i="9"/>
  <c r="BR6" i="2" s="1"/>
  <c r="BV9" i="9"/>
  <c r="BQ9" i="7"/>
  <c r="BQ6" i="7"/>
  <c r="BK5" i="2" s="1"/>
  <c r="BR8" i="7"/>
  <c r="BN6" i="10"/>
  <c r="BO7" i="10"/>
  <c r="BN8" i="10"/>
  <c r="BK3" i="2"/>
  <c r="BU7" i="6"/>
  <c r="BT6" i="6"/>
  <c r="BR2" i="2" s="1"/>
  <c r="BT8" i="6"/>
  <c r="AC8" i="6"/>
  <c r="AE6" i="6"/>
  <c r="AC2" i="2" s="1"/>
  <c r="AL8" i="9"/>
  <c r="AM8" i="9" s="1"/>
  <c r="AK6" i="9"/>
  <c r="AG6" i="2" s="1"/>
  <c r="AK9" i="9"/>
  <c r="AD10" i="8"/>
  <c r="AC6" i="8"/>
  <c r="Y7" i="2" s="1"/>
  <c r="AC11" i="8"/>
  <c r="AD6" i="7"/>
  <c r="X5" i="2" s="1"/>
  <c r="AE8" i="7"/>
  <c r="AD9" i="7"/>
  <c r="Z6" i="10"/>
  <c r="X3" i="2" s="1"/>
  <c r="Y6" i="10"/>
  <c r="W3" i="2" s="1"/>
  <c r="AB7" i="17"/>
  <c r="AA6" i="17"/>
  <c r="Y4" i="2" s="1"/>
  <c r="AA8" i="17"/>
  <c r="AA26" i="10"/>
  <c r="AA7" i="10" s="1"/>
  <c r="AB9" i="10"/>
  <c r="B191" i="1"/>
  <c r="B185" i="1"/>
  <c r="B187" i="1" s="1"/>
  <c r="B189" i="1" s="1"/>
  <c r="B186" i="1"/>
  <c r="B188" i="1" s="1"/>
  <c r="B190" i="1" s="1"/>
  <c r="C178" i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BP6" i="8" l="1"/>
  <c r="BL7" i="2" s="1"/>
  <c r="BP11" i="8"/>
  <c r="BQ10" i="8"/>
  <c r="BW6" i="9"/>
  <c r="BS6" i="2" s="1"/>
  <c r="BW9" i="9"/>
  <c r="BR9" i="7"/>
  <c r="BR6" i="7"/>
  <c r="BL5" i="2" s="1"/>
  <c r="BS8" i="7"/>
  <c r="BO6" i="10"/>
  <c r="BP7" i="10"/>
  <c r="BO8" i="10"/>
  <c r="BL3" i="2"/>
  <c r="BV7" i="6"/>
  <c r="BU6" i="6"/>
  <c r="BS2" i="2" s="1"/>
  <c r="BU8" i="6"/>
  <c r="AM6" i="9"/>
  <c r="AN8" i="9"/>
  <c r="AM9" i="9"/>
  <c r="AE8" i="6"/>
  <c r="AF8" i="6"/>
  <c r="AD8" i="6"/>
  <c r="AD6" i="6"/>
  <c r="AB2" i="2" s="1"/>
  <c r="AF6" i="6"/>
  <c r="AD2" i="2" s="1"/>
  <c r="AL6" i="9"/>
  <c r="AH6" i="2" s="1"/>
  <c r="AL9" i="9"/>
  <c r="AD6" i="8"/>
  <c r="Z7" i="2" s="1"/>
  <c r="AE10" i="8"/>
  <c r="AD11" i="8"/>
  <c r="AF8" i="7"/>
  <c r="AE6" i="7"/>
  <c r="Y5" i="2" s="1"/>
  <c r="AE9" i="7"/>
  <c r="AA8" i="10"/>
  <c r="Z8" i="10"/>
  <c r="AB6" i="17"/>
  <c r="Z4" i="2" s="1"/>
  <c r="AC7" i="17"/>
  <c r="AB8" i="17"/>
  <c r="AB26" i="10"/>
  <c r="AB7" i="10" s="1"/>
  <c r="AC9" i="10"/>
  <c r="B198" i="1"/>
  <c r="B192" i="1"/>
  <c r="B194" i="1" s="1"/>
  <c r="B196" i="1" s="1"/>
  <c r="B193" i="1"/>
  <c r="B195" i="1" s="1"/>
  <c r="B197" i="1" s="1"/>
  <c r="BQ6" i="8" l="1"/>
  <c r="BM7" i="2" s="1"/>
  <c r="BQ11" i="8"/>
  <c r="BR10" i="8"/>
  <c r="BS9" i="7"/>
  <c r="BS6" i="7"/>
  <c r="BM5" i="2" s="1"/>
  <c r="BT8" i="7"/>
  <c r="BP6" i="10"/>
  <c r="BN3" i="2" s="1"/>
  <c r="BQ7" i="10"/>
  <c r="BP8" i="10"/>
  <c r="BM3" i="2"/>
  <c r="BW7" i="6"/>
  <c r="BV6" i="6"/>
  <c r="BT2" i="2" s="1"/>
  <c r="BV8" i="6"/>
  <c r="AN6" i="9"/>
  <c r="AN9" i="9"/>
  <c r="AO8" i="9"/>
  <c r="AP8" i="9" s="1"/>
  <c r="AE6" i="8"/>
  <c r="AA7" i="2" s="1"/>
  <c r="AF10" i="8"/>
  <c r="AG10" i="8" s="1"/>
  <c r="AE11" i="8"/>
  <c r="AF6" i="7"/>
  <c r="Z5" i="2" s="1"/>
  <c r="AG8" i="7"/>
  <c r="AF9" i="7"/>
  <c r="AB6" i="10"/>
  <c r="Z3" i="2" s="1"/>
  <c r="AA6" i="10"/>
  <c r="Y3" i="2" s="1"/>
  <c r="AC6" i="17"/>
  <c r="AA4" i="2" s="1"/>
  <c r="AD7" i="17"/>
  <c r="AE7" i="17" s="1"/>
  <c r="AF7" i="17" s="1"/>
  <c r="AC8" i="17"/>
  <c r="AC26" i="10"/>
  <c r="AC7" i="10" s="1"/>
  <c r="AD9" i="10"/>
  <c r="B205" i="1"/>
  <c r="B200" i="1"/>
  <c r="B202" i="1" s="1"/>
  <c r="B204" i="1" s="1"/>
  <c r="B199" i="1"/>
  <c r="B201" i="1" s="1"/>
  <c r="B203" i="1" s="1"/>
  <c r="C192" i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BR6" i="8" l="1"/>
  <c r="BN7" i="2" s="1"/>
  <c r="BR11" i="8"/>
  <c r="BS10" i="8"/>
  <c r="BT9" i="7"/>
  <c r="BT6" i="7"/>
  <c r="BN5" i="2" s="1"/>
  <c r="BU8" i="7"/>
  <c r="BQ8" i="10"/>
  <c r="BQ6" i="10"/>
  <c r="BO3" i="2" s="1"/>
  <c r="AD7" i="10"/>
  <c r="BW6" i="6"/>
  <c r="BU2" i="2" s="1"/>
  <c r="BW8" i="6"/>
  <c r="AP9" i="9"/>
  <c r="AP6" i="9"/>
  <c r="AQ8" i="9"/>
  <c r="AO6" i="9"/>
  <c r="AO9" i="9"/>
  <c r="AD26" i="10"/>
  <c r="AE9" i="10"/>
  <c r="AG8" i="6"/>
  <c r="AG6" i="6"/>
  <c r="AE2" i="2" s="1"/>
  <c r="AH6" i="6"/>
  <c r="AF2" i="2" s="1"/>
  <c r="AH8" i="6"/>
  <c r="AG6" i="8"/>
  <c r="AC7" i="2" s="1"/>
  <c r="AH10" i="8"/>
  <c r="AG11" i="8"/>
  <c r="AE6" i="17"/>
  <c r="AC4" i="2" s="1"/>
  <c r="AE8" i="17"/>
  <c r="AF6" i="8"/>
  <c r="AB7" i="2" s="1"/>
  <c r="AF11" i="8"/>
  <c r="AG6" i="7"/>
  <c r="AA5" i="2" s="1"/>
  <c r="AH8" i="7"/>
  <c r="AI8" i="7" s="1"/>
  <c r="AG9" i="7"/>
  <c r="AB8" i="10"/>
  <c r="AD6" i="17"/>
  <c r="AB4" i="2" s="1"/>
  <c r="AD8" i="17"/>
  <c r="B207" i="1"/>
  <c r="B209" i="1" s="1"/>
  <c r="B211" i="1" s="1"/>
  <c r="B212" i="1"/>
  <c r="B206" i="1"/>
  <c r="B208" i="1" s="1"/>
  <c r="B210" i="1" s="1"/>
  <c r="BS6" i="8" l="1"/>
  <c r="BO7" i="2" s="1"/>
  <c r="BT10" i="8"/>
  <c r="BS11" i="8"/>
  <c r="BU9" i="7"/>
  <c r="BU6" i="7"/>
  <c r="BO5" i="2" s="1"/>
  <c r="BV8" i="7"/>
  <c r="AE7" i="10"/>
  <c r="AQ6" i="9"/>
  <c r="AR8" i="9"/>
  <c r="AQ9" i="9"/>
  <c r="AD6" i="10"/>
  <c r="AB3" i="2" s="1"/>
  <c r="AF9" i="10"/>
  <c r="AE26" i="10"/>
  <c r="AI8" i="6"/>
  <c r="AI6" i="6"/>
  <c r="AG2" i="2" s="1"/>
  <c r="AI6" i="7"/>
  <c r="AC5" i="2" s="1"/>
  <c r="AJ8" i="7"/>
  <c r="AI9" i="7"/>
  <c r="AC6" i="10"/>
  <c r="AA3" i="2" s="1"/>
  <c r="AH6" i="8"/>
  <c r="AD7" i="2" s="1"/>
  <c r="AI10" i="8"/>
  <c r="AJ10" i="8" s="1"/>
  <c r="AH11" i="8"/>
  <c r="AF6" i="17"/>
  <c r="AD4" i="2" s="1"/>
  <c r="AG7" i="17"/>
  <c r="AH7" i="17" s="1"/>
  <c r="AI7" i="17" s="1"/>
  <c r="AF8" i="17"/>
  <c r="AC8" i="10"/>
  <c r="AH6" i="7"/>
  <c r="AB5" i="2" s="1"/>
  <c r="AH9" i="7"/>
  <c r="B213" i="1"/>
  <c r="B215" i="1" s="1"/>
  <c r="B217" i="1" s="1"/>
  <c r="B214" i="1"/>
  <c r="B216" i="1" s="1"/>
  <c r="B218" i="1" s="1"/>
  <c r="B219" i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BT6" i="8" l="1"/>
  <c r="BP7" i="2" s="1"/>
  <c r="BU10" i="8"/>
  <c r="BT11" i="8"/>
  <c r="BV9" i="7"/>
  <c r="BV6" i="7"/>
  <c r="BP5" i="2" s="1"/>
  <c r="BW8" i="7"/>
  <c r="AF7" i="10"/>
  <c r="AR6" i="9"/>
  <c r="AR9" i="9"/>
  <c r="AD8" i="10"/>
  <c r="AE6" i="10"/>
  <c r="AC3" i="2" s="1"/>
  <c r="AE8" i="10"/>
  <c r="AG9" i="10"/>
  <c r="AF26" i="10"/>
  <c r="AK6" i="6"/>
  <c r="AK8" i="6"/>
  <c r="AJ7" i="17"/>
  <c r="AK7" i="17" s="1"/>
  <c r="AI8" i="17"/>
  <c r="AI6" i="17"/>
  <c r="AG4" i="2" s="1"/>
  <c r="AJ8" i="6"/>
  <c r="AJ6" i="6"/>
  <c r="AH2" i="2" s="1"/>
  <c r="AJ11" i="8"/>
  <c r="AJ6" i="8"/>
  <c r="AF7" i="2" s="1"/>
  <c r="AK10" i="8"/>
  <c r="AJ6" i="7"/>
  <c r="AD5" i="2" s="1"/>
  <c r="AK8" i="7"/>
  <c r="AL8" i="7" s="1"/>
  <c r="AJ9" i="7"/>
  <c r="AH8" i="17"/>
  <c r="AH6" i="17"/>
  <c r="AF4" i="2" s="1"/>
  <c r="AI6" i="8"/>
  <c r="AE7" i="2" s="1"/>
  <c r="AI11" i="8"/>
  <c r="AG6" i="17"/>
  <c r="AE4" i="2" s="1"/>
  <c r="AG8" i="17"/>
  <c r="B221" i="1"/>
  <c r="B223" i="1" s="1"/>
  <c r="B225" i="1" s="1"/>
  <c r="B226" i="1"/>
  <c r="B220" i="1"/>
  <c r="B222" i="1" s="1"/>
  <c r="B224" i="1" s="1"/>
  <c r="BV10" i="8" l="1"/>
  <c r="BU11" i="8"/>
  <c r="BU6" i="8"/>
  <c r="BQ7" i="2" s="1"/>
  <c r="BW9" i="7"/>
  <c r="BW6" i="7"/>
  <c r="BQ5" i="2" s="1"/>
  <c r="AG7" i="10"/>
  <c r="AK6" i="17"/>
  <c r="AI4" i="2" s="1"/>
  <c r="AL7" i="17"/>
  <c r="AK8" i="17"/>
  <c r="AF6" i="10"/>
  <c r="AD3" i="2" s="1"/>
  <c r="AF8" i="10"/>
  <c r="AH9" i="10"/>
  <c r="AG26" i="10"/>
  <c r="AL6" i="6"/>
  <c r="AL8" i="6"/>
  <c r="AM8" i="7"/>
  <c r="AL6" i="7"/>
  <c r="AF5" i="2" s="1"/>
  <c r="AL9" i="7"/>
  <c r="AJ8" i="17"/>
  <c r="AJ6" i="17"/>
  <c r="AH4" i="2" s="1"/>
  <c r="AK6" i="8"/>
  <c r="AG7" i="2" s="1"/>
  <c r="AL10" i="8"/>
  <c r="AM10" i="8" s="1"/>
  <c r="AK11" i="8"/>
  <c r="AK9" i="7"/>
  <c r="AK6" i="7"/>
  <c r="AE5" i="2" s="1"/>
  <c r="B233" i="1"/>
  <c r="B227" i="1"/>
  <c r="B229" i="1" s="1"/>
  <c r="B231" i="1" s="1"/>
  <c r="B228" i="1"/>
  <c r="B230" i="1" s="1"/>
  <c r="B232" i="1" s="1"/>
  <c r="C220" i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BW10" i="8" l="1"/>
  <c r="BV11" i="8"/>
  <c r="BV6" i="8"/>
  <c r="BR7" i="2" s="1"/>
  <c r="AL6" i="17"/>
  <c r="AJ4" i="2" s="1"/>
  <c r="AM7" i="17"/>
  <c r="AN7" i="17" s="1"/>
  <c r="AL8" i="17"/>
  <c r="AG8" i="10"/>
  <c r="AG6" i="10"/>
  <c r="AE3" i="2" s="1"/>
  <c r="AI9" i="10"/>
  <c r="AH26" i="10"/>
  <c r="AH7" i="10" s="1"/>
  <c r="AM6" i="6"/>
  <c r="AM8" i="6"/>
  <c r="AM9" i="7"/>
  <c r="AN8" i="7"/>
  <c r="AO8" i="7" s="1"/>
  <c r="AM6" i="7"/>
  <c r="AG5" i="2" s="1"/>
  <c r="AM6" i="8"/>
  <c r="AI7" i="2" s="1"/>
  <c r="AN10" i="8"/>
  <c r="AM11" i="8"/>
  <c r="AL6" i="8"/>
  <c r="AH7" i="2" s="1"/>
  <c r="AL11" i="8"/>
  <c r="B234" i="1"/>
  <c r="B236" i="1" s="1"/>
  <c r="B238" i="1" s="1"/>
  <c r="B235" i="1"/>
  <c r="B237" i="1" s="1"/>
  <c r="B239" i="1" s="1"/>
  <c r="B240" i="1"/>
  <c r="BW11" i="8" l="1"/>
  <c r="BW6" i="8"/>
  <c r="BS7" i="2" s="1"/>
  <c r="AO6" i="7"/>
  <c r="AI5" i="2" s="1"/>
  <c r="AP8" i="7"/>
  <c r="AO9" i="7"/>
  <c r="AO7" i="17"/>
  <c r="AN6" i="17"/>
  <c r="AL4" i="2" s="1"/>
  <c r="AN8" i="17"/>
  <c r="AM6" i="17"/>
  <c r="AK4" i="2" s="1"/>
  <c r="AM8" i="17"/>
  <c r="AH6" i="10"/>
  <c r="AF3" i="2" s="1"/>
  <c r="AH8" i="10"/>
  <c r="AJ9" i="10"/>
  <c r="AI26" i="10"/>
  <c r="AI7" i="10" s="1"/>
  <c r="AN6" i="7"/>
  <c r="AH5" i="2" s="1"/>
  <c r="AN9" i="7"/>
  <c r="AN6" i="8"/>
  <c r="AJ7" i="2" s="1"/>
  <c r="AN11" i="8"/>
  <c r="AO10" i="8"/>
  <c r="AP10" i="8" s="1"/>
  <c r="B247" i="1"/>
  <c r="B242" i="1"/>
  <c r="B244" i="1" s="1"/>
  <c r="B246" i="1" s="1"/>
  <c r="B241" i="1"/>
  <c r="B243" i="1" s="1"/>
  <c r="B245" i="1" s="1"/>
  <c r="C234" i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AP6" i="7" l="1"/>
  <c r="AJ5" i="2" s="1"/>
  <c r="AQ8" i="7"/>
  <c r="AP9" i="7"/>
  <c r="AO6" i="17"/>
  <c r="AM4" i="2" s="1"/>
  <c r="AO8" i="17"/>
  <c r="AP7" i="17"/>
  <c r="AJ7" i="10"/>
  <c r="AQ10" i="8"/>
  <c r="AP11" i="8"/>
  <c r="AP6" i="8"/>
  <c r="AL7" i="2" s="1"/>
  <c r="AI6" i="10"/>
  <c r="AG3" i="2" s="1"/>
  <c r="AI8" i="10"/>
  <c r="AK9" i="10"/>
  <c r="AJ26" i="10"/>
  <c r="AO6" i="8"/>
  <c r="AK7" i="2" s="1"/>
  <c r="AO11" i="8"/>
  <c r="B254" i="1"/>
  <c r="B248" i="1"/>
  <c r="B250" i="1" s="1"/>
  <c r="B252" i="1" s="1"/>
  <c r="B249" i="1"/>
  <c r="B251" i="1" s="1"/>
  <c r="B253" i="1" s="1"/>
  <c r="AR8" i="7" l="1"/>
  <c r="AQ6" i="7"/>
  <c r="AK5" i="2" s="1"/>
  <c r="AQ9" i="7"/>
  <c r="AQ7" i="17"/>
  <c r="AP6" i="17"/>
  <c r="AN4" i="2" s="1"/>
  <c r="AP8" i="17"/>
  <c r="AR10" i="8"/>
  <c r="AQ11" i="8"/>
  <c r="AQ6" i="8"/>
  <c r="AM7" i="2" s="1"/>
  <c r="AJ6" i="10"/>
  <c r="AH3" i="2" s="1"/>
  <c r="AJ8" i="10"/>
  <c r="AK26" i="10"/>
  <c r="AK7" i="10" s="1"/>
  <c r="AL9" i="10"/>
  <c r="B261" i="1"/>
  <c r="B255" i="1"/>
  <c r="B257" i="1" s="1"/>
  <c r="B259" i="1" s="1"/>
  <c r="B256" i="1"/>
  <c r="B258" i="1" s="1"/>
  <c r="B260" i="1" s="1"/>
  <c r="C248" i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AR6" i="7" l="1"/>
  <c r="AL5" i="2" s="1"/>
  <c r="AS8" i="7"/>
  <c r="AR9" i="7"/>
  <c r="AQ6" i="17"/>
  <c r="AO4" i="2" s="1"/>
  <c r="AQ8" i="17"/>
  <c r="AR7" i="17"/>
  <c r="AR6" i="8"/>
  <c r="AN7" i="2" s="1"/>
  <c r="AR11" i="8"/>
  <c r="AK6" i="10"/>
  <c r="AI3" i="2" s="1"/>
  <c r="AK8" i="10"/>
  <c r="AM9" i="10"/>
  <c r="AL26" i="10"/>
  <c r="AL7" i="10" s="1"/>
  <c r="AT8" i="7" l="1"/>
  <c r="AS9" i="7"/>
  <c r="AS6" i="7"/>
  <c r="AM5" i="2" s="1"/>
  <c r="AR6" i="17"/>
  <c r="AP4" i="2" s="1"/>
  <c r="AR8" i="17"/>
  <c r="AS7" i="17"/>
  <c r="AM26" i="10"/>
  <c r="AM7" i="10" s="1"/>
  <c r="AN9" i="10"/>
  <c r="AL6" i="10"/>
  <c r="AJ3" i="2" s="1"/>
  <c r="AL8" i="10"/>
  <c r="AT6" i="7" l="1"/>
  <c r="AN5" i="2" s="1"/>
  <c r="AT9" i="7"/>
  <c r="AS6" i="17"/>
  <c r="AQ4" i="2" s="1"/>
  <c r="AS8" i="17"/>
  <c r="AT7" i="17"/>
  <c r="AN26" i="10"/>
  <c r="AN7" i="10" s="1"/>
  <c r="AO9" i="10"/>
  <c r="AM6" i="10"/>
  <c r="AK3" i="2" s="1"/>
  <c r="AM8" i="10"/>
  <c r="AT6" i="17" l="1"/>
  <c r="AR4" i="2" s="1"/>
  <c r="AT8" i="17"/>
  <c r="AU7" i="17"/>
  <c r="AN6" i="10"/>
  <c r="AL3" i="2" s="1"/>
  <c r="AN8" i="10"/>
  <c r="AP9" i="10"/>
  <c r="AP26" i="10" s="1"/>
  <c r="AO26" i="10"/>
  <c r="AO7" i="10" s="1"/>
  <c r="AU6" i="17" l="1"/>
  <c r="AS4" i="2" s="1"/>
  <c r="AU8" i="17"/>
  <c r="AV7" i="17"/>
  <c r="AP7" i="10"/>
  <c r="AO8" i="10"/>
  <c r="AO6" i="10"/>
  <c r="AM3" i="2" s="1"/>
  <c r="AV6" i="17" l="1"/>
  <c r="AT4" i="2" s="1"/>
  <c r="AV8" i="17"/>
  <c r="AW7" i="17"/>
  <c r="AP8" i="10"/>
  <c r="AP6" i="10"/>
  <c r="AN3" i="2" s="1"/>
  <c r="AX7" i="17" l="1"/>
  <c r="AW6" i="17"/>
  <c r="AU4" i="2" s="1"/>
  <c r="AW8" i="17"/>
  <c r="AY7" i="17" l="1"/>
  <c r="AX6" i="17"/>
  <c r="AV4" i="2" s="1"/>
  <c r="AX8" i="17"/>
  <c r="AZ7" i="17" l="1"/>
  <c r="AY6" i="17"/>
  <c r="AW4" i="2" s="1"/>
  <c r="AY8" i="17"/>
  <c r="BA7" i="17" l="1"/>
  <c r="AZ8" i="17"/>
  <c r="AZ6" i="17"/>
  <c r="AX4" i="2" s="1"/>
  <c r="BB7" i="17" l="1"/>
  <c r="BA8" i="17"/>
  <c r="BA6" i="17"/>
  <c r="AY4" i="2" s="1"/>
  <c r="BC7" i="17" l="1"/>
  <c r="BB6" i="17"/>
  <c r="AZ4" i="2" s="1"/>
  <c r="BB8" i="17"/>
  <c r="BD7" i="17" l="1"/>
  <c r="BC6" i="17"/>
  <c r="BA4" i="2" s="1"/>
  <c r="BC8" i="17"/>
  <c r="BE7" i="17" l="1"/>
  <c r="BD6" i="17"/>
  <c r="BB4" i="2" s="1"/>
  <c r="BD8" i="17"/>
  <c r="BE8" i="17" l="1"/>
  <c r="BF7" i="17"/>
  <c r="BE6" i="17"/>
  <c r="BC4" i="2" s="1"/>
  <c r="BF8" i="17" l="1"/>
  <c r="BF6" i="17"/>
  <c r="BD4" i="2" s="1"/>
  <c r="BG7" i="17"/>
  <c r="BG8" i="17" l="1"/>
  <c r="BG6" i="17"/>
  <c r="BE4" i="2" s="1"/>
  <c r="BH7" i="17"/>
  <c r="BH8" i="17" l="1"/>
  <c r="BI7" i="17"/>
  <c r="BH6" i="17"/>
  <c r="BF4" i="2" s="1"/>
  <c r="BI8" i="17" l="1"/>
  <c r="BJ7" i="17"/>
  <c r="BI6" i="17"/>
  <c r="BG4" i="2" s="1"/>
  <c r="BJ8" i="17" l="1"/>
  <c r="BK7" i="17"/>
  <c r="BJ6" i="17"/>
  <c r="BH4" i="2" s="1"/>
  <c r="BK6" i="17" l="1"/>
  <c r="BI4" i="2" s="1"/>
  <c r="BK8" i="17"/>
  <c r="BL7" i="17"/>
  <c r="BL6" i="17" l="1"/>
  <c r="BJ4" i="2" s="1"/>
  <c r="BM7" i="17"/>
  <c r="BL8" i="17"/>
  <c r="BM6" i="17" l="1"/>
  <c r="BK4" i="2" s="1"/>
  <c r="BN7" i="17"/>
  <c r="BM8" i="17"/>
  <c r="BN6" i="17" l="1"/>
  <c r="BL4" i="2" s="1"/>
  <c r="BN8" i="17"/>
  <c r="BO7" i="17"/>
  <c r="BO6" i="17" l="1"/>
  <c r="BM4" i="2" s="1"/>
  <c r="BO8" i="17"/>
  <c r="BP7" i="17"/>
  <c r="BP6" i="17" l="1"/>
  <c r="BN4" i="2" s="1"/>
  <c r="BP8" i="17"/>
  <c r="BQ7" i="17"/>
  <c r="BR7" i="17" l="1"/>
  <c r="BQ6" i="17"/>
  <c r="BO4" i="2" s="1"/>
  <c r="BQ8" i="17"/>
  <c r="BS7" i="17" l="1"/>
  <c r="BR6" i="17"/>
  <c r="BP4" i="2" s="1"/>
  <c r="BR8" i="17"/>
  <c r="BT7" i="17" l="1"/>
  <c r="BS6" i="17"/>
  <c r="BQ4" i="2" s="1"/>
  <c r="BS8" i="17"/>
  <c r="BU7" i="17" l="1"/>
  <c r="BT8" i="17"/>
  <c r="BT6" i="17"/>
  <c r="BR4" i="2" s="1"/>
  <c r="BV7" i="17" l="1"/>
  <c r="BU6" i="17"/>
  <c r="BS4" i="2" s="1"/>
  <c r="BU8" i="17"/>
  <c r="BW7" i="17" l="1"/>
  <c r="BV6" i="17"/>
  <c r="BT4" i="2" s="1"/>
  <c r="BV8" i="17"/>
  <c r="BW6" i="17" l="1"/>
  <c r="BU4" i="2" s="1"/>
  <c r="BW8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<sst xmlns="http://schemas.openxmlformats.org/spreadsheetml/2006/main" count="1187" uniqueCount="408">
  <si>
    <t>IRL</t>
  </si>
  <si>
    <t>Anno</t>
  </si>
  <si>
    <t>data in-game</t>
  </si>
  <si>
    <t>Time-skip</t>
  </si>
  <si>
    <t>Pescatore</t>
  </si>
  <si>
    <t>a1</t>
  </si>
  <si>
    <t>a2</t>
  </si>
  <si>
    <t>b1</t>
  </si>
  <si>
    <t>b2</t>
  </si>
  <si>
    <t>p2</t>
  </si>
  <si>
    <t>p1</t>
  </si>
  <si>
    <t>Kawa / contadino</t>
  </si>
  <si>
    <t>yield campo [Ryoo/Kawa]</t>
  </si>
  <si>
    <t>salari</t>
  </si>
  <si>
    <t>area terreno [Kawa]</t>
  </si>
  <si>
    <t>tempo produzione [mesi]</t>
  </si>
  <si>
    <t>profitto ciclo</t>
  </si>
  <si>
    <t>Cash-flow Sake</t>
  </si>
  <si>
    <t>voce</t>
  </si>
  <si>
    <t>valore</t>
  </si>
  <si>
    <t>riso [Ryoo]</t>
  </si>
  <si>
    <t>produzione [Ryoo]</t>
  </si>
  <si>
    <t>rateo sake/riso</t>
  </si>
  <si>
    <t>[Ryoo/bottiglia]</t>
  </si>
  <si>
    <t>capienza [unità]</t>
  </si>
  <si>
    <t>spesa</t>
  </si>
  <si>
    <t>utile</t>
  </si>
  <si>
    <t>utile [€]</t>
  </si>
  <si>
    <t>spese tasse</t>
  </si>
  <si>
    <t>numero di tratte mensili</t>
  </si>
  <si>
    <t>volume mensile</t>
  </si>
  <si>
    <t>profitto mensile</t>
  </si>
  <si>
    <t>Arbitraggio Mercantile</t>
  </si>
  <si>
    <t>Coltivazione Alghe</t>
  </si>
  <si>
    <t>tassa carovana [$/mese]</t>
  </si>
  <si>
    <t>prezzo di vendita [$/unità]</t>
  </si>
  <si>
    <t>prezzo di vendita [$/acquisto]</t>
  </si>
  <si>
    <t>costo bottiglie [$]</t>
  </si>
  <si>
    <t>vendita bottiglie [$]</t>
  </si>
  <si>
    <t>utile sake [$]</t>
  </si>
  <si>
    <t>affitto [$]</t>
  </si>
  <si>
    <t>costo riso [$]</t>
  </si>
  <si>
    <t>prezzo semi riso [$/Ryoo]</t>
  </si>
  <si>
    <t>prezzo bottiglia [$/pezzo]</t>
  </si>
  <si>
    <t>Prezzo sake [$/bottiglia]</t>
  </si>
  <si>
    <t>prezzo sake [$/Ryoo]</t>
  </si>
  <si>
    <t>affitto [$/mese]</t>
  </si>
  <si>
    <t>tasse terreno [$]</t>
  </si>
  <si>
    <t>costo semi [$]</t>
  </si>
  <si>
    <t>semi riso [$/Kawa]</t>
  </si>
  <si>
    <t>prezzo riso [$/Ryoo]</t>
  </si>
  <si>
    <t>prezzo semi [$/Ryoo]</t>
  </si>
  <si>
    <t>tassa terreno [$/Kawa]</t>
  </si>
  <si>
    <t>prezzo alga essiccata [$/Ryoo]</t>
  </si>
  <si>
    <t>prezzo alga [$/Ryoo]</t>
  </si>
  <si>
    <t>yield [Ryoo/Kawa/mese]</t>
  </si>
  <si>
    <t>superficie [Kawa]</t>
  </si>
  <si>
    <t>personale</t>
  </si>
  <si>
    <t>salario pert-time [$/mese]</t>
  </si>
  <si>
    <t>utile mensile [$]</t>
  </si>
  <si>
    <t>copertura [Kawa/persona]</t>
  </si>
  <si>
    <t>Ryoo/Kawa</t>
  </si>
  <si>
    <t>q/ha</t>
  </si>
  <si>
    <t xml:space="preserve">patate </t>
  </si>
  <si>
    <t>riso</t>
  </si>
  <si>
    <t>fagioli</t>
  </si>
  <si>
    <t>bambù</t>
  </si>
  <si>
    <t>foglie di tè</t>
  </si>
  <si>
    <t>legna</t>
  </si>
  <si>
    <t>alghe</t>
  </si>
  <si>
    <t>kg/m^2</t>
  </si>
  <si>
    <t>pesca</t>
  </si>
  <si>
    <t>superficie 
[Kawa]</t>
  </si>
  <si>
    <t>produzione 
[Ryoo/Kawa]</t>
  </si>
  <si>
    <t>Produzione 
[Ryoo/anno]</t>
  </si>
  <si>
    <t>Prezzo 
[$/Ryoo]</t>
  </si>
  <si>
    <t>--</t>
  </si>
  <si>
    <t>Guadagni annui a persona</t>
  </si>
  <si>
    <t>cocco</t>
  </si>
  <si>
    <t>Pirata</t>
  </si>
  <si>
    <t>Costo [$/Kawa]</t>
  </si>
  <si>
    <t>Legno [$/Ryoo]</t>
  </si>
  <si>
    <t>€/m^2</t>
  </si>
  <si>
    <t>$/kawa</t>
  </si>
  <si>
    <t>ha</t>
  </si>
  <si>
    <t>Kawa</t>
  </si>
  <si>
    <t>primavera
[mesi]</t>
  </si>
  <si>
    <t>estate
[mesi]</t>
  </si>
  <si>
    <t>autunno
[mesi]</t>
  </si>
  <si>
    <t>Guadagno 
[ $/mese]</t>
  </si>
  <si>
    <t>Cameriere</t>
  </si>
  <si>
    <t>paga [Kawa/mese]</t>
  </si>
  <si>
    <t xml:space="preserve">vitto </t>
  </si>
  <si>
    <t>alloggio</t>
  </si>
  <si>
    <t>Mese in-game</t>
  </si>
  <si>
    <t>Cibo</t>
  </si>
  <si>
    <t>Affitto</t>
  </si>
  <si>
    <t>Salario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</si>
  <si>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</si>
  <si>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</si>
  <si>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</si>
  <si>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</si>
  <si>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</si>
  <si>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</si>
  <si>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</si>
  <si>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</si>
  <si>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</si>
  <si>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</si>
  <si>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</si>
  <si>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Marzo</t>
  </si>
  <si>
    <t>spada</t>
  </si>
  <si>
    <t>2 reti da pesca</t>
  </si>
  <si>
    <t>100 Kawa di terreno boschivo 
non-edificabile</t>
  </si>
  <si>
    <t>bonifica 
bosco</t>
  </si>
  <si>
    <t>pergamena</t>
  </si>
  <si>
    <t>Ryoo</t>
  </si>
  <si>
    <t>bottiglie</t>
  </si>
  <si>
    <t>silver</t>
  </si>
  <si>
    <t>ricerca info</t>
  </si>
  <si>
    <t>Bottino di 
partenza</t>
  </si>
  <si>
    <t>terreno edificabile 
a ovest [Kawa]</t>
  </si>
  <si>
    <t>Liquidi</t>
  </si>
  <si>
    <t>Profitto netto</t>
  </si>
  <si>
    <t>Nic</t>
  </si>
  <si>
    <t>Cris</t>
  </si>
  <si>
    <t>Peter</t>
  </si>
  <si>
    <t>Kleit</t>
  </si>
  <si>
    <t>Zilla</t>
  </si>
  <si>
    <t>Vito</t>
  </si>
  <si>
    <t>bribe info</t>
  </si>
  <si>
    <t>popolazione</t>
  </si>
  <si>
    <t>prezzo riso</t>
  </si>
  <si>
    <t>consumo mensile (silver)</t>
  </si>
  <si>
    <t>consumo mesile (ryoo)</t>
  </si>
  <si>
    <t>consumo totale</t>
  </si>
  <si>
    <t>salario dipendente</t>
  </si>
  <si>
    <t>Assistente</t>
  </si>
  <si>
    <t>salario</t>
  </si>
  <si>
    <t>Mercante (Zilla)</t>
  </si>
  <si>
    <t>Apprendista mercante</t>
  </si>
  <si>
    <t>apprendista multiplier</t>
  </si>
  <si>
    <t>salario dipendente part-time</t>
  </si>
  <si>
    <t>range profitti</t>
  </si>
  <si>
    <t>Carro, cavallo, barili</t>
  </si>
  <si>
    <t>ricerca in biblioteca</t>
  </si>
  <si>
    <t>🔒</t>
  </si>
  <si>
    <t>👤</t>
  </si>
  <si>
    <t>⭐️</t>
  </si>
  <si>
    <t>Cameriera (terminato)</t>
  </si>
  <si>
    <t>Studi monacali</t>
  </si>
  <si>
    <t>Salario da monaco + offerte</t>
  </si>
  <si>
    <t>range salario monaco</t>
  </si>
  <si>
    <t>range sake</t>
  </si>
  <si>
    <t>Taglialegna</t>
  </si>
  <si>
    <t>Pesca</t>
  </si>
  <si>
    <t>Permesso tagliare legna</t>
  </si>
  <si>
    <t>Tassa porto</t>
  </si>
  <si>
    <t>Tassa bancarella</t>
  </si>
  <si>
    <t>Bancarella</t>
  </si>
  <si>
    <t>Barca da pesca</t>
  </si>
  <si>
    <t>ascia, machete</t>
  </si>
  <si>
    <t>artigiano per costruire la casetta</t>
  </si>
  <si>
    <t xml:space="preserve">Terreni </t>
  </si>
  <si>
    <t>range mercante</t>
  </si>
  <si>
    <t>Boost vendite</t>
  </si>
  <si>
    <t>Mercante (Peter)</t>
  </si>
  <si>
    <t>salario impiegato magazzino</t>
  </si>
  <si>
    <t>salario apprendista mercante</t>
  </si>
  <si>
    <t>Mantenimento</t>
  </si>
  <si>
    <t>Prezzo magazzino</t>
  </si>
  <si>
    <t>Tratta 1 (K-H-T)</t>
  </si>
  <si>
    <t>Tratta 2  (U-H-K)</t>
  </si>
  <si>
    <t>Artigiano del sake</t>
  </si>
  <si>
    <t>Attrezzi per il sake</t>
  </si>
  <si>
    <t>Tratta 2 (U-H-T)</t>
  </si>
  <si>
    <t>Attrezzi per il tè</t>
  </si>
  <si>
    <t>Impiego</t>
  </si>
  <si>
    <t>Tassa terreno edificabile</t>
  </si>
  <si>
    <t>Altre tasse</t>
  </si>
  <si>
    <t>tassa terreno edificabile $/kawa</t>
  </si>
  <si>
    <t>Tiro con l'arco</t>
  </si>
  <si>
    <t>Vendita al tempio</t>
  </si>
  <si>
    <t>Tassa bancarella Kanemura</t>
  </si>
  <si>
    <t>Tassa bancarella Takamura</t>
  </si>
  <si>
    <t>Tassa bancarella Umihana</t>
  </si>
  <si>
    <t>📜</t>
  </si>
  <si>
    <t>Permessi</t>
  </si>
  <si>
    <t>Nota: il tempio si occupa dei permessi di vendita</t>
  </si>
  <si>
    <t>tassa bancarella</t>
  </si>
  <si>
    <t>Tassa rotta commerciale</t>
  </si>
  <si>
    <t>Bancarella a Umihana</t>
  </si>
  <si>
    <t>consegna casse</t>
  </si>
  <si>
    <t>Tasse bancarelle</t>
  </si>
  <si>
    <t>Tratta 3  (T-H-K)</t>
  </si>
  <si>
    <t>Tratta 3 (K-H-U)</t>
  </si>
  <si>
    <t>giro in montagna</t>
  </si>
  <si>
    <t>Katana  
Mayakashi 163</t>
  </si>
  <si>
    <t>Katane
Mayakashi 205, 208</t>
  </si>
  <si>
    <t>vendite extra al festival</t>
  </si>
  <si>
    <t>mensile</t>
  </si>
  <si>
    <t>Cash-flow Piantagione di Riso (1 contadino)</t>
  </si>
  <si>
    <t>portafortuna</t>
  </si>
  <si>
    <t>prestito</t>
  </si>
  <si>
    <t>todo buff taverna</t>
  </si>
  <si>
    <t>Set da tè</t>
  </si>
  <si>
    <t>Riso Masanori</t>
  </si>
  <si>
    <t>vende perle, spezie cinesi, e porcellana</t>
  </si>
  <si>
    <t>vestito nero di seta, 
con tasche nascoste</t>
  </si>
  <si>
    <t>vendita 
portafortuna</t>
  </si>
  <si>
    <t>Costo magazzino</t>
  </si>
  <si>
    <t>prezzo magazzino piccolo</t>
  </si>
  <si>
    <t>bonus magazzino piccolo</t>
  </si>
  <si>
    <t>Monete Cinesi d'oro</t>
  </si>
  <si>
    <t>tè con marchio e 
sigillo imperiale cinese</t>
  </si>
  <si>
    <t>scatolina di legno 
di olii profumati</t>
  </si>
  <si>
    <t>vendita 
spezie cinesi</t>
  </si>
  <si>
    <t>decide di vendere fagioli azuki in perdita</t>
  </si>
  <si>
    <t>drip cerimonia</t>
  </si>
  <si>
    <t>samurai</t>
  </si>
  <si>
    <t>vende perle</t>
  </si>
  <si>
    <t>pavimenti magazzino</t>
  </si>
  <si>
    <t>Tratta 1 (T-H-U)</t>
  </si>
  <si>
    <t>donazioni templi Umihana Takamura</t>
  </si>
  <si>
    <t>salario dipendente full-time</t>
  </si>
  <si>
    <t>Tratta 1  (U-K)</t>
  </si>
  <si>
    <t>apprendista full-time multiplier</t>
  </si>
  <si>
    <t>paga marinaio+mercante</t>
  </si>
  <si>
    <t>Marinaio, Apprendista mercante</t>
  </si>
  <si>
    <t>Collana in oro con perle, regalata ai Nagatomo</t>
  </si>
  <si>
    <t xml:space="preserve">vestito </t>
  </si>
  <si>
    <t>orecchini e fermaglio</t>
  </si>
  <si>
    <t>cash</t>
  </si>
  <si>
    <t>Google</t>
  </si>
  <si>
    <t>tasse</t>
  </si>
  <si>
    <t>minusvalenze
da compensare</t>
  </si>
  <si>
    <t>compro 1G</t>
  </si>
  <si>
    <t>vendo 1G</t>
  </si>
  <si>
    <t>A</t>
  </si>
  <si>
    <t>B</t>
  </si>
  <si>
    <t>Google
 stock</t>
  </si>
  <si>
    <t>guadagno 
lordo</t>
  </si>
  <si>
    <t>(compenso minusval.)</t>
  </si>
  <si>
    <t>boost produzione sake</t>
  </si>
  <si>
    <t>Katane Mayakashi</t>
  </si>
  <si>
    <t>torneo arco</t>
  </si>
  <si>
    <t>mu</t>
  </si>
  <si>
    <t>sample</t>
  </si>
  <si>
    <t>sigma^2</t>
  </si>
  <si>
    <t>gp</t>
  </si>
  <si>
    <t>AV</t>
  </si>
  <si>
    <t>Apprendista 1 - prod. tè full-time bancarella</t>
  </si>
  <si>
    <t>Apprendista 2 - prod. tè full-time bancarella</t>
  </si>
  <si>
    <t>Taverna</t>
  </si>
  <si>
    <t>Kleit - Cuoco e bartender Taverna</t>
  </si>
  <si>
    <t xml:space="preserve">Kleit - Maestro del tè </t>
  </si>
  <si>
    <t>Mercanti bancarelle</t>
  </si>
  <si>
    <t>NAV</t>
  </si>
  <si>
    <t>anello della nobildonna 
della missione</t>
  </si>
  <si>
    <t>apprendista mercante multiplier</t>
  </si>
  <si>
    <t>salario dipendente taverna full-time</t>
  </si>
  <si>
    <t>rotta marittima</t>
  </si>
  <si>
    <t>Tassa Taverna</t>
  </si>
  <si>
    <t>prod. Dipendente taverna</t>
  </si>
  <si>
    <t>Bancarelle</t>
  </si>
  <si>
    <t>Tip per Masanori</t>
  </si>
  <si>
    <t>multiplier tratta busy</t>
  </si>
  <si>
    <t>1 piccolo shrine</t>
  </si>
  <si>
    <t>1 casuccia</t>
  </si>
  <si>
    <t>Barche (unità)</t>
  </si>
  <si>
    <t>bonifica bosco</t>
  </si>
  <si>
    <t>terreno</t>
  </si>
  <si>
    <t>Spada</t>
  </si>
  <si>
    <t>barca</t>
  </si>
  <si>
    <t>Pescatore (barca piccola)</t>
  </si>
  <si>
    <t>Pescatore (barca media)</t>
  </si>
  <si>
    <t>Pescatore (barca grande)</t>
  </si>
  <si>
    <t>Barche</t>
  </si>
  <si>
    <t>barca media</t>
  </si>
  <si>
    <t>barca piccola</t>
  </si>
  <si>
    <t>guadagno affitto barca piccola</t>
  </si>
  <si>
    <t>guadagno affitto barca grande</t>
  </si>
  <si>
    <t>guadagno affitto barca media</t>
  </si>
  <si>
    <t>barca grande</t>
  </si>
  <si>
    <t>Taverna Umihana</t>
  </si>
  <si>
    <t>costo barca piccola</t>
  </si>
  <si>
    <t>costo barca media</t>
  </si>
  <si>
    <t>costo barca grande</t>
  </si>
  <si>
    <t>arco</t>
  </si>
  <si>
    <t>Assicurazione</t>
  </si>
  <si>
    <t>Pesca con l'arco</t>
  </si>
  <si>
    <t>consulenza</t>
  </si>
  <si>
    <t>Tratta 4 Marittima  (T-H-K)</t>
  </si>
  <si>
    <t>Rotta marittima</t>
  </si>
  <si>
    <t>concorrenza</t>
  </si>
  <si>
    <t>Apprendista 3 - prod. tè full-time bancarella</t>
  </si>
  <si>
    <t>Tratta 2  (U-T)</t>
  </si>
  <si>
    <t>donazione associazione pescatori Takamura</t>
  </si>
  <si>
    <t>Barca media</t>
  </si>
  <si>
    <t>Magazzino medio a Hakusui (rotte 1, 2, 3)</t>
  </si>
  <si>
    <t>boost vendite magazzino</t>
  </si>
  <si>
    <t>boost vendite magazzino (taverna)</t>
  </si>
  <si>
    <t>Magazzino Umihana</t>
  </si>
  <si>
    <t>amuletini</t>
  </si>
  <si>
    <t>Guardia</t>
  </si>
  <si>
    <t>consiglio legale relitto</t>
  </si>
  <si>
    <t>Casa a Hakusui</t>
  </si>
  <si>
    <t>"security"</t>
  </si>
  <si>
    <t>Shimanami</t>
  </si>
  <si>
    <t>word count</t>
  </si>
  <si>
    <t>NPC</t>
  </si>
  <si>
    <t>PC</t>
  </si>
  <si>
    <t>Github</t>
  </si>
  <si>
    <t>Other</t>
  </si>
  <si>
    <t>specchio da viaggio finemente decorato</t>
  </si>
  <si>
    <t>Maschera da Cerimonia bianca finemente decorata</t>
  </si>
  <si>
    <t>piccolo lingotto d'oro</t>
  </si>
  <si>
    <t>era 69 gold</t>
  </si>
  <si>
    <t>magazzino piccolo</t>
  </si>
  <si>
    <t>magazzino grande</t>
  </si>
  <si>
    <t>vendita magazzino piccolo Umihana</t>
  </si>
  <si>
    <t>Magazzini (rotte 1, 2, 3)</t>
  </si>
  <si>
    <t>magazzino miccolo Umihana</t>
  </si>
  <si>
    <t>magazzino grande Umihana</t>
  </si>
  <si>
    <t>Tratta 1 (U-H-T)</t>
  </si>
  <si>
    <t>bonus magazzino grande</t>
  </si>
  <si>
    <t>Kimono per Saori</t>
  </si>
  <si>
    <t>Kimono per se stesso (3+1)</t>
  </si>
  <si>
    <t>/ 11 Permessi</t>
  </si>
  <si>
    <t>Assicurazione  Gilda del Gusto</t>
  </si>
  <si>
    <t>Assicurazione mensile mercanti</t>
  </si>
  <si>
    <t>Tassa assicurazione mercanti</t>
  </si>
  <si>
    <t>Beneficenza tempio Takamura</t>
  </si>
  <si>
    <t>Barca e attrezzi</t>
  </si>
  <si>
    <t>Servizio Postale a Cavallo</t>
  </si>
  <si>
    <t>dipendente Kanemura</t>
  </si>
  <si>
    <t>dipendente Takamura</t>
  </si>
  <si>
    <t>dipendente Umihana</t>
  </si>
  <si>
    <t>vendite</t>
  </si>
  <si>
    <t>Armatura da samurai</t>
  </si>
  <si>
    <t>2 completi vestiti</t>
  </si>
  <si>
    <t>Casa a nord-est</t>
  </si>
  <si>
    <t>stuck at library and cave</t>
  </si>
  <si>
    <t>todo increase income</t>
  </si>
  <si>
    <t>Tassa rotta commerciale (barca media)</t>
  </si>
  <si>
    <t>Masanori</t>
  </si>
  <si>
    <t>tip dalle amiche</t>
  </si>
  <si>
    <t>donazione tempio Umihana</t>
  </si>
  <si>
    <t>Associazione Tsuki no Tsuyu (Rugiada di Luna)</t>
  </si>
  <si>
    <t>/13</t>
  </si>
  <si>
    <t>Medico</t>
  </si>
  <si>
    <t>Capitano</t>
  </si>
  <si>
    <t>Barca Enorme</t>
  </si>
  <si>
    <t>Allestimento</t>
  </si>
  <si>
    <t>todo update</t>
  </si>
  <si>
    <t>Vendita tè e cibo</t>
  </si>
  <si>
    <t>servizio medico</t>
  </si>
  <si>
    <t>katana 931</t>
  </si>
  <si>
    <t>scatola del relitto</t>
  </si>
  <si>
    <t>piccolo lingotto</t>
  </si>
  <si>
    <t>mancia di netsuki</t>
  </si>
  <si>
    <t>4 barche piccole</t>
  </si>
  <si>
    <t>1 barca grande</t>
  </si>
  <si>
    <t>Affitto barche</t>
  </si>
  <si>
    <t>Associazione Pescatori</t>
  </si>
  <si>
    <t>Offerte</t>
  </si>
  <si>
    <t>Sussidio Daimyo</t>
  </si>
  <si>
    <t>cibo</t>
  </si>
  <si>
    <t>bisognosi</t>
  </si>
  <si>
    <t>rapina</t>
  </si>
  <si>
    <t>cavallo</t>
  </si>
  <si>
    <t>festa</t>
  </si>
  <si>
    <t>vendita tè</t>
  </si>
  <si>
    <t>katana</t>
  </si>
  <si>
    <t>info</t>
  </si>
  <si>
    <t>Pesca al largo (con volontari)</t>
  </si>
  <si>
    <t>Monaco (impiego)</t>
  </si>
  <si>
    <t>Hobbies</t>
  </si>
  <si>
    <t>Produzione di sake 
artigianale (business)</t>
  </si>
  <si>
    <t>Magazzino piccolo a Hakusui 
(rotte 1, 2, 3)</t>
  </si>
  <si>
    <t>prelievo Nic</t>
  </si>
  <si>
    <t>Daimyoo supporto momentaneo</t>
  </si>
  <si>
    <t>Spese e Movimenti</t>
  </si>
  <si>
    <t>Impiegati Barca Grande</t>
  </si>
  <si>
    <t>Nostromo (samurai)</t>
  </si>
  <si>
    <t>Navigatore</t>
  </si>
  <si>
    <t>Movimenti</t>
  </si>
  <si>
    <t>Profitti vendite</t>
  </si>
  <si>
    <t>attrezzi sake</t>
  </si>
  <si>
    <t>katane</t>
  </si>
  <si>
    <t>casetta per 
associazione pescatori</t>
  </si>
  <si>
    <t>molo Takamura</t>
  </si>
  <si>
    <t>premio</t>
  </si>
  <si>
    <t>Molo</t>
  </si>
  <si>
    <t>Barca grande e molo (costi e introiti)</t>
  </si>
  <si>
    <t>totale</t>
  </si>
  <si>
    <t>prelievo associazione</t>
  </si>
  <si>
    <t>guardia allevamento 
Granchi Kanemura</t>
  </si>
  <si>
    <t>Storia e Arte</t>
  </si>
  <si>
    <t>Modi di fare</t>
  </si>
  <si>
    <t>todo boost profitti Hirata</t>
  </si>
  <si>
    <t>set da tè</t>
  </si>
  <si>
    <t>Tempio Takamura</t>
  </si>
  <si>
    <t>Paga Takizawa</t>
  </si>
  <si>
    <t>missione</t>
  </si>
  <si>
    <t>ritorno prestito</t>
  </si>
  <si>
    <t>aiuto zilla</t>
  </si>
  <si>
    <t>todo vendita pesce</t>
  </si>
  <si>
    <t>todo tè Kleit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</si>
</sst>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"/>
    <numFmt numFmtId="165" formatCode="[$$-1009]#,##0.00;[Red]\-[$$-1009]#,##0.00"/>
    <numFmt numFmtId="166" formatCode="[$$-409]#,##0.00_ ;[Red]\-[$$-409]#,##0.00\ "/>
    <numFmt numFmtId="167" formatCode="[$$-2809]#,##0.00;[Red]\-[$$-2809]#,##0.00"/>
    <numFmt numFmtId="168" formatCode="[Green]\$#,##0.00_);[Red]\-\$#,##0.00;[White]\$0.00;[White]@"/>
    <numFmt numFmtId="169" formatCode="#,##0.0_ ;[Red]\-#,##0.0\ "/>
    <numFmt numFmtId="170" formatCode="[$$-C09]#,##0.00"/>
    <numFmt numFmtId="171" formatCode="[$$-409]#,##0.00"/>
    <numFmt numFmtId="172" formatCode="#,##0.00\ &quot;€&quot;"/>
    <numFmt numFmtId="173" formatCode="0.0"/>
    <numFmt numFmtId="174" formatCode="#,##0.00_ ;[Red]\-#,##0.00\ "/>
    <numFmt numFmtId="175" formatCode="#,##0_ ;[Red]\-#,##0\ "/>
  </numFmts>
  <fonts count="25" x14ac:knownFonts="1">
    <font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8"/>
      <name val="Aptos Narrow"/>
      <family val="2"/>
      <scheme val="minor"/>
    </font>
    <font>
      <sz val="18"/>
      <color rgb="FF00B0F0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 tint="-0.14999847407452621"/>
      <name val="Aptos Narrow"/>
      <family val="2"/>
      <scheme val="minor"/>
    </font>
    <font>
      <b/>
      <sz val="16"/>
      <color theme="0" tint="-0.1499984740745262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rgb="FF6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double">
        <color theme="0"/>
      </bottom>
      <diagonal/>
    </border>
    <border>
      <left/>
      <right style="thin">
        <color theme="0"/>
      </right>
      <top/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thin">
        <color theme="0"/>
      </right>
      <top style="double">
        <color theme="0"/>
      </top>
      <bottom style="double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2" borderId="0" xfId="0" applyFont="1" applyFill="1"/>
    <xf numFmtId="16" fontId="1" fillId="2" borderId="0" xfId="0" applyNumberFormat="1" applyFont="1" applyFill="1"/>
    <xf numFmtId="0" fontId="1" fillId="3" borderId="0" xfId="0" applyFont="1" applyFill="1"/>
    <xf numFmtId="16" fontId="1" fillId="3" borderId="0" xfId="0" applyNumberFormat="1" applyFont="1" applyFill="1"/>
    <xf numFmtId="16" fontId="2" fillId="2" borderId="0" xfId="0" applyNumberFormat="1" applyFont="1" applyFill="1"/>
    <xf numFmtId="0" fontId="3" fillId="2" borderId="0" xfId="0" applyFont="1" applyFill="1"/>
    <xf numFmtId="10" fontId="3" fillId="2" borderId="0" xfId="0" applyNumberFormat="1" applyFont="1" applyFill="1"/>
    <xf numFmtId="164" fontId="3" fillId="2" borderId="0" xfId="0" applyNumberFormat="1" applyFont="1" applyFill="1"/>
    <xf numFmtId="2" fontId="3" fillId="2" borderId="0" xfId="0" applyNumberFormat="1" applyFont="1" applyFill="1"/>
    <xf numFmtId="2" fontId="4" fillId="2" borderId="0" xfId="0" applyNumberFormat="1" applyFont="1" applyFill="1"/>
    <xf numFmtId="0" fontId="4" fillId="2" borderId="0" xfId="0" applyFont="1" applyFill="1"/>
    <xf numFmtId="0" fontId="3" fillId="2" borderId="1" xfId="0" applyFont="1" applyFill="1" applyBorder="1"/>
    <xf numFmtId="0" fontId="4" fillId="2" borderId="1" xfId="0" applyFont="1" applyFill="1" applyBorder="1"/>
    <xf numFmtId="165" fontId="3" fillId="2" borderId="1" xfId="0" applyNumberFormat="1" applyFont="1" applyFill="1" applyBorder="1"/>
    <xf numFmtId="165" fontId="4" fillId="2" borderId="1" xfId="0" applyNumberFormat="1" applyFont="1" applyFill="1" applyBorder="1"/>
    <xf numFmtId="166" fontId="3" fillId="2" borderId="1" xfId="0" applyNumberFormat="1" applyFont="1" applyFill="1" applyBorder="1"/>
    <xf numFmtId="0" fontId="6" fillId="2" borderId="0" xfId="0" applyFont="1" applyFill="1"/>
    <xf numFmtId="167" fontId="3" fillId="2" borderId="0" xfId="0" applyNumberFormat="1" applyFont="1" applyFill="1"/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right"/>
    </xf>
    <xf numFmtId="0" fontId="7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8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 wrapText="1"/>
    </xf>
    <xf numFmtId="169" fontId="3" fillId="2" borderId="0" xfId="0" applyNumberFormat="1" applyFont="1" applyFill="1" applyAlignment="1">
      <alignment horizontal="center"/>
    </xf>
    <xf numFmtId="168" fontId="3" fillId="2" borderId="3" xfId="0" applyNumberFormat="1" applyFont="1" applyFill="1" applyBorder="1" applyAlignment="1">
      <alignment horizontal="center"/>
    </xf>
    <xf numFmtId="168" fontId="3" fillId="2" borderId="4" xfId="0" applyNumberFormat="1" applyFont="1" applyFill="1" applyBorder="1" applyAlignment="1">
      <alignment horizontal="center"/>
    </xf>
    <xf numFmtId="0" fontId="1" fillId="2" borderId="5" xfId="0" applyFont="1" applyFill="1" applyBorder="1"/>
    <xf numFmtId="0" fontId="2" fillId="4" borderId="1" xfId="0" applyFont="1" applyFill="1" applyBorder="1"/>
    <xf numFmtId="168" fontId="3" fillId="2" borderId="6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right"/>
    </xf>
    <xf numFmtId="0" fontId="4" fillId="3" borderId="2" xfId="0" applyFont="1" applyFill="1" applyBorder="1" applyAlignment="1">
      <alignment horizontal="center"/>
    </xf>
    <xf numFmtId="1" fontId="3" fillId="3" borderId="0" xfId="0" applyNumberFormat="1" applyFont="1" applyFill="1" applyAlignment="1">
      <alignment horizontal="right"/>
    </xf>
    <xf numFmtId="9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center"/>
    </xf>
    <xf numFmtId="168" fontId="3" fillId="3" borderId="0" xfId="0" applyNumberFormat="1" applyFont="1" applyFill="1" applyAlignment="1">
      <alignment horizontal="center"/>
    </xf>
    <xf numFmtId="170" fontId="4" fillId="3" borderId="0" xfId="0" applyNumberFormat="1" applyFont="1" applyFill="1" applyAlignment="1">
      <alignment horizontal="center"/>
    </xf>
    <xf numFmtId="171" fontId="3" fillId="3" borderId="0" xfId="0" applyNumberFormat="1" applyFont="1" applyFill="1" applyAlignment="1">
      <alignment horizontal="center"/>
    </xf>
    <xf numFmtId="168" fontId="3" fillId="2" borderId="2" xfId="0" applyNumberFormat="1" applyFont="1" applyFill="1" applyBorder="1" applyAlignment="1">
      <alignment horizontal="center"/>
    </xf>
    <xf numFmtId="0" fontId="8" fillId="6" borderId="0" xfId="0" applyFont="1" applyFill="1" applyAlignment="1">
      <alignment horizontal="left"/>
    </xf>
    <xf numFmtId="0" fontId="4" fillId="5" borderId="4" xfId="0" applyFont="1" applyFill="1" applyBorder="1" applyAlignment="1">
      <alignment horizontal="right"/>
    </xf>
    <xf numFmtId="0" fontId="3" fillId="7" borderId="0" xfId="0" applyFont="1" applyFill="1" applyAlignment="1">
      <alignment horizontal="right"/>
    </xf>
    <xf numFmtId="0" fontId="3" fillId="7" borderId="3" xfId="0" applyFont="1" applyFill="1" applyBorder="1" applyAlignment="1">
      <alignment horizontal="right" wrapText="1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9" fontId="3" fillId="3" borderId="0" xfId="0" applyNumberFormat="1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right"/>
    </xf>
    <xf numFmtId="170" fontId="4" fillId="3" borderId="9" xfId="0" applyNumberFormat="1" applyFont="1" applyFill="1" applyBorder="1" applyAlignment="1">
      <alignment horizontal="center"/>
    </xf>
    <xf numFmtId="171" fontId="3" fillId="3" borderId="9" xfId="0" applyNumberFormat="1" applyFont="1" applyFill="1" applyBorder="1" applyAlignment="1">
      <alignment horizontal="center"/>
    </xf>
    <xf numFmtId="168" fontId="3" fillId="3" borderId="9" xfId="0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4" fillId="3" borderId="7" xfId="0" applyFont="1" applyFill="1" applyBorder="1" applyAlignment="1">
      <alignment horizontal="right"/>
    </xf>
    <xf numFmtId="0" fontId="4" fillId="3" borderId="8" xfId="0" applyFont="1" applyFill="1" applyBorder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" fontId="3" fillId="2" borderId="0" xfId="0" applyNumberFormat="1" applyFont="1" applyFill="1"/>
    <xf numFmtId="0" fontId="3" fillId="3" borderId="3" xfId="0" applyFont="1" applyFill="1" applyBorder="1" applyAlignment="1">
      <alignment horizontal="right"/>
    </xf>
    <xf numFmtId="169" fontId="3" fillId="2" borderId="3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right"/>
    </xf>
    <xf numFmtId="0" fontId="3" fillId="7" borderId="13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7" borderId="0" xfId="0" applyFont="1" applyFill="1" applyAlignment="1">
      <alignment horizontal="left"/>
    </xf>
    <xf numFmtId="0" fontId="3" fillId="7" borderId="3" xfId="0" applyFont="1" applyFill="1" applyBorder="1" applyAlignment="1">
      <alignment horizontal="left" wrapText="1"/>
    </xf>
    <xf numFmtId="166" fontId="3" fillId="2" borderId="0" xfId="0" applyNumberFormat="1" applyFont="1" applyFill="1"/>
    <xf numFmtId="0" fontId="11" fillId="17" borderId="0" xfId="0" applyFont="1" applyFill="1" applyAlignment="1">
      <alignment horizontal="center"/>
    </xf>
    <xf numFmtId="0" fontId="11" fillId="17" borderId="0" xfId="0" applyFont="1" applyFill="1" applyAlignment="1">
      <alignment horizontal="left"/>
    </xf>
    <xf numFmtId="0" fontId="11" fillId="17" borderId="0" xfId="0" applyFont="1" applyFill="1" applyAlignment="1">
      <alignment horizontal="right"/>
    </xf>
    <xf numFmtId="0" fontId="11" fillId="17" borderId="3" xfId="0" applyFont="1" applyFill="1" applyBorder="1" applyAlignment="1">
      <alignment horizontal="center"/>
    </xf>
    <xf numFmtId="0" fontId="11" fillId="17" borderId="3" xfId="0" applyFont="1" applyFill="1" applyBorder="1" applyAlignment="1">
      <alignment horizontal="left"/>
    </xf>
    <xf numFmtId="0" fontId="11" fillId="17" borderId="3" xfId="0" applyFont="1" applyFill="1" applyBorder="1" applyAlignment="1">
      <alignment horizontal="right"/>
    </xf>
    <xf numFmtId="0" fontId="11" fillId="17" borderId="11" xfId="0" applyFont="1" applyFill="1" applyBorder="1" applyAlignment="1">
      <alignment horizontal="center"/>
    </xf>
    <xf numFmtId="168" fontId="3" fillId="4" borderId="3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72" fontId="3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164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15" xfId="0" applyFont="1" applyFill="1" applyBorder="1"/>
    <xf numFmtId="0" fontId="1" fillId="2" borderId="16" xfId="0" applyFont="1" applyFill="1" applyBorder="1"/>
    <xf numFmtId="173" fontId="14" fillId="2" borderId="14" xfId="0" applyNumberFormat="1" applyFont="1" applyFill="1" applyBorder="1"/>
    <xf numFmtId="171" fontId="3" fillId="3" borderId="0" xfId="0" applyNumberFormat="1" applyFont="1" applyFill="1" applyAlignment="1">
      <alignment horizontal="right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0" fontId="17" fillId="3" borderId="2" xfId="0" applyFont="1" applyFill="1" applyBorder="1" applyAlignment="1">
      <alignment horizontal="center"/>
    </xf>
    <xf numFmtId="0" fontId="18" fillId="18" borderId="3" xfId="0" applyFont="1" applyFill="1" applyBorder="1" applyAlignment="1">
      <alignment horizontal="left" wrapText="1"/>
    </xf>
    <xf numFmtId="0" fontId="16" fillId="19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174" fontId="3" fillId="3" borderId="0" xfId="0" applyNumberFormat="1" applyFont="1" applyFill="1" applyAlignment="1">
      <alignment horizontal="center"/>
    </xf>
    <xf numFmtId="0" fontId="19" fillId="6" borderId="0" xfId="0" applyFont="1" applyFill="1" applyAlignment="1">
      <alignment horizontal="left"/>
    </xf>
    <xf numFmtId="0" fontId="21" fillId="5" borderId="4" xfId="0" applyFont="1" applyFill="1" applyBorder="1" applyAlignment="1">
      <alignment horizontal="left"/>
    </xf>
    <xf numFmtId="168" fontId="3" fillId="4" borderId="0" xfId="0" applyNumberFormat="1" applyFont="1" applyFill="1" applyAlignment="1">
      <alignment horizontal="center"/>
    </xf>
    <xf numFmtId="0" fontId="4" fillId="21" borderId="3" xfId="0" applyFont="1" applyFill="1" applyBorder="1" applyAlignment="1">
      <alignment horizontal="left" wrapText="1"/>
    </xf>
    <xf numFmtId="0" fontId="3" fillId="21" borderId="3" xfId="0" applyFont="1" applyFill="1" applyBorder="1" applyAlignment="1">
      <alignment horizontal="center" wrapText="1"/>
    </xf>
    <xf numFmtId="0" fontId="3" fillId="21" borderId="3" xfId="0" applyFont="1" applyFill="1" applyBorder="1" applyAlignment="1">
      <alignment horizontal="left" wrapText="1"/>
    </xf>
    <xf numFmtId="0" fontId="20" fillId="21" borderId="3" xfId="0" applyFont="1" applyFill="1" applyBorder="1" applyAlignment="1">
      <alignment horizontal="left" wrapText="1"/>
    </xf>
    <xf numFmtId="0" fontId="3" fillId="2" borderId="0" xfId="0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  <xf numFmtId="168" fontId="3" fillId="2" borderId="17" xfId="0" applyNumberFormat="1" applyFont="1" applyFill="1" applyBorder="1" applyAlignment="1">
      <alignment horizontal="center"/>
    </xf>
    <xf numFmtId="168" fontId="3" fillId="3" borderId="0" xfId="0" applyNumberFormat="1" applyFont="1" applyFill="1" applyAlignment="1">
      <alignment horizontal="right"/>
    </xf>
    <xf numFmtId="168" fontId="3" fillId="3" borderId="3" xfId="0" applyNumberFormat="1" applyFont="1" applyFill="1" applyBorder="1" applyAlignment="1">
      <alignment horizontal="center"/>
    </xf>
    <xf numFmtId="168" fontId="3" fillId="2" borderId="18" xfId="0" applyNumberFormat="1" applyFont="1" applyFill="1" applyBorder="1" applyAlignment="1">
      <alignment horizontal="center"/>
    </xf>
    <xf numFmtId="0" fontId="11" fillId="17" borderId="12" xfId="0" applyFont="1" applyFill="1" applyBorder="1" applyAlignment="1">
      <alignment horizontal="center"/>
    </xf>
    <xf numFmtId="0" fontId="15" fillId="18" borderId="19" xfId="0" applyFont="1" applyFill="1" applyBorder="1" applyAlignment="1">
      <alignment horizontal="left"/>
    </xf>
    <xf numFmtId="168" fontId="3" fillId="2" borderId="3" xfId="0" applyNumberFormat="1" applyFont="1" applyFill="1" applyBorder="1" applyAlignment="1">
      <alignment horizontal="right"/>
    </xf>
    <xf numFmtId="0" fontId="3" fillId="3" borderId="0" xfId="0" quotePrefix="1" applyFont="1" applyFill="1" applyAlignment="1">
      <alignment horizontal="left"/>
    </xf>
    <xf numFmtId="0" fontId="3" fillId="7" borderId="0" xfId="0" applyFont="1" applyFill="1" applyAlignment="1">
      <alignment horizontal="right" wrapText="1"/>
    </xf>
    <xf numFmtId="174" fontId="3" fillId="3" borderId="0" xfId="0" applyNumberFormat="1" applyFont="1" applyFill="1" applyAlignment="1">
      <alignment horizontal="left"/>
    </xf>
    <xf numFmtId="0" fontId="3" fillId="3" borderId="17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left"/>
    </xf>
    <xf numFmtId="0" fontId="11" fillId="17" borderId="17" xfId="0" applyFont="1" applyFill="1" applyBorder="1" applyAlignment="1">
      <alignment horizontal="right"/>
    </xf>
    <xf numFmtId="0" fontId="3" fillId="3" borderId="17" xfId="0" applyFont="1" applyFill="1" applyBorder="1" applyAlignment="1">
      <alignment horizontal="right"/>
    </xf>
    <xf numFmtId="0" fontId="3" fillId="7" borderId="17" xfId="0" applyFont="1" applyFill="1" applyBorder="1" applyAlignment="1">
      <alignment horizontal="right"/>
    </xf>
    <xf numFmtId="0" fontId="9" fillId="8" borderId="0" xfId="0" applyFont="1" applyFill="1" applyAlignment="1">
      <alignment horizontal="right"/>
    </xf>
    <xf numFmtId="0" fontId="8" fillId="6" borderId="3" xfId="0" applyFont="1" applyFill="1" applyBorder="1" applyAlignment="1">
      <alignment horizontal="left"/>
    </xf>
    <xf numFmtId="0" fontId="15" fillId="18" borderId="19" xfId="0" applyFont="1" applyFill="1" applyBorder="1" applyAlignment="1">
      <alignment horizontal="right"/>
    </xf>
    <xf numFmtId="175" fontId="3" fillId="3" borderId="0" xfId="0" applyNumberFormat="1" applyFont="1" applyFill="1" applyAlignment="1">
      <alignment horizontal="center"/>
    </xf>
    <xf numFmtId="173" fontId="3" fillId="2" borderId="0" xfId="0" applyNumberFormat="1" applyFont="1" applyFill="1"/>
    <xf numFmtId="0" fontId="17" fillId="3" borderId="20" xfId="0" applyFont="1" applyFill="1" applyBorder="1" applyAlignment="1">
      <alignment horizontal="center"/>
    </xf>
    <xf numFmtId="0" fontId="16" fillId="19" borderId="20" xfId="0" applyFont="1" applyFill="1" applyBorder="1" applyAlignment="1">
      <alignment horizontal="center" vertical="center"/>
    </xf>
    <xf numFmtId="0" fontId="16" fillId="14" borderId="20" xfId="0" applyFont="1" applyFill="1" applyBorder="1" applyAlignment="1">
      <alignment horizontal="center" vertical="center"/>
    </xf>
    <xf numFmtId="0" fontId="16" fillId="13" borderId="20" xfId="0" applyFont="1" applyFill="1" applyBorder="1" applyAlignment="1">
      <alignment horizontal="center" vertical="center"/>
    </xf>
    <xf numFmtId="0" fontId="16" fillId="20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/>
    </xf>
    <xf numFmtId="174" fontId="3" fillId="3" borderId="9" xfId="0" applyNumberFormat="1" applyFont="1" applyFill="1" applyBorder="1" applyAlignment="1">
      <alignment horizontal="center"/>
    </xf>
    <xf numFmtId="170" fontId="4" fillId="2" borderId="9" xfId="0" applyNumberFormat="1" applyFont="1" applyFill="1" applyBorder="1" applyAlignment="1">
      <alignment horizontal="center"/>
    </xf>
    <xf numFmtId="171" fontId="3" fillId="2" borderId="9" xfId="0" applyNumberFormat="1" applyFont="1" applyFill="1" applyBorder="1" applyAlignment="1">
      <alignment horizontal="center"/>
    </xf>
    <xf numFmtId="168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71" fontId="3" fillId="3" borderId="21" xfId="0" applyNumberFormat="1" applyFont="1" applyFill="1" applyBorder="1" applyAlignment="1">
      <alignment horizontal="right"/>
    </xf>
    <xf numFmtId="0" fontId="3" fillId="3" borderId="22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right"/>
    </xf>
    <xf numFmtId="171" fontId="3" fillId="2" borderId="21" xfId="0" applyNumberFormat="1" applyFont="1" applyFill="1" applyBorder="1" applyAlignment="1">
      <alignment horizontal="right"/>
    </xf>
    <xf numFmtId="171" fontId="3" fillId="2" borderId="22" xfId="0" applyNumberFormat="1" applyFont="1" applyFill="1" applyBorder="1" applyAlignment="1">
      <alignment horizontal="right"/>
    </xf>
    <xf numFmtId="0" fontId="4" fillId="3" borderId="21" xfId="0" applyFont="1" applyFill="1" applyBorder="1" applyAlignment="1">
      <alignment horizontal="right"/>
    </xf>
    <xf numFmtId="0" fontId="4" fillId="3" borderId="22" xfId="0" applyFont="1" applyFill="1" applyBorder="1" applyAlignment="1">
      <alignment horizontal="right"/>
    </xf>
    <xf numFmtId="0" fontId="3" fillId="3" borderId="21" xfId="0" applyFont="1" applyFill="1" applyBorder="1" applyAlignment="1">
      <alignment horizontal="left"/>
    </xf>
    <xf numFmtId="0" fontId="3" fillId="3" borderId="21" xfId="0" applyFont="1" applyFill="1" applyBorder="1" applyAlignment="1">
      <alignment horizontal="right"/>
    </xf>
    <xf numFmtId="0" fontId="3" fillId="3" borderId="2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right"/>
    </xf>
    <xf numFmtId="0" fontId="3" fillId="15" borderId="26" xfId="0" applyFont="1" applyFill="1" applyBorder="1" applyAlignment="1">
      <alignment horizontal="right"/>
    </xf>
    <xf numFmtId="0" fontId="3" fillId="15" borderId="27" xfId="0" applyFont="1" applyFill="1" applyBorder="1" applyAlignment="1">
      <alignment horizontal="right"/>
    </xf>
    <xf numFmtId="0" fontId="3" fillId="15" borderId="28" xfId="0" applyFont="1" applyFill="1" applyBorder="1" applyAlignment="1">
      <alignment horizontal="right"/>
    </xf>
    <xf numFmtId="0" fontId="10" fillId="16" borderId="27" xfId="0" applyFont="1" applyFill="1" applyBorder="1" applyAlignment="1">
      <alignment horizontal="right"/>
    </xf>
    <xf numFmtId="0" fontId="3" fillId="12" borderId="26" xfId="0" applyFont="1" applyFill="1" applyBorder="1" applyAlignment="1">
      <alignment horizontal="right"/>
    </xf>
    <xf numFmtId="0" fontId="3" fillId="12" borderId="27" xfId="0" applyFont="1" applyFill="1" applyBorder="1" applyAlignment="1">
      <alignment horizontal="right"/>
    </xf>
    <xf numFmtId="0" fontId="3" fillId="12" borderId="28" xfId="0" applyFont="1" applyFill="1" applyBorder="1" applyAlignment="1">
      <alignment horizontal="right"/>
    </xf>
    <xf numFmtId="168" fontId="3" fillId="3" borderId="25" xfId="0" applyNumberFormat="1" applyFont="1" applyFill="1" applyBorder="1" applyAlignment="1">
      <alignment horizontal="center"/>
    </xf>
    <xf numFmtId="168" fontId="3" fillId="2" borderId="25" xfId="0" applyNumberFormat="1" applyFont="1" applyFill="1" applyBorder="1" applyAlignment="1">
      <alignment horizontal="center"/>
    </xf>
    <xf numFmtId="170" fontId="4" fillId="2" borderId="25" xfId="0" applyNumberFormat="1" applyFont="1" applyFill="1" applyBorder="1" applyAlignment="1">
      <alignment horizontal="center"/>
    </xf>
    <xf numFmtId="0" fontId="21" fillId="11" borderId="24" xfId="0" applyFont="1" applyFill="1" applyBorder="1" applyAlignment="1">
      <alignment horizontal="left"/>
    </xf>
    <xf numFmtId="0" fontId="21" fillId="11" borderId="29" xfId="0" applyFont="1" applyFill="1" applyBorder="1" applyAlignment="1">
      <alignment horizontal="left"/>
    </xf>
    <xf numFmtId="168" fontId="3" fillId="4" borderId="9" xfId="0" applyNumberFormat="1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16" fillId="19" borderId="9" xfId="0" applyFont="1" applyFill="1" applyBorder="1" applyAlignment="1">
      <alignment horizontal="center" vertical="center"/>
    </xf>
    <xf numFmtId="0" fontId="16" fillId="14" borderId="9" xfId="0" applyFont="1" applyFill="1" applyBorder="1" applyAlignment="1">
      <alignment horizontal="center" vertical="center"/>
    </xf>
    <xf numFmtId="0" fontId="16" fillId="13" borderId="9" xfId="0" applyFont="1" applyFill="1" applyBorder="1" applyAlignment="1">
      <alignment horizontal="center" vertical="center"/>
    </xf>
    <xf numFmtId="0" fontId="16" fillId="20" borderId="9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right"/>
    </xf>
    <xf numFmtId="0" fontId="3" fillId="10" borderId="22" xfId="0" applyFont="1" applyFill="1" applyBorder="1" applyAlignment="1">
      <alignment horizontal="right"/>
    </xf>
    <xf numFmtId="168" fontId="3" fillId="3" borderId="21" xfId="0" applyNumberFormat="1" applyFont="1" applyFill="1" applyBorder="1" applyAlignment="1">
      <alignment horizontal="right"/>
    </xf>
    <xf numFmtId="0" fontId="3" fillId="2" borderId="9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right"/>
    </xf>
    <xf numFmtId="0" fontId="21" fillId="9" borderId="24" xfId="0" applyFont="1" applyFill="1" applyBorder="1" applyAlignment="1">
      <alignment horizontal="left" wrapText="1"/>
    </xf>
    <xf numFmtId="0" fontId="21" fillId="9" borderId="29" xfId="0" applyFont="1" applyFill="1" applyBorder="1" applyAlignment="1">
      <alignment horizontal="left" wrapText="1"/>
    </xf>
    <xf numFmtId="0" fontId="3" fillId="2" borderId="22" xfId="0" applyFont="1" applyFill="1" applyBorder="1" applyAlignment="1">
      <alignment horizontal="right"/>
    </xf>
    <xf numFmtId="0" fontId="4" fillId="2" borderId="22" xfId="0" applyFont="1" applyFill="1" applyBorder="1" applyAlignment="1">
      <alignment horizontal="right"/>
    </xf>
    <xf numFmtId="16" fontId="3" fillId="2" borderId="0" xfId="0" applyNumberFormat="1" applyFont="1" applyFill="1"/>
    <xf numFmtId="0" fontId="3" fillId="3" borderId="10" xfId="0" applyFont="1" applyFill="1" applyBorder="1" applyAlignment="1">
      <alignment horizontal="right"/>
    </xf>
    <xf numFmtId="0" fontId="20" fillId="11" borderId="26" xfId="0" applyFont="1" applyFill="1" applyBorder="1" applyAlignment="1">
      <alignment horizontal="right"/>
    </xf>
    <xf numFmtId="0" fontId="20" fillId="11" borderId="27" xfId="0" applyFont="1" applyFill="1" applyBorder="1" applyAlignment="1">
      <alignment horizontal="right"/>
    </xf>
    <xf numFmtId="0" fontId="20" fillId="11" borderId="28" xfId="0" applyFont="1" applyFill="1" applyBorder="1" applyAlignment="1">
      <alignment horizontal="right"/>
    </xf>
    <xf numFmtId="0" fontId="20" fillId="11" borderId="26" xfId="0" applyFont="1" applyFill="1" applyBorder="1" applyAlignment="1">
      <alignment horizontal="right" wrapText="1"/>
    </xf>
    <xf numFmtId="0" fontId="20" fillId="11" borderId="30" xfId="0" applyFont="1" applyFill="1" applyBorder="1" applyAlignment="1">
      <alignment horizontal="right"/>
    </xf>
    <xf numFmtId="0" fontId="20" fillId="9" borderId="0" xfId="0" applyFont="1" applyFill="1" applyAlignment="1">
      <alignment horizontal="right" wrapText="1"/>
    </xf>
    <xf numFmtId="0" fontId="3" fillId="9" borderId="0" xfId="0" applyFont="1" applyFill="1" applyAlignment="1">
      <alignment horizontal="right"/>
    </xf>
    <xf numFmtId="0" fontId="3" fillId="9" borderId="9" xfId="0" applyFont="1" applyFill="1" applyBorder="1" applyAlignment="1">
      <alignment horizontal="right"/>
    </xf>
    <xf numFmtId="0" fontId="20" fillId="9" borderId="9" xfId="0" applyFont="1" applyFill="1" applyBorder="1" applyAlignment="1">
      <alignment horizontal="right" wrapText="1"/>
    </xf>
    <xf numFmtId="0" fontId="20" fillId="9" borderId="0" xfId="0" applyFont="1" applyFill="1" applyAlignment="1">
      <alignment horizontal="right" vertical="top" wrapText="1"/>
    </xf>
    <xf numFmtId="0" fontId="24" fillId="22" borderId="9" xfId="0" applyFont="1" applyFill="1" applyBorder="1" applyAlignment="1">
      <alignment horizontal="right" wrapText="1"/>
    </xf>
    <xf numFmtId="0" fontId="20" fillId="9" borderId="30" xfId="0" applyFont="1" applyFill="1" applyBorder="1" applyAlignment="1">
      <alignment horizontal="right" wrapText="1"/>
    </xf>
    <xf numFmtId="0" fontId="15" fillId="16" borderId="26" xfId="0" applyFont="1" applyFill="1" applyBorder="1" applyAlignment="1">
      <alignment horizontal="right"/>
    </xf>
    <xf numFmtId="0" fontId="15" fillId="16" borderId="27" xfId="0" applyFont="1" applyFill="1" applyBorder="1" applyAlignment="1">
      <alignment horizontal="right"/>
    </xf>
    <xf numFmtId="0" fontId="15" fillId="16" borderId="28" xfId="0" applyFont="1" applyFill="1" applyBorder="1" applyAlignment="1">
      <alignment horizontal="right"/>
    </xf>
    <xf numFmtId="0" fontId="3" fillId="3" borderId="31" xfId="0" applyFont="1" applyFill="1" applyBorder="1" applyAlignment="1">
      <alignment horizontal="center"/>
    </xf>
    <xf numFmtId="168" fontId="3" fillId="3" borderId="31" xfId="0" applyNumberFormat="1" applyFont="1" applyFill="1" applyBorder="1" applyAlignment="1">
      <alignment horizontal="center"/>
    </xf>
    <xf numFmtId="0" fontId="3" fillId="3" borderId="32" xfId="0" applyFont="1" applyFill="1" applyBorder="1" applyAlignment="1">
      <alignment horizontal="right"/>
    </xf>
    <xf numFmtId="168" fontId="3" fillId="2" borderId="31" xfId="0" applyNumberFormat="1" applyFont="1" applyFill="1" applyBorder="1" applyAlignment="1">
      <alignment horizontal="center"/>
    </xf>
    <xf numFmtId="0" fontId="4" fillId="12" borderId="27" xfId="0" applyFont="1" applyFill="1" applyBorder="1" applyAlignment="1">
      <alignment horizontal="right"/>
    </xf>
    <xf numFmtId="0" fontId="10" fillId="16" borderId="0" xfId="0" applyFont="1" applyFill="1" applyAlignment="1">
      <alignment horizontal="right"/>
    </xf>
    <xf numFmtId="0" fontId="10" fillId="3" borderId="33" xfId="0" applyFont="1" applyFill="1" applyBorder="1" applyAlignment="1">
      <alignment horizontal="right"/>
    </xf>
    <xf numFmtId="0" fontId="3" fillId="3" borderId="34" xfId="0" applyFont="1" applyFill="1" applyBorder="1" applyAlignment="1">
      <alignment horizontal="right"/>
    </xf>
    <xf numFmtId="0" fontId="3" fillId="3" borderId="33" xfId="0" applyFont="1" applyFill="1" applyBorder="1" applyAlignment="1">
      <alignment horizontal="center"/>
    </xf>
    <xf numFmtId="168" fontId="3" fillId="3" borderId="33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 wrapText="1"/>
    </xf>
    <xf numFmtId="0" fontId="10" fillId="16" borderId="31" xfId="0" applyFont="1" applyFill="1" applyBorder="1" applyAlignment="1">
      <alignment horizontal="right"/>
    </xf>
    <xf numFmtId="0" fontId="3" fillId="15" borderId="32" xfId="0" applyFont="1" applyFill="1" applyBorder="1" applyAlignment="1">
      <alignment horizontal="right"/>
    </xf>
    <xf numFmtId="174" fontId="3" fillId="3" borderId="31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right"/>
    </xf>
    <xf numFmtId="168" fontId="3" fillId="2" borderId="0" xfId="0" quotePrefix="1" applyNumberFormat="1" applyFont="1" applyFill="1" applyAlignment="1">
      <alignment horizontal="center" wrapText="1"/>
    </xf>
    <xf numFmtId="0" fontId="10" fillId="16" borderId="9" xfId="0" applyFont="1" applyFill="1" applyBorder="1" applyAlignment="1">
      <alignment horizontal="right"/>
    </xf>
    <xf numFmtId="0" fontId="23" fillId="14" borderId="22" xfId="0" applyFont="1" applyFill="1" applyBorder="1" applyAlignment="1">
      <alignment horizontal="left"/>
    </xf>
    <xf numFmtId="0" fontId="3" fillId="15" borderId="22" xfId="0" applyFont="1" applyFill="1" applyBorder="1" applyAlignment="1">
      <alignment horizontal="right"/>
    </xf>
    <xf numFmtId="0" fontId="0" fillId="13" borderId="21" xfId="0" applyFill="1" applyBorder="1" applyAlignment="1">
      <alignment horizontal="right"/>
    </xf>
    <xf numFmtId="0" fontId="0" fillId="13" borderId="22" xfId="0" applyFill="1" applyBorder="1" applyAlignment="1">
      <alignment horizontal="right"/>
    </xf>
    <xf numFmtId="0" fontId="10" fillId="16" borderId="29" xfId="0" applyFont="1" applyFill="1" applyBorder="1" applyAlignment="1">
      <alignment horizontal="right"/>
    </xf>
    <xf numFmtId="0" fontId="3" fillId="15" borderId="29" xfId="0" applyFont="1" applyFill="1" applyBorder="1" applyAlignment="1">
      <alignment horizontal="right"/>
    </xf>
    <xf numFmtId="168" fontId="3" fillId="2" borderId="35" xfId="0" applyNumberFormat="1" applyFont="1" applyFill="1" applyBorder="1" applyAlignment="1">
      <alignment horizontal="center"/>
    </xf>
    <xf numFmtId="0" fontId="0" fillId="13" borderId="21" xfId="0" applyFill="1" applyBorder="1" applyAlignment="1">
      <alignment horizontal="right" wrapText="1"/>
    </xf>
    <xf numFmtId="0" fontId="3" fillId="15" borderId="21" xfId="0" applyFont="1" applyFill="1" applyBorder="1" applyAlignment="1">
      <alignment horizontal="right" wrapText="1"/>
    </xf>
    <xf numFmtId="0" fontId="22" fillId="14" borderId="0" xfId="0" applyFont="1" applyFill="1" applyAlignment="1">
      <alignment horizontal="right"/>
    </xf>
    <xf numFmtId="0" fontId="9" fillId="3" borderId="9" xfId="0" applyFont="1" applyFill="1" applyBorder="1" applyAlignment="1">
      <alignment horizontal="right"/>
    </xf>
    <xf numFmtId="0" fontId="9" fillId="2" borderId="0" xfId="0" applyFont="1" applyFill="1" applyAlignment="1">
      <alignment horizontal="right"/>
    </xf>
    <xf numFmtId="0" fontId="9" fillId="2" borderId="9" xfId="0" applyFont="1" applyFill="1" applyBorder="1" applyAlignment="1">
      <alignment horizontal="right"/>
    </xf>
    <xf numFmtId="0" fontId="22" fillId="14" borderId="9" xfId="0" applyFont="1" applyFill="1" applyBorder="1" applyAlignment="1">
      <alignment horizontal="right"/>
    </xf>
    <xf numFmtId="0" fontId="9" fillId="3" borderId="31" xfId="0" applyFont="1" applyFill="1" applyBorder="1" applyAlignment="1">
      <alignment horizontal="right"/>
    </xf>
    <xf numFmtId="0" fontId="22" fillId="14" borderId="3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D25F"/>
      <color rgb="FF0D97FF"/>
      <color rgb="FFFFCC00"/>
      <color rgb="FF6F0000"/>
      <color rgb="FF7E0000"/>
      <color rgb="FFA80000"/>
      <color rgb="FF460000"/>
      <color rgb="FF4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NAV [Gp]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Economia!$A$2</c:f>
              <c:strCache>
                <c:ptCount val="1"/>
                <c:pt idx="0">
                  <c:v>Nic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Economia!$B$1:$BX$1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Economia!$B$2:$BX$2</c:f>
              <c:numCache>
                <c:formatCode>0.00</c:formatCode>
                <c:ptCount val="75"/>
                <c:pt idx="0">
                  <c:v>51.8</c:v>
                </c:pt>
                <c:pt idx="1">
                  <c:v>54.5</c:v>
                </c:pt>
                <c:pt idx="2">
                  <c:v>57.2</c:v>
                </c:pt>
                <c:pt idx="3">
                  <c:v>59.9</c:v>
                </c:pt>
                <c:pt idx="4">
                  <c:v>62.6</c:v>
                </c:pt>
                <c:pt idx="5">
                  <c:v>65.3</c:v>
                </c:pt>
                <c:pt idx="6">
                  <c:v>68</c:v>
                </c:pt>
                <c:pt idx="7">
                  <c:v>70.7</c:v>
                </c:pt>
                <c:pt idx="8">
                  <c:v>73.400000000000006</c:v>
                </c:pt>
                <c:pt idx="9">
                  <c:v>76.099999999999994</c:v>
                </c:pt>
                <c:pt idx="10">
                  <c:v>78.8</c:v>
                </c:pt>
                <c:pt idx="11">
                  <c:v>81.5</c:v>
                </c:pt>
                <c:pt idx="12">
                  <c:v>84.2</c:v>
                </c:pt>
                <c:pt idx="13">
                  <c:v>86.9</c:v>
                </c:pt>
                <c:pt idx="14">
                  <c:v>89.6</c:v>
                </c:pt>
                <c:pt idx="15">
                  <c:v>96.8</c:v>
                </c:pt>
                <c:pt idx="16">
                  <c:v>99.5</c:v>
                </c:pt>
                <c:pt idx="17">
                  <c:v>102.2</c:v>
                </c:pt>
                <c:pt idx="18">
                  <c:v>105.4</c:v>
                </c:pt>
                <c:pt idx="19">
                  <c:v>108.1</c:v>
                </c:pt>
                <c:pt idx="20">
                  <c:v>110.8</c:v>
                </c:pt>
                <c:pt idx="21">
                  <c:v>113.4</c:v>
                </c:pt>
                <c:pt idx="22">
                  <c:v>116.1</c:v>
                </c:pt>
                <c:pt idx="23">
                  <c:v>118.8</c:v>
                </c:pt>
                <c:pt idx="24">
                  <c:v>121.5</c:v>
                </c:pt>
                <c:pt idx="25">
                  <c:v>124.2</c:v>
                </c:pt>
                <c:pt idx="26">
                  <c:v>126.9</c:v>
                </c:pt>
                <c:pt idx="27">
                  <c:v>133.6</c:v>
                </c:pt>
                <c:pt idx="28">
                  <c:v>136.30000000000001</c:v>
                </c:pt>
                <c:pt idx="29">
                  <c:v>139</c:v>
                </c:pt>
                <c:pt idx="30">
                  <c:v>180.8</c:v>
                </c:pt>
                <c:pt idx="31">
                  <c:v>182.6</c:v>
                </c:pt>
                <c:pt idx="32">
                  <c:v>184.4</c:v>
                </c:pt>
                <c:pt idx="33">
                  <c:v>180.6</c:v>
                </c:pt>
                <c:pt idx="34">
                  <c:v>216.8</c:v>
                </c:pt>
                <c:pt idx="35">
                  <c:v>228</c:v>
                </c:pt>
                <c:pt idx="36">
                  <c:v>239.2</c:v>
                </c:pt>
                <c:pt idx="37">
                  <c:v>249.5</c:v>
                </c:pt>
                <c:pt idx="38">
                  <c:v>259.8</c:v>
                </c:pt>
                <c:pt idx="39">
                  <c:v>270.10000000000002</c:v>
                </c:pt>
                <c:pt idx="40">
                  <c:v>280.39999999999998</c:v>
                </c:pt>
                <c:pt idx="41">
                  <c:v>290.7</c:v>
                </c:pt>
                <c:pt idx="42">
                  <c:v>301</c:v>
                </c:pt>
                <c:pt idx="43">
                  <c:v>311.3</c:v>
                </c:pt>
                <c:pt idx="44">
                  <c:v>321.60000000000002</c:v>
                </c:pt>
                <c:pt idx="45">
                  <c:v>331.9</c:v>
                </c:pt>
                <c:pt idx="46">
                  <c:v>342.2</c:v>
                </c:pt>
                <c:pt idx="47">
                  <c:v>352.5</c:v>
                </c:pt>
                <c:pt idx="48">
                  <c:v>362.8</c:v>
                </c:pt>
                <c:pt idx="49">
                  <c:v>373.1</c:v>
                </c:pt>
                <c:pt idx="50">
                  <c:v>383.4</c:v>
                </c:pt>
                <c:pt idx="51">
                  <c:v>393.7</c:v>
                </c:pt>
                <c:pt idx="52">
                  <c:v>404</c:v>
                </c:pt>
                <c:pt idx="53">
                  <c:v>414.3</c:v>
                </c:pt>
                <c:pt idx="54">
                  <c:v>424.6</c:v>
                </c:pt>
                <c:pt idx="55">
                  <c:v>434.9</c:v>
                </c:pt>
                <c:pt idx="56">
                  <c:v>445.2</c:v>
                </c:pt>
                <c:pt idx="57">
                  <c:v>455.5</c:v>
                </c:pt>
                <c:pt idx="58">
                  <c:v>465.8</c:v>
                </c:pt>
                <c:pt idx="59">
                  <c:v>476.1</c:v>
                </c:pt>
                <c:pt idx="60">
                  <c:v>486.4</c:v>
                </c:pt>
                <c:pt idx="61">
                  <c:v>496.7</c:v>
                </c:pt>
                <c:pt idx="62">
                  <c:v>507</c:v>
                </c:pt>
                <c:pt idx="63">
                  <c:v>517.29999999999995</c:v>
                </c:pt>
                <c:pt idx="64">
                  <c:v>527.6</c:v>
                </c:pt>
                <c:pt idx="65">
                  <c:v>537.9</c:v>
                </c:pt>
                <c:pt idx="66">
                  <c:v>548.20000000000005</c:v>
                </c:pt>
                <c:pt idx="67">
                  <c:v>558.5</c:v>
                </c:pt>
                <c:pt idx="68">
                  <c:v>568.79999999999995</c:v>
                </c:pt>
                <c:pt idx="69">
                  <c:v>579.1</c:v>
                </c:pt>
                <c:pt idx="70">
                  <c:v>589.4</c:v>
                </c:pt>
                <c:pt idx="71">
                  <c:v>599.70000000000005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0-4051-9D37-0C30409902A4}"/>
            </c:ext>
          </c:extLst>
        </c:ser>
        <c:ser>
          <c:idx val="1"/>
          <c:order val="1"/>
          <c:tx>
            <c:strRef>
              <c:f>Economia!$A$3</c:f>
              <c:strCache>
                <c:ptCount val="1"/>
                <c:pt idx="0">
                  <c:v>Cris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Economia!$B$1:$BX$1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Economia!$B$3:$BX$3</c:f>
              <c:numCache>
                <c:formatCode>0.00</c:formatCode>
                <c:ptCount val="75"/>
                <c:pt idx="0">
                  <c:v>42.35</c:v>
                </c:pt>
                <c:pt idx="1">
                  <c:v>45.14</c:v>
                </c:pt>
                <c:pt idx="2">
                  <c:v>48.03</c:v>
                </c:pt>
                <c:pt idx="3">
                  <c:v>51.56</c:v>
                </c:pt>
                <c:pt idx="4">
                  <c:v>54.92</c:v>
                </c:pt>
                <c:pt idx="5">
                  <c:v>58.33</c:v>
                </c:pt>
                <c:pt idx="6">
                  <c:v>61.47</c:v>
                </c:pt>
                <c:pt idx="7">
                  <c:v>64.650000000000006</c:v>
                </c:pt>
                <c:pt idx="8">
                  <c:v>67.819999999999993</c:v>
                </c:pt>
                <c:pt idx="9">
                  <c:v>70.12</c:v>
                </c:pt>
                <c:pt idx="10">
                  <c:v>72.42</c:v>
                </c:pt>
                <c:pt idx="11">
                  <c:v>107.72</c:v>
                </c:pt>
                <c:pt idx="12">
                  <c:v>110.02</c:v>
                </c:pt>
                <c:pt idx="13">
                  <c:v>112.32</c:v>
                </c:pt>
                <c:pt idx="14">
                  <c:v>114.62</c:v>
                </c:pt>
                <c:pt idx="15">
                  <c:v>116.92</c:v>
                </c:pt>
                <c:pt idx="16">
                  <c:v>119.22</c:v>
                </c:pt>
                <c:pt idx="17">
                  <c:v>121.52</c:v>
                </c:pt>
                <c:pt idx="18">
                  <c:v>123.82</c:v>
                </c:pt>
                <c:pt idx="19">
                  <c:v>126.12</c:v>
                </c:pt>
                <c:pt idx="20">
                  <c:v>128.41999999999999</c:v>
                </c:pt>
                <c:pt idx="21">
                  <c:v>134.22</c:v>
                </c:pt>
                <c:pt idx="22">
                  <c:v>140.02000000000001</c:v>
                </c:pt>
                <c:pt idx="23">
                  <c:v>145.82</c:v>
                </c:pt>
                <c:pt idx="24">
                  <c:v>151.62</c:v>
                </c:pt>
                <c:pt idx="25">
                  <c:v>157.41999999999999</c:v>
                </c:pt>
                <c:pt idx="26">
                  <c:v>163.22</c:v>
                </c:pt>
                <c:pt idx="27">
                  <c:v>209.32</c:v>
                </c:pt>
                <c:pt idx="28">
                  <c:v>217.12</c:v>
                </c:pt>
                <c:pt idx="29">
                  <c:v>224.92</c:v>
                </c:pt>
                <c:pt idx="30">
                  <c:v>232.72</c:v>
                </c:pt>
                <c:pt idx="31">
                  <c:v>240.52</c:v>
                </c:pt>
                <c:pt idx="32">
                  <c:v>248.32</c:v>
                </c:pt>
                <c:pt idx="33">
                  <c:v>257.62</c:v>
                </c:pt>
                <c:pt idx="34">
                  <c:v>265.42</c:v>
                </c:pt>
                <c:pt idx="35">
                  <c:v>273.22000000000003</c:v>
                </c:pt>
                <c:pt idx="36">
                  <c:v>281.02</c:v>
                </c:pt>
                <c:pt idx="37">
                  <c:v>288.82</c:v>
                </c:pt>
                <c:pt idx="38">
                  <c:v>296.62</c:v>
                </c:pt>
                <c:pt idx="39">
                  <c:v>304.42</c:v>
                </c:pt>
                <c:pt idx="40">
                  <c:v>312.22000000000003</c:v>
                </c:pt>
                <c:pt idx="41">
                  <c:v>320.02</c:v>
                </c:pt>
                <c:pt idx="42">
                  <c:v>327.82</c:v>
                </c:pt>
                <c:pt idx="43">
                  <c:v>335.62</c:v>
                </c:pt>
                <c:pt idx="44">
                  <c:v>343.42</c:v>
                </c:pt>
                <c:pt idx="45">
                  <c:v>351.22</c:v>
                </c:pt>
                <c:pt idx="46">
                  <c:v>359.02</c:v>
                </c:pt>
                <c:pt idx="47">
                  <c:v>366.82</c:v>
                </c:pt>
                <c:pt idx="48">
                  <c:v>374.62</c:v>
                </c:pt>
                <c:pt idx="49">
                  <c:v>382.42</c:v>
                </c:pt>
                <c:pt idx="50">
                  <c:v>390.22</c:v>
                </c:pt>
                <c:pt idx="51">
                  <c:v>398.02</c:v>
                </c:pt>
                <c:pt idx="52">
                  <c:v>405.82</c:v>
                </c:pt>
                <c:pt idx="53">
                  <c:v>413.62</c:v>
                </c:pt>
                <c:pt idx="54">
                  <c:v>421.42</c:v>
                </c:pt>
                <c:pt idx="55">
                  <c:v>429.22</c:v>
                </c:pt>
                <c:pt idx="56">
                  <c:v>437.02</c:v>
                </c:pt>
                <c:pt idx="57">
                  <c:v>444.82</c:v>
                </c:pt>
                <c:pt idx="58">
                  <c:v>452.62</c:v>
                </c:pt>
                <c:pt idx="59">
                  <c:v>460.42</c:v>
                </c:pt>
                <c:pt idx="60">
                  <c:v>468.22</c:v>
                </c:pt>
                <c:pt idx="61">
                  <c:v>476.02</c:v>
                </c:pt>
                <c:pt idx="62">
                  <c:v>483.82</c:v>
                </c:pt>
                <c:pt idx="63">
                  <c:v>491.62</c:v>
                </c:pt>
                <c:pt idx="64">
                  <c:v>499.42</c:v>
                </c:pt>
                <c:pt idx="65">
                  <c:v>507.22</c:v>
                </c:pt>
                <c:pt idx="66">
                  <c:v>515.02</c:v>
                </c:pt>
                <c:pt idx="67">
                  <c:v>522.82000000000005</c:v>
                </c:pt>
                <c:pt idx="68">
                  <c:v>530.62</c:v>
                </c:pt>
                <c:pt idx="69">
                  <c:v>538.41999999999996</c:v>
                </c:pt>
                <c:pt idx="70">
                  <c:v>546.22</c:v>
                </c:pt>
                <c:pt idx="71">
                  <c:v>554.02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0-4051-9D37-0C30409902A4}"/>
            </c:ext>
          </c:extLst>
        </c:ser>
        <c:ser>
          <c:idx val="2"/>
          <c:order val="2"/>
          <c:tx>
            <c:strRef>
              <c:f>Economia!$A$4</c:f>
              <c:strCache>
                <c:ptCount val="1"/>
                <c:pt idx="0">
                  <c:v>Peter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Economia!$B$1:$BX$1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Economia!$B$4:$BX$4</c:f>
              <c:numCache>
                <c:formatCode>0.00</c:formatCode>
                <c:ptCount val="75"/>
                <c:pt idx="0">
                  <c:v>54.27</c:v>
                </c:pt>
                <c:pt idx="1">
                  <c:v>59.14</c:v>
                </c:pt>
                <c:pt idx="2">
                  <c:v>64.010000000000005</c:v>
                </c:pt>
                <c:pt idx="3">
                  <c:v>71.331999999999994</c:v>
                </c:pt>
                <c:pt idx="4">
                  <c:v>78.653999999999996</c:v>
                </c:pt>
                <c:pt idx="5">
                  <c:v>85.975999999999985</c:v>
                </c:pt>
                <c:pt idx="6">
                  <c:v>96</c:v>
                </c:pt>
                <c:pt idx="7">
                  <c:v>116.024</c:v>
                </c:pt>
                <c:pt idx="8">
                  <c:v>122.04799999999999</c:v>
                </c:pt>
                <c:pt idx="9">
                  <c:v>136.26679999999999</c:v>
                </c:pt>
                <c:pt idx="10">
                  <c:v>147.48560000000001</c:v>
                </c:pt>
                <c:pt idx="11">
                  <c:v>158.70439999999999</c:v>
                </c:pt>
                <c:pt idx="12">
                  <c:v>168.92320000000001</c:v>
                </c:pt>
                <c:pt idx="13">
                  <c:v>180.142</c:v>
                </c:pt>
                <c:pt idx="14">
                  <c:v>191.36080000000001</c:v>
                </c:pt>
                <c:pt idx="15">
                  <c:v>201.28160000000003</c:v>
                </c:pt>
                <c:pt idx="16">
                  <c:v>216.20240000000001</c:v>
                </c:pt>
                <c:pt idx="17">
                  <c:v>231.1232</c:v>
                </c:pt>
                <c:pt idx="18">
                  <c:v>241.04400000000001</c:v>
                </c:pt>
                <c:pt idx="19">
                  <c:v>255.96480000000003</c:v>
                </c:pt>
                <c:pt idx="20">
                  <c:v>270.88560000000007</c:v>
                </c:pt>
                <c:pt idx="21">
                  <c:v>248.04084444444447</c:v>
                </c:pt>
                <c:pt idx="22">
                  <c:v>227.19608888888891</c:v>
                </c:pt>
                <c:pt idx="23">
                  <c:v>206.35133333333334</c:v>
                </c:pt>
                <c:pt idx="24">
                  <c:v>192.80657777777779</c:v>
                </c:pt>
                <c:pt idx="25">
                  <c:v>180.26182222222226</c:v>
                </c:pt>
                <c:pt idx="26">
                  <c:v>167.71706666666668</c:v>
                </c:pt>
                <c:pt idx="27">
                  <c:v>151.15131111111111</c:v>
                </c:pt>
                <c:pt idx="28">
                  <c:v>131.58555555555557</c:v>
                </c:pt>
                <c:pt idx="29">
                  <c:v>387.51980000000003</c:v>
                </c:pt>
                <c:pt idx="30">
                  <c:v>396.75959999999998</c:v>
                </c:pt>
                <c:pt idx="31">
                  <c:v>400.14940000000001</c:v>
                </c:pt>
                <c:pt idx="32">
                  <c:v>406.23919999999998</c:v>
                </c:pt>
                <c:pt idx="33">
                  <c:v>412.84899999999999</c:v>
                </c:pt>
                <c:pt idx="34">
                  <c:v>419.47880000000004</c:v>
                </c:pt>
                <c:pt idx="35">
                  <c:v>426.62860000000001</c:v>
                </c:pt>
                <c:pt idx="36">
                  <c:v>433.79840000000002</c:v>
                </c:pt>
                <c:pt idx="37">
                  <c:v>441.48820000000001</c:v>
                </c:pt>
                <c:pt idx="38">
                  <c:v>449.19800000000004</c:v>
                </c:pt>
                <c:pt idx="39">
                  <c:v>456.92779999999999</c:v>
                </c:pt>
                <c:pt idx="40">
                  <c:v>464.67760000000004</c:v>
                </c:pt>
                <c:pt idx="41">
                  <c:v>472.44739999999996</c:v>
                </c:pt>
                <c:pt idx="42">
                  <c:v>480.23720000000003</c:v>
                </c:pt>
                <c:pt idx="43">
                  <c:v>488.04699999999997</c:v>
                </c:pt>
                <c:pt idx="44">
                  <c:v>495.8768</c:v>
                </c:pt>
                <c:pt idx="45">
                  <c:v>503.72659999999996</c:v>
                </c:pt>
                <c:pt idx="46">
                  <c:v>511.59640000000002</c:v>
                </c:pt>
                <c:pt idx="47">
                  <c:v>519.48619999999994</c:v>
                </c:pt>
                <c:pt idx="48">
                  <c:v>527.39599999999996</c:v>
                </c:pt>
                <c:pt idx="49">
                  <c:v>535.32579999999996</c:v>
                </c:pt>
                <c:pt idx="50">
                  <c:v>543.27559999999994</c:v>
                </c:pt>
                <c:pt idx="51">
                  <c:v>551.2453999999999</c:v>
                </c:pt>
                <c:pt idx="52">
                  <c:v>559.23519999999996</c:v>
                </c:pt>
                <c:pt idx="53">
                  <c:v>567.245</c:v>
                </c:pt>
                <c:pt idx="54">
                  <c:v>575.27479999999991</c:v>
                </c:pt>
                <c:pt idx="55">
                  <c:v>583.32459999999992</c:v>
                </c:pt>
                <c:pt idx="56">
                  <c:v>591.39439999999991</c:v>
                </c:pt>
                <c:pt idx="57">
                  <c:v>599.48419999999999</c:v>
                </c:pt>
                <c:pt idx="58">
                  <c:v>607.59399999999994</c:v>
                </c:pt>
                <c:pt idx="59">
                  <c:v>615.72379999999987</c:v>
                </c:pt>
                <c:pt idx="60">
                  <c:v>623.8735999999999</c:v>
                </c:pt>
                <c:pt idx="61">
                  <c:v>632.04340000000002</c:v>
                </c:pt>
                <c:pt idx="62">
                  <c:v>640.2331999999999</c:v>
                </c:pt>
                <c:pt idx="63">
                  <c:v>648.44299999999987</c:v>
                </c:pt>
                <c:pt idx="64">
                  <c:v>656.67279999999994</c:v>
                </c:pt>
                <c:pt idx="65">
                  <c:v>664.92259999999999</c:v>
                </c:pt>
                <c:pt idx="66">
                  <c:v>673.19239999999991</c:v>
                </c:pt>
                <c:pt idx="67">
                  <c:v>681.48219999999992</c:v>
                </c:pt>
                <c:pt idx="68">
                  <c:v>689.7919999999998</c:v>
                </c:pt>
                <c:pt idx="69">
                  <c:v>698.12179999999989</c:v>
                </c:pt>
                <c:pt idx="70">
                  <c:v>706.47159999999985</c:v>
                </c:pt>
                <c:pt idx="71">
                  <c:v>714.84139999999979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90-4051-9D37-0C30409902A4}"/>
            </c:ext>
          </c:extLst>
        </c:ser>
        <c:ser>
          <c:idx val="3"/>
          <c:order val="3"/>
          <c:tx>
            <c:strRef>
              <c:f>Economia!$A$5</c:f>
              <c:strCache>
                <c:ptCount val="1"/>
                <c:pt idx="0">
                  <c:v>Zilla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Economia!$B$1:$BX$1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Economia!$B$5:$BX$5</c:f>
              <c:numCache>
                <c:formatCode>0.00</c:formatCode>
                <c:ptCount val="75"/>
                <c:pt idx="0">
                  <c:v>56.02</c:v>
                </c:pt>
                <c:pt idx="1">
                  <c:v>62.04</c:v>
                </c:pt>
                <c:pt idx="2">
                  <c:v>67.326666666666668</c:v>
                </c:pt>
                <c:pt idx="3">
                  <c:v>75.498666666666665</c:v>
                </c:pt>
                <c:pt idx="4">
                  <c:v>83.304000000000016</c:v>
                </c:pt>
                <c:pt idx="5">
                  <c:v>91.475999999999999</c:v>
                </c:pt>
                <c:pt idx="6">
                  <c:v>101.8</c:v>
                </c:pt>
                <c:pt idx="7">
                  <c:v>112.124</c:v>
                </c:pt>
                <c:pt idx="8">
                  <c:v>122.44799999999999</c:v>
                </c:pt>
                <c:pt idx="9">
                  <c:v>135.43627999999998</c:v>
                </c:pt>
                <c:pt idx="10">
                  <c:v>146.92455999999999</c:v>
                </c:pt>
                <c:pt idx="11">
                  <c:v>158.91283999999999</c:v>
                </c:pt>
                <c:pt idx="12">
                  <c:v>170.90111999999996</c:v>
                </c:pt>
                <c:pt idx="13">
                  <c:v>182.88939999999994</c:v>
                </c:pt>
                <c:pt idx="14">
                  <c:v>194.87767999999997</c:v>
                </c:pt>
                <c:pt idx="15">
                  <c:v>206.86595999999997</c:v>
                </c:pt>
                <c:pt idx="16">
                  <c:v>218.85423999999995</c:v>
                </c:pt>
                <c:pt idx="17">
                  <c:v>230.84251999999998</c:v>
                </c:pt>
                <c:pt idx="18">
                  <c:v>246.07915199999997</c:v>
                </c:pt>
                <c:pt idx="19">
                  <c:v>261.31578399999995</c:v>
                </c:pt>
                <c:pt idx="20">
                  <c:v>276.55241599999994</c:v>
                </c:pt>
                <c:pt idx="21">
                  <c:v>291.11619085714278</c:v>
                </c:pt>
                <c:pt idx="22">
                  <c:v>305.68996571428562</c:v>
                </c:pt>
                <c:pt idx="23">
                  <c:v>320.2737405714285</c:v>
                </c:pt>
                <c:pt idx="24">
                  <c:v>324.97428342857137</c:v>
                </c:pt>
                <c:pt idx="25">
                  <c:v>344.07482628571421</c:v>
                </c:pt>
                <c:pt idx="26">
                  <c:v>363.17536914285711</c:v>
                </c:pt>
                <c:pt idx="27">
                  <c:v>379.27591199999995</c:v>
                </c:pt>
                <c:pt idx="28">
                  <c:v>395.37645485714279</c:v>
                </c:pt>
                <c:pt idx="29">
                  <c:v>411.47699771428569</c:v>
                </c:pt>
                <c:pt idx="30">
                  <c:v>427.59754057142857</c:v>
                </c:pt>
                <c:pt idx="31">
                  <c:v>443.73808342857143</c:v>
                </c:pt>
                <c:pt idx="32">
                  <c:v>459.89862628571427</c:v>
                </c:pt>
                <c:pt idx="33">
                  <c:v>476.07916914285715</c:v>
                </c:pt>
                <c:pt idx="34">
                  <c:v>492.27971200000002</c:v>
                </c:pt>
                <c:pt idx="35">
                  <c:v>508.50025485714286</c:v>
                </c:pt>
                <c:pt idx="36">
                  <c:v>524.74079771428569</c:v>
                </c:pt>
                <c:pt idx="37">
                  <c:v>541.00134057142861</c:v>
                </c:pt>
                <c:pt idx="38">
                  <c:v>557.2818834285714</c:v>
                </c:pt>
                <c:pt idx="39">
                  <c:v>573.58242628571429</c:v>
                </c:pt>
                <c:pt idx="40">
                  <c:v>589.90296914285716</c:v>
                </c:pt>
                <c:pt idx="41">
                  <c:v>606.24351200000001</c:v>
                </c:pt>
                <c:pt idx="42">
                  <c:v>622.60405485714296</c:v>
                </c:pt>
                <c:pt idx="43">
                  <c:v>638.98459771428577</c:v>
                </c:pt>
                <c:pt idx="44">
                  <c:v>655.38514057142868</c:v>
                </c:pt>
                <c:pt idx="45">
                  <c:v>671.80568342857146</c:v>
                </c:pt>
                <c:pt idx="46">
                  <c:v>688.24622628571433</c:v>
                </c:pt>
                <c:pt idx="47">
                  <c:v>704.70676914285718</c:v>
                </c:pt>
                <c:pt idx="48">
                  <c:v>721.18731200000013</c:v>
                </c:pt>
                <c:pt idx="49">
                  <c:v>737.68785485714295</c:v>
                </c:pt>
                <c:pt idx="50">
                  <c:v>754.20839771428587</c:v>
                </c:pt>
                <c:pt idx="51">
                  <c:v>770.74894057142865</c:v>
                </c:pt>
                <c:pt idx="52">
                  <c:v>787.30948342857153</c:v>
                </c:pt>
                <c:pt idx="53">
                  <c:v>803.89002628571438</c:v>
                </c:pt>
                <c:pt idx="54">
                  <c:v>820.49056914285723</c:v>
                </c:pt>
                <c:pt idx="55">
                  <c:v>837.11111200000016</c:v>
                </c:pt>
                <c:pt idx="56">
                  <c:v>853.75165485714297</c:v>
                </c:pt>
                <c:pt idx="57">
                  <c:v>870.41219771428587</c:v>
                </c:pt>
                <c:pt idx="58">
                  <c:v>887.09274057142875</c:v>
                </c:pt>
                <c:pt idx="59">
                  <c:v>903.79328342857161</c:v>
                </c:pt>
                <c:pt idx="60">
                  <c:v>920.51382628571446</c:v>
                </c:pt>
                <c:pt idx="61">
                  <c:v>937.25436914285729</c:v>
                </c:pt>
                <c:pt idx="62">
                  <c:v>954.01491200000021</c:v>
                </c:pt>
                <c:pt idx="63">
                  <c:v>970.795454857143</c:v>
                </c:pt>
                <c:pt idx="64">
                  <c:v>987.59599771428589</c:v>
                </c:pt>
                <c:pt idx="65">
                  <c:v>1004.4165405714288</c:v>
                </c:pt>
                <c:pt idx="66">
                  <c:v>1021.2570834285716</c:v>
                </c:pt>
                <c:pt idx="67">
                  <c:v>1038.1176262857146</c:v>
                </c:pt>
                <c:pt idx="68">
                  <c:v>1055.0181691428575</c:v>
                </c:pt>
                <c:pt idx="69">
                  <c:v>1071.9587120000003</c:v>
                </c:pt>
                <c:pt idx="70">
                  <c:v>1088.9392548571432</c:v>
                </c:pt>
                <c:pt idx="71">
                  <c:v>1105.959797714286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90-4051-9D37-0C30409902A4}"/>
            </c:ext>
          </c:extLst>
        </c:ser>
        <c:ser>
          <c:idx val="4"/>
          <c:order val="4"/>
          <c:tx>
            <c:strRef>
              <c:f>Economia!$A$6</c:f>
              <c:strCache>
                <c:ptCount val="1"/>
                <c:pt idx="0">
                  <c:v>Vito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Economia!$B$1:$BX$1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Economia!$B$6:$BX$6</c:f>
              <c:numCache>
                <c:formatCode>0.00</c:formatCode>
                <c:ptCount val="75"/>
                <c:pt idx="0">
                  <c:v>52.23</c:v>
                </c:pt>
                <c:pt idx="1">
                  <c:v>54.79</c:v>
                </c:pt>
                <c:pt idx="2">
                  <c:v>57.74</c:v>
                </c:pt>
                <c:pt idx="3">
                  <c:v>60.24</c:v>
                </c:pt>
                <c:pt idx="4">
                  <c:v>63.04</c:v>
                </c:pt>
                <c:pt idx="5">
                  <c:v>65.84</c:v>
                </c:pt>
                <c:pt idx="6">
                  <c:v>68.64</c:v>
                </c:pt>
                <c:pt idx="7">
                  <c:v>71.44</c:v>
                </c:pt>
                <c:pt idx="8">
                  <c:v>74.239999999999995</c:v>
                </c:pt>
                <c:pt idx="9">
                  <c:v>80.540000000000006</c:v>
                </c:pt>
                <c:pt idx="10">
                  <c:v>83.34</c:v>
                </c:pt>
                <c:pt idx="11">
                  <c:v>85.64</c:v>
                </c:pt>
                <c:pt idx="12">
                  <c:v>88.44</c:v>
                </c:pt>
                <c:pt idx="13">
                  <c:v>91.24</c:v>
                </c:pt>
                <c:pt idx="14">
                  <c:v>94.04</c:v>
                </c:pt>
                <c:pt idx="15">
                  <c:v>96.84</c:v>
                </c:pt>
                <c:pt idx="16">
                  <c:v>99.64</c:v>
                </c:pt>
                <c:pt idx="17">
                  <c:v>102.44</c:v>
                </c:pt>
                <c:pt idx="18">
                  <c:v>105.24</c:v>
                </c:pt>
                <c:pt idx="19">
                  <c:v>108.04</c:v>
                </c:pt>
                <c:pt idx="20">
                  <c:v>110.84</c:v>
                </c:pt>
                <c:pt idx="21">
                  <c:v>113.64</c:v>
                </c:pt>
                <c:pt idx="22">
                  <c:v>116.44</c:v>
                </c:pt>
                <c:pt idx="23">
                  <c:v>119.24</c:v>
                </c:pt>
                <c:pt idx="24">
                  <c:v>112.54</c:v>
                </c:pt>
                <c:pt idx="25">
                  <c:v>106.24</c:v>
                </c:pt>
                <c:pt idx="26">
                  <c:v>100.34</c:v>
                </c:pt>
                <c:pt idx="27">
                  <c:v>93.14</c:v>
                </c:pt>
                <c:pt idx="28">
                  <c:v>88.04</c:v>
                </c:pt>
                <c:pt idx="29">
                  <c:v>83.34</c:v>
                </c:pt>
                <c:pt idx="30">
                  <c:v>78.540000000000006</c:v>
                </c:pt>
                <c:pt idx="31">
                  <c:v>75.239999999999995</c:v>
                </c:pt>
                <c:pt idx="32">
                  <c:v>72.64</c:v>
                </c:pt>
                <c:pt idx="33">
                  <c:v>70.040000000000006</c:v>
                </c:pt>
                <c:pt idx="34">
                  <c:v>68.84</c:v>
                </c:pt>
                <c:pt idx="35">
                  <c:v>68.34</c:v>
                </c:pt>
                <c:pt idx="36">
                  <c:v>68.540000000000006</c:v>
                </c:pt>
                <c:pt idx="37">
                  <c:v>69.44</c:v>
                </c:pt>
                <c:pt idx="38">
                  <c:v>71.040000000000006</c:v>
                </c:pt>
                <c:pt idx="39">
                  <c:v>73.34</c:v>
                </c:pt>
                <c:pt idx="40">
                  <c:v>76.34</c:v>
                </c:pt>
                <c:pt idx="41">
                  <c:v>80.040000000000006</c:v>
                </c:pt>
                <c:pt idx="42">
                  <c:v>84.44</c:v>
                </c:pt>
                <c:pt idx="43">
                  <c:v>89.54</c:v>
                </c:pt>
                <c:pt idx="44">
                  <c:v>95.34</c:v>
                </c:pt>
                <c:pt idx="45">
                  <c:v>100.34</c:v>
                </c:pt>
                <c:pt idx="46">
                  <c:v>107.54</c:v>
                </c:pt>
                <c:pt idx="47">
                  <c:v>115.44</c:v>
                </c:pt>
                <c:pt idx="48">
                  <c:v>124.04</c:v>
                </c:pt>
                <c:pt idx="49">
                  <c:v>133.34</c:v>
                </c:pt>
                <c:pt idx="50">
                  <c:v>143.34</c:v>
                </c:pt>
                <c:pt idx="51">
                  <c:v>154.04</c:v>
                </c:pt>
                <c:pt idx="52">
                  <c:v>165.44</c:v>
                </c:pt>
                <c:pt idx="53">
                  <c:v>177.54</c:v>
                </c:pt>
                <c:pt idx="54">
                  <c:v>190.34</c:v>
                </c:pt>
                <c:pt idx="55">
                  <c:v>203.84</c:v>
                </c:pt>
                <c:pt idx="56">
                  <c:v>218.04</c:v>
                </c:pt>
                <c:pt idx="57">
                  <c:v>232.94</c:v>
                </c:pt>
                <c:pt idx="58">
                  <c:v>248.54</c:v>
                </c:pt>
                <c:pt idx="59">
                  <c:v>264.83999999999997</c:v>
                </c:pt>
                <c:pt idx="60">
                  <c:v>281.83999999999997</c:v>
                </c:pt>
                <c:pt idx="61">
                  <c:v>299.54000000000002</c:v>
                </c:pt>
                <c:pt idx="62">
                  <c:v>317.94</c:v>
                </c:pt>
                <c:pt idx="63">
                  <c:v>337.04</c:v>
                </c:pt>
                <c:pt idx="64">
                  <c:v>356.84</c:v>
                </c:pt>
                <c:pt idx="65">
                  <c:v>377.34</c:v>
                </c:pt>
                <c:pt idx="66">
                  <c:v>398.54</c:v>
                </c:pt>
                <c:pt idx="67">
                  <c:v>420.44</c:v>
                </c:pt>
                <c:pt idx="68">
                  <c:v>443.04</c:v>
                </c:pt>
                <c:pt idx="69">
                  <c:v>466.34</c:v>
                </c:pt>
                <c:pt idx="70">
                  <c:v>490.34</c:v>
                </c:pt>
                <c:pt idx="71">
                  <c:v>515.04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90-4051-9D37-0C30409902A4}"/>
            </c:ext>
          </c:extLst>
        </c:ser>
        <c:ser>
          <c:idx val="5"/>
          <c:order val="5"/>
          <c:tx>
            <c:strRef>
              <c:f>Economia!$A$7</c:f>
              <c:strCache>
                <c:ptCount val="1"/>
                <c:pt idx="0">
                  <c:v>Kleit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Economia!$B$1:$BX$1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Economia!$B$7:$BX$7</c:f>
              <c:numCache>
                <c:formatCode>0.00</c:formatCode>
                <c:ptCount val="75"/>
                <c:pt idx="0">
                  <c:v>50.833999999999996</c:v>
                </c:pt>
                <c:pt idx="1">
                  <c:v>51.667999999999992</c:v>
                </c:pt>
                <c:pt idx="2">
                  <c:v>52.501999999999988</c:v>
                </c:pt>
                <c:pt idx="3">
                  <c:v>54.754999999999988</c:v>
                </c:pt>
                <c:pt idx="4">
                  <c:v>57.007999999999996</c:v>
                </c:pt>
                <c:pt idx="5">
                  <c:v>61.110999999999997</c:v>
                </c:pt>
                <c:pt idx="6">
                  <c:v>65.665999999999997</c:v>
                </c:pt>
                <c:pt idx="7">
                  <c:v>70.220999999999989</c:v>
                </c:pt>
                <c:pt idx="8">
                  <c:v>74.775999999999996</c:v>
                </c:pt>
                <c:pt idx="9">
                  <c:v>82.532999999999987</c:v>
                </c:pt>
                <c:pt idx="10">
                  <c:v>90.29</c:v>
                </c:pt>
                <c:pt idx="11">
                  <c:v>98.046999999999983</c:v>
                </c:pt>
                <c:pt idx="12">
                  <c:v>103.80399999999997</c:v>
                </c:pt>
                <c:pt idx="13">
                  <c:v>111.56099999999998</c:v>
                </c:pt>
                <c:pt idx="14">
                  <c:v>119.318</c:v>
                </c:pt>
                <c:pt idx="15">
                  <c:v>129.01499999999999</c:v>
                </c:pt>
                <c:pt idx="16">
                  <c:v>138.71199999999999</c:v>
                </c:pt>
                <c:pt idx="17">
                  <c:v>148.40899999999999</c:v>
                </c:pt>
                <c:pt idx="18">
                  <c:v>158.10599999999999</c:v>
                </c:pt>
                <c:pt idx="19">
                  <c:v>167.803</c:v>
                </c:pt>
                <c:pt idx="20">
                  <c:v>177.5</c:v>
                </c:pt>
                <c:pt idx="21">
                  <c:v>192.8646</c:v>
                </c:pt>
                <c:pt idx="22">
                  <c:v>208.22919999999999</c:v>
                </c:pt>
                <c:pt idx="23">
                  <c:v>223.59380000000002</c:v>
                </c:pt>
                <c:pt idx="24">
                  <c:v>237.10839999999999</c:v>
                </c:pt>
                <c:pt idx="25">
                  <c:v>251.47299999999998</c:v>
                </c:pt>
                <c:pt idx="26">
                  <c:v>265.83760000000001</c:v>
                </c:pt>
                <c:pt idx="27">
                  <c:v>170.7022</c:v>
                </c:pt>
                <c:pt idx="28">
                  <c:v>181.5668</c:v>
                </c:pt>
                <c:pt idx="29">
                  <c:v>193.13139999999999</c:v>
                </c:pt>
                <c:pt idx="30">
                  <c:v>301.29599999999999</c:v>
                </c:pt>
                <c:pt idx="31">
                  <c:v>307.4606</c:v>
                </c:pt>
                <c:pt idx="32">
                  <c:v>314.42520000000002</c:v>
                </c:pt>
                <c:pt idx="33">
                  <c:v>312.88979999999998</c:v>
                </c:pt>
                <c:pt idx="34">
                  <c:v>311.3544</c:v>
                </c:pt>
                <c:pt idx="35">
                  <c:v>309.81900000000002</c:v>
                </c:pt>
                <c:pt idx="36">
                  <c:v>308.28359999999998</c:v>
                </c:pt>
                <c:pt idx="37">
                  <c:v>306.7482</c:v>
                </c:pt>
                <c:pt idx="38">
                  <c:v>305.21280000000002</c:v>
                </c:pt>
                <c:pt idx="39">
                  <c:v>303.67739999999998</c:v>
                </c:pt>
                <c:pt idx="40">
                  <c:v>302.142</c:v>
                </c:pt>
                <c:pt idx="41">
                  <c:v>300.60660000000001</c:v>
                </c:pt>
                <c:pt idx="42">
                  <c:v>299.07119999999998</c:v>
                </c:pt>
                <c:pt idx="43">
                  <c:v>297.53579999999999</c:v>
                </c:pt>
                <c:pt idx="44">
                  <c:v>296.00040000000001</c:v>
                </c:pt>
                <c:pt idx="45">
                  <c:v>294.46499999999997</c:v>
                </c:pt>
                <c:pt idx="46">
                  <c:v>292.92959999999999</c:v>
                </c:pt>
                <c:pt idx="47">
                  <c:v>291.39419999999996</c:v>
                </c:pt>
                <c:pt idx="48">
                  <c:v>289.85880000000003</c:v>
                </c:pt>
                <c:pt idx="49">
                  <c:v>288.32339999999999</c:v>
                </c:pt>
                <c:pt idx="50">
                  <c:v>286.78800000000001</c:v>
                </c:pt>
                <c:pt idx="51">
                  <c:v>285.25260000000003</c:v>
                </c:pt>
                <c:pt idx="52">
                  <c:v>283.71719999999999</c:v>
                </c:pt>
                <c:pt idx="53">
                  <c:v>282.18180000000001</c:v>
                </c:pt>
                <c:pt idx="54">
                  <c:v>280.64639999999997</c:v>
                </c:pt>
                <c:pt idx="55">
                  <c:v>279.11099999999999</c:v>
                </c:pt>
                <c:pt idx="56">
                  <c:v>277.57560000000001</c:v>
                </c:pt>
                <c:pt idx="57">
                  <c:v>276.04020000000003</c:v>
                </c:pt>
                <c:pt idx="58">
                  <c:v>274.50479999999999</c:v>
                </c:pt>
                <c:pt idx="59">
                  <c:v>272.96940000000001</c:v>
                </c:pt>
                <c:pt idx="60">
                  <c:v>271.43400000000003</c:v>
                </c:pt>
                <c:pt idx="61">
                  <c:v>269.89859999999999</c:v>
                </c:pt>
                <c:pt idx="62">
                  <c:v>268.36320000000001</c:v>
                </c:pt>
                <c:pt idx="63">
                  <c:v>266.82779999999997</c:v>
                </c:pt>
                <c:pt idx="64">
                  <c:v>265.29240000000004</c:v>
                </c:pt>
                <c:pt idx="65">
                  <c:v>263.75700000000001</c:v>
                </c:pt>
                <c:pt idx="66">
                  <c:v>262.22160000000002</c:v>
                </c:pt>
                <c:pt idx="67">
                  <c:v>260.68619999999999</c:v>
                </c:pt>
                <c:pt idx="68">
                  <c:v>259.1508</c:v>
                </c:pt>
                <c:pt idx="69">
                  <c:v>257.61540000000002</c:v>
                </c:pt>
                <c:pt idx="70">
                  <c:v>256.08</c:v>
                </c:pt>
                <c:pt idx="71">
                  <c:v>254.5446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90-4051-9D37-0C3040990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484255"/>
        <c:axId val="1844484735"/>
      </c:lineChart>
      <c:catAx>
        <c:axId val="184448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4484735"/>
        <c:crosses val="autoZero"/>
        <c:auto val="1"/>
        <c:lblAlgn val="ctr"/>
        <c:lblOffset val="100"/>
        <c:noMultiLvlLbl val="0"/>
      </c:catAx>
      <c:valAx>
        <c:axId val="18444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2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448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1">
                    <a:lumMod val="95000"/>
                  </a:schemeClr>
                </a:solidFill>
              </a:rPr>
              <a:t>Shimanami word count (65000)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Economia!$O$13</c:f>
              <c:strCache>
                <c:ptCount val="1"/>
                <c:pt idx="0">
                  <c:v>word count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E70-444B-9E9A-CCC1D77BC37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70-444B-9E9A-CCC1D77BC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70-444B-9E9A-CCC1D77BC3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E70-444B-9E9A-CCC1D77BC37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Economia!$M$14:$M$17</c:f>
              <c:strCache>
                <c:ptCount val="4"/>
                <c:pt idx="0">
                  <c:v>NPC</c:v>
                </c:pt>
                <c:pt idx="1">
                  <c:v>PC</c:v>
                </c:pt>
                <c:pt idx="2">
                  <c:v>Github</c:v>
                </c:pt>
                <c:pt idx="3">
                  <c:v>Other</c:v>
                </c:pt>
              </c:strCache>
            </c:strRef>
          </c:cat>
          <c:val>
            <c:numRef>
              <c:f>Economia!$O$14:$O$17</c:f>
              <c:numCache>
                <c:formatCode>General</c:formatCode>
                <c:ptCount val="4"/>
                <c:pt idx="0">
                  <c:v>32000</c:v>
                </c:pt>
                <c:pt idx="1">
                  <c:v>21400</c:v>
                </c:pt>
                <c:pt idx="2">
                  <c:v>10300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0-444B-9E9A-CCC1D77BC371}"/>
            </c:ext>
          </c:extLst>
        </c:ser>
        <c:ser>
          <c:idx val="1"/>
          <c:order val="1"/>
          <c:tx>
            <c:strRef>
              <c:f>Economia!$N$20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B8-42B3-9A00-BD7D2AE31A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EB8-42B3-9A00-BD7D2AE31A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EB8-42B3-9A00-BD7D2AE31A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EB8-42B3-9A00-BD7D2AE31A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Economia!$M$14:$M$17</c:f>
              <c:strCache>
                <c:ptCount val="4"/>
                <c:pt idx="0">
                  <c:v>NPC</c:v>
                </c:pt>
                <c:pt idx="1">
                  <c:v>PC</c:v>
                </c:pt>
                <c:pt idx="2">
                  <c:v>Github</c:v>
                </c:pt>
                <c:pt idx="3">
                  <c:v>Other</c:v>
                </c:pt>
              </c:strCache>
            </c:strRef>
          </c:cat>
          <c:val>
            <c:numRef>
              <c:f>Economia!$N$21:$N$24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E70-444B-9E9A-CCC1D77BC3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51229350514855"/>
          <c:y val="0.31830416373760445"/>
          <c:w val="0.14136560745715429"/>
          <c:h val="0.4416694845448314"/>
        </c:manualLayout>
      </c:layout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19049</xdr:rowOff>
    </xdr:from>
    <xdr:to>
      <xdr:col>9</xdr:col>
      <xdr:colOff>361950</xdr:colOff>
      <xdr:row>31</xdr:row>
      <xdr:rowOff>90486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F6D903-25BA-32F4-4E6E-54DE7ED2D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192879</xdr:colOff>
      <xdr:row>19</xdr:row>
      <xdr:rowOff>9526</xdr:rowOff>
    </xdr:from>
    <xdr:to>
      <xdr:col>17</xdr:col>
      <xdr:colOff>171450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04F7E-840C-C70B-B488-F34FB8331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3755-B35E-4F1F-BD30-5B33D077C25A}">
  <sheetPr>
    <tabColor rgb="FFFF0000"/>
  </sheetPr>
  <dimension ref="A1:CR69"/>
  <sheetViews>
    <sheetView topLeftCell="BT1" workbookViewId="0">
      <selection activeCell="BX29" sqref="BX29"/>
    </sheetView>
  </sheetViews>
  <sheetFormatPr defaultColWidth="11.1328125" defaultRowHeight="14.25" x14ac:dyDescent="0.45"/>
  <cols>
    <col min="1" max="1" width="27.19921875" style="36" customWidth="1"/>
    <col min="2" max="2" width="30.3984375" style="155" customWidth="1"/>
    <col min="3" max="16384" width="11.1328125" style="24"/>
  </cols>
  <sheetData>
    <row r="1" spans="1:96" s="141" customFormat="1" ht="21" x14ac:dyDescent="0.65">
      <c r="A1" s="168"/>
      <c r="B1" s="169" t="s">
        <v>123</v>
      </c>
      <c r="C1" s="136"/>
      <c r="D1" s="137" t="s">
        <v>98</v>
      </c>
      <c r="E1" s="137" t="s">
        <v>99</v>
      </c>
      <c r="F1" s="137" t="s">
        <v>100</v>
      </c>
      <c r="G1" s="138" t="s">
        <v>101</v>
      </c>
      <c r="H1" s="138" t="s">
        <v>102</v>
      </c>
      <c r="I1" s="138" t="s">
        <v>103</v>
      </c>
      <c r="J1" s="139" t="s">
        <v>104</v>
      </c>
      <c r="K1" s="139" t="s">
        <v>105</v>
      </c>
      <c r="L1" s="139" t="s">
        <v>106</v>
      </c>
      <c r="M1" s="140" t="s">
        <v>107</v>
      </c>
      <c r="N1" s="140" t="s">
        <v>108</v>
      </c>
      <c r="O1" s="140" t="s">
        <v>109</v>
      </c>
      <c r="P1" s="137" t="s">
        <v>98</v>
      </c>
      <c r="Q1" s="137" t="s">
        <v>99</v>
      </c>
      <c r="R1" s="137" t="s">
        <v>100</v>
      </c>
      <c r="S1" s="138" t="s">
        <v>101</v>
      </c>
      <c r="T1" s="138" t="s">
        <v>102</v>
      </c>
      <c r="U1" s="138" t="s">
        <v>103</v>
      </c>
      <c r="V1" s="139" t="s">
        <v>104</v>
      </c>
      <c r="W1" s="139" t="s">
        <v>105</v>
      </c>
      <c r="X1" s="139" t="s">
        <v>106</v>
      </c>
      <c r="Y1" s="140" t="s">
        <v>107</v>
      </c>
      <c r="Z1" s="140" t="s">
        <v>108</v>
      </c>
      <c r="AA1" s="140" t="s">
        <v>109</v>
      </c>
      <c r="AB1" s="137" t="s">
        <v>98</v>
      </c>
      <c r="AC1" s="137" t="s">
        <v>99</v>
      </c>
      <c r="AD1" s="137" t="s">
        <v>100</v>
      </c>
      <c r="AE1" s="138" t="s">
        <v>101</v>
      </c>
      <c r="AF1" s="138" t="s">
        <v>102</v>
      </c>
      <c r="AG1" s="138" t="s">
        <v>103</v>
      </c>
      <c r="AH1" s="139" t="s">
        <v>104</v>
      </c>
      <c r="AI1" s="139" t="s">
        <v>105</v>
      </c>
      <c r="AJ1" s="139" t="s">
        <v>106</v>
      </c>
      <c r="AK1" s="140" t="s">
        <v>107</v>
      </c>
      <c r="AL1" s="140" t="s">
        <v>108</v>
      </c>
      <c r="AM1" s="140" t="s">
        <v>109</v>
      </c>
      <c r="AN1" s="137" t="s">
        <v>98</v>
      </c>
      <c r="AO1" s="137" t="s">
        <v>99</v>
      </c>
      <c r="AP1" s="137" t="s">
        <v>100</v>
      </c>
      <c r="AQ1" s="138" t="s">
        <v>101</v>
      </c>
      <c r="AR1" s="138" t="s">
        <v>102</v>
      </c>
      <c r="AS1" s="138" t="s">
        <v>103</v>
      </c>
      <c r="AT1" s="139" t="s">
        <v>104</v>
      </c>
      <c r="AU1" s="139" t="s">
        <v>105</v>
      </c>
      <c r="AV1" s="139" t="s">
        <v>106</v>
      </c>
      <c r="AW1" s="140" t="s">
        <v>107</v>
      </c>
      <c r="AX1" s="140" t="s">
        <v>108</v>
      </c>
      <c r="AY1" s="140" t="s">
        <v>109</v>
      </c>
      <c r="AZ1" s="137" t="s">
        <v>98</v>
      </c>
      <c r="BA1" s="137" t="s">
        <v>99</v>
      </c>
      <c r="BB1" s="137" t="s">
        <v>100</v>
      </c>
      <c r="BC1" s="138" t="s">
        <v>101</v>
      </c>
      <c r="BD1" s="138" t="s">
        <v>102</v>
      </c>
      <c r="BE1" s="138" t="s">
        <v>103</v>
      </c>
      <c r="BF1" s="139" t="s">
        <v>104</v>
      </c>
      <c r="BG1" s="139" t="s">
        <v>105</v>
      </c>
      <c r="BH1" s="139" t="s">
        <v>106</v>
      </c>
      <c r="BI1" s="140" t="s">
        <v>107</v>
      </c>
      <c r="BJ1" s="140" t="s">
        <v>108</v>
      </c>
      <c r="BK1" s="140" t="s">
        <v>109</v>
      </c>
      <c r="BL1" s="137" t="s">
        <v>98</v>
      </c>
      <c r="BM1" s="137" t="s">
        <v>99</v>
      </c>
      <c r="BN1" s="137" t="s">
        <v>100</v>
      </c>
      <c r="BO1" s="138" t="s">
        <v>101</v>
      </c>
      <c r="BP1" s="138" t="s">
        <v>102</v>
      </c>
      <c r="BQ1" s="138" t="s">
        <v>103</v>
      </c>
      <c r="BR1" s="139" t="s">
        <v>104</v>
      </c>
      <c r="BS1" s="139" t="s">
        <v>105</v>
      </c>
      <c r="BT1" s="139" t="s">
        <v>106</v>
      </c>
      <c r="BU1" s="140" t="s">
        <v>107</v>
      </c>
      <c r="BV1" s="140" t="s">
        <v>108</v>
      </c>
      <c r="BW1" s="140" t="s">
        <v>109</v>
      </c>
      <c r="BX1" s="137" t="s">
        <v>98</v>
      </c>
      <c r="BY1" s="137" t="s">
        <v>99</v>
      </c>
      <c r="BZ1" s="137" t="s">
        <v>100</v>
      </c>
      <c r="CA1" s="138" t="s">
        <v>101</v>
      </c>
      <c r="CB1" s="138" t="s">
        <v>102</v>
      </c>
      <c r="CC1" s="138" t="s">
        <v>103</v>
      </c>
      <c r="CD1" s="139" t="s">
        <v>104</v>
      </c>
      <c r="CE1" s="139" t="s">
        <v>105</v>
      </c>
      <c r="CF1" s="139" t="s">
        <v>106</v>
      </c>
      <c r="CG1" s="140" t="s">
        <v>107</v>
      </c>
      <c r="CH1" s="140" t="s">
        <v>108</v>
      </c>
      <c r="CI1" s="140" t="s">
        <v>109</v>
      </c>
      <c r="CJ1" s="137" t="s">
        <v>98</v>
      </c>
      <c r="CK1" s="137" t="s">
        <v>99</v>
      </c>
      <c r="CL1" s="137" t="s">
        <v>100</v>
      </c>
      <c r="CM1" s="138" t="s">
        <v>101</v>
      </c>
      <c r="CN1" s="138" t="s">
        <v>102</v>
      </c>
      <c r="CO1" s="138" t="s">
        <v>103</v>
      </c>
      <c r="CP1" s="139" t="s">
        <v>104</v>
      </c>
      <c r="CQ1" s="139" t="s">
        <v>105</v>
      </c>
      <c r="CR1" s="139" t="s">
        <v>106</v>
      </c>
    </row>
    <row r="2" spans="1:96" s="83" customFormat="1" x14ac:dyDescent="0.45">
      <c r="A2" s="36"/>
      <c r="B2" s="147" t="s">
        <v>1</v>
      </c>
      <c r="D2" s="83">
        <v>1532</v>
      </c>
      <c r="E2" s="83">
        <f t="shared" ref="E2:AJ2" si="0">D2+IF(E1="Gennaio",1,0)</f>
        <v>1532</v>
      </c>
      <c r="F2" s="83">
        <f t="shared" si="0"/>
        <v>1532</v>
      </c>
      <c r="G2" s="83">
        <f t="shared" si="0"/>
        <v>1532</v>
      </c>
      <c r="H2" s="83">
        <f t="shared" si="0"/>
        <v>1532</v>
      </c>
      <c r="I2" s="83">
        <f t="shared" si="0"/>
        <v>1532</v>
      </c>
      <c r="J2" s="83">
        <f t="shared" si="0"/>
        <v>1532</v>
      </c>
      <c r="K2" s="83">
        <f t="shared" si="0"/>
        <v>1532</v>
      </c>
      <c r="L2" s="83">
        <f t="shared" si="0"/>
        <v>1532</v>
      </c>
      <c r="M2" s="83">
        <f t="shared" si="0"/>
        <v>1533</v>
      </c>
      <c r="N2" s="83">
        <f t="shared" si="0"/>
        <v>1533</v>
      </c>
      <c r="O2" s="83">
        <f t="shared" si="0"/>
        <v>1533</v>
      </c>
      <c r="P2" s="83">
        <f t="shared" si="0"/>
        <v>1533</v>
      </c>
      <c r="Q2" s="83">
        <f t="shared" si="0"/>
        <v>1533</v>
      </c>
      <c r="R2" s="83">
        <f t="shared" si="0"/>
        <v>1533</v>
      </c>
      <c r="S2" s="83">
        <f t="shared" si="0"/>
        <v>1533</v>
      </c>
      <c r="T2" s="83">
        <f t="shared" si="0"/>
        <v>1533</v>
      </c>
      <c r="U2" s="83">
        <f t="shared" si="0"/>
        <v>1533</v>
      </c>
      <c r="V2" s="83">
        <f t="shared" si="0"/>
        <v>1533</v>
      </c>
      <c r="W2" s="83">
        <f t="shared" si="0"/>
        <v>1533</v>
      </c>
      <c r="X2" s="83">
        <f t="shared" si="0"/>
        <v>1533</v>
      </c>
      <c r="Y2" s="83">
        <f t="shared" si="0"/>
        <v>1534</v>
      </c>
      <c r="Z2" s="83">
        <f t="shared" si="0"/>
        <v>1534</v>
      </c>
      <c r="AA2" s="83">
        <f t="shared" si="0"/>
        <v>1534</v>
      </c>
      <c r="AB2" s="83">
        <f t="shared" si="0"/>
        <v>1534</v>
      </c>
      <c r="AC2" s="83">
        <f t="shared" si="0"/>
        <v>1534</v>
      </c>
      <c r="AD2" s="83">
        <f t="shared" si="0"/>
        <v>1534</v>
      </c>
      <c r="AE2" s="83">
        <f t="shared" si="0"/>
        <v>1534</v>
      </c>
      <c r="AF2" s="83">
        <f t="shared" si="0"/>
        <v>1534</v>
      </c>
      <c r="AG2" s="83">
        <f t="shared" si="0"/>
        <v>1534</v>
      </c>
      <c r="AH2" s="83">
        <f t="shared" si="0"/>
        <v>1534</v>
      </c>
      <c r="AI2" s="83">
        <f t="shared" si="0"/>
        <v>1534</v>
      </c>
      <c r="AJ2" s="83">
        <f t="shared" si="0"/>
        <v>1534</v>
      </c>
      <c r="AK2" s="83">
        <f t="shared" ref="AK2:BP2" si="1">AJ2+IF(AK1="Gennaio",1,0)</f>
        <v>1535</v>
      </c>
      <c r="AL2" s="83">
        <f t="shared" si="1"/>
        <v>1535</v>
      </c>
      <c r="AM2" s="83">
        <f t="shared" si="1"/>
        <v>1535</v>
      </c>
      <c r="AN2" s="83">
        <f t="shared" si="1"/>
        <v>1535</v>
      </c>
      <c r="AO2" s="83">
        <f t="shared" si="1"/>
        <v>1535</v>
      </c>
      <c r="AP2" s="83">
        <f t="shared" si="1"/>
        <v>1535</v>
      </c>
      <c r="AQ2" s="83">
        <f t="shared" si="1"/>
        <v>1535</v>
      </c>
      <c r="AR2" s="83">
        <f t="shared" si="1"/>
        <v>1535</v>
      </c>
      <c r="AS2" s="83">
        <f t="shared" si="1"/>
        <v>1535</v>
      </c>
      <c r="AT2" s="83">
        <f t="shared" si="1"/>
        <v>1535</v>
      </c>
      <c r="AU2" s="83">
        <f t="shared" si="1"/>
        <v>1535</v>
      </c>
      <c r="AV2" s="83">
        <f t="shared" si="1"/>
        <v>1535</v>
      </c>
      <c r="AW2" s="83">
        <f t="shared" si="1"/>
        <v>1536</v>
      </c>
      <c r="AX2" s="83">
        <f t="shared" si="1"/>
        <v>1536</v>
      </c>
      <c r="AY2" s="83">
        <f t="shared" si="1"/>
        <v>1536</v>
      </c>
      <c r="AZ2" s="83">
        <f t="shared" si="1"/>
        <v>1536</v>
      </c>
      <c r="BA2" s="83">
        <f t="shared" si="1"/>
        <v>1536</v>
      </c>
      <c r="BB2" s="83">
        <f t="shared" si="1"/>
        <v>1536</v>
      </c>
      <c r="BC2" s="83">
        <f t="shared" si="1"/>
        <v>1536</v>
      </c>
      <c r="BD2" s="83">
        <f t="shared" si="1"/>
        <v>1536</v>
      </c>
      <c r="BE2" s="83">
        <f t="shared" si="1"/>
        <v>1536</v>
      </c>
      <c r="BF2" s="83">
        <f t="shared" si="1"/>
        <v>1536</v>
      </c>
      <c r="BG2" s="83">
        <f t="shared" si="1"/>
        <v>1536</v>
      </c>
      <c r="BH2" s="83">
        <f t="shared" si="1"/>
        <v>1536</v>
      </c>
      <c r="BI2" s="83">
        <f t="shared" si="1"/>
        <v>1537</v>
      </c>
      <c r="BJ2" s="83">
        <f t="shared" si="1"/>
        <v>1537</v>
      </c>
      <c r="BK2" s="83">
        <f t="shared" si="1"/>
        <v>1537</v>
      </c>
      <c r="BL2" s="83">
        <f t="shared" si="1"/>
        <v>1537</v>
      </c>
      <c r="BM2" s="83">
        <f t="shared" si="1"/>
        <v>1537</v>
      </c>
      <c r="BN2" s="83">
        <f t="shared" si="1"/>
        <v>1537</v>
      </c>
      <c r="BO2" s="83">
        <f t="shared" si="1"/>
        <v>1537</v>
      </c>
      <c r="BP2" s="83">
        <f t="shared" si="1"/>
        <v>1537</v>
      </c>
      <c r="BQ2" s="83">
        <f t="shared" ref="BQ2:CR2" si="2">BP2+IF(BQ1="Gennaio",1,0)</f>
        <v>1537</v>
      </c>
      <c r="BR2" s="83">
        <f t="shared" si="2"/>
        <v>1537</v>
      </c>
      <c r="BS2" s="83">
        <f t="shared" si="2"/>
        <v>1537</v>
      </c>
      <c r="BT2" s="83">
        <f t="shared" si="2"/>
        <v>1537</v>
      </c>
      <c r="BU2" s="83">
        <f t="shared" si="2"/>
        <v>1538</v>
      </c>
      <c r="BV2" s="83">
        <f t="shared" si="2"/>
        <v>1538</v>
      </c>
      <c r="BW2" s="83">
        <f t="shared" si="2"/>
        <v>1538</v>
      </c>
      <c r="BX2" s="83">
        <f t="shared" si="2"/>
        <v>1538</v>
      </c>
      <c r="BY2" s="83">
        <f t="shared" si="2"/>
        <v>1538</v>
      </c>
      <c r="BZ2" s="83">
        <f t="shared" si="2"/>
        <v>1538</v>
      </c>
      <c r="CA2" s="83">
        <f t="shared" si="2"/>
        <v>1538</v>
      </c>
      <c r="CB2" s="83">
        <f t="shared" si="2"/>
        <v>1538</v>
      </c>
      <c r="CC2" s="83">
        <f t="shared" si="2"/>
        <v>1538</v>
      </c>
      <c r="CD2" s="83">
        <f t="shared" si="2"/>
        <v>1538</v>
      </c>
      <c r="CE2" s="83">
        <f t="shared" si="2"/>
        <v>1538</v>
      </c>
      <c r="CF2" s="83">
        <f t="shared" si="2"/>
        <v>1538</v>
      </c>
      <c r="CG2" s="83">
        <f t="shared" si="2"/>
        <v>1539</v>
      </c>
      <c r="CH2" s="83">
        <f t="shared" si="2"/>
        <v>1539</v>
      </c>
      <c r="CI2" s="83">
        <f t="shared" si="2"/>
        <v>1539</v>
      </c>
      <c r="CJ2" s="83">
        <f t="shared" si="2"/>
        <v>1539</v>
      </c>
      <c r="CK2" s="83">
        <f t="shared" si="2"/>
        <v>1539</v>
      </c>
      <c r="CL2" s="83">
        <f t="shared" si="2"/>
        <v>1539</v>
      </c>
      <c r="CM2" s="83">
        <f t="shared" si="2"/>
        <v>1539</v>
      </c>
      <c r="CN2" s="83">
        <f t="shared" si="2"/>
        <v>1539</v>
      </c>
      <c r="CO2" s="83">
        <f t="shared" si="2"/>
        <v>1539</v>
      </c>
      <c r="CP2" s="83">
        <f t="shared" si="2"/>
        <v>1539</v>
      </c>
      <c r="CQ2" s="83">
        <f t="shared" si="2"/>
        <v>1539</v>
      </c>
      <c r="CR2" s="83">
        <f t="shared" si="2"/>
        <v>1539</v>
      </c>
    </row>
    <row r="3" spans="1:96" s="146" customFormat="1" x14ac:dyDescent="0.45">
      <c r="A3" s="48"/>
      <c r="B3" s="148" t="s">
        <v>94</v>
      </c>
      <c r="D3" s="146">
        <f>C3+1</f>
        <v>1</v>
      </c>
      <c r="E3" s="146">
        <f t="shared" ref="E3:BP3" si="3">D3+1</f>
        <v>2</v>
      </c>
      <c r="F3" s="146">
        <f t="shared" si="3"/>
        <v>3</v>
      </c>
      <c r="G3" s="146">
        <f t="shared" si="3"/>
        <v>4</v>
      </c>
      <c r="H3" s="146">
        <f t="shared" si="3"/>
        <v>5</v>
      </c>
      <c r="I3" s="146">
        <f t="shared" si="3"/>
        <v>6</v>
      </c>
      <c r="J3" s="146">
        <f t="shared" si="3"/>
        <v>7</v>
      </c>
      <c r="K3" s="146">
        <f t="shared" si="3"/>
        <v>8</v>
      </c>
      <c r="L3" s="146">
        <f t="shared" si="3"/>
        <v>9</v>
      </c>
      <c r="M3" s="146">
        <f t="shared" si="3"/>
        <v>10</v>
      </c>
      <c r="N3" s="146">
        <f t="shared" si="3"/>
        <v>11</v>
      </c>
      <c r="O3" s="146">
        <f t="shared" si="3"/>
        <v>12</v>
      </c>
      <c r="P3" s="146">
        <f t="shared" si="3"/>
        <v>13</v>
      </c>
      <c r="Q3" s="146">
        <f t="shared" si="3"/>
        <v>14</v>
      </c>
      <c r="R3" s="146">
        <f t="shared" si="3"/>
        <v>15</v>
      </c>
      <c r="S3" s="146">
        <f t="shared" si="3"/>
        <v>16</v>
      </c>
      <c r="T3" s="146">
        <f t="shared" si="3"/>
        <v>17</v>
      </c>
      <c r="U3" s="146">
        <f t="shared" si="3"/>
        <v>18</v>
      </c>
      <c r="V3" s="146">
        <f t="shared" si="3"/>
        <v>19</v>
      </c>
      <c r="W3" s="146">
        <f t="shared" si="3"/>
        <v>20</v>
      </c>
      <c r="X3" s="146">
        <f t="shared" si="3"/>
        <v>21</v>
      </c>
      <c r="Y3" s="146">
        <f t="shared" si="3"/>
        <v>22</v>
      </c>
      <c r="Z3" s="146">
        <f t="shared" si="3"/>
        <v>23</v>
      </c>
      <c r="AA3" s="146">
        <f t="shared" si="3"/>
        <v>24</v>
      </c>
      <c r="AB3" s="146">
        <f t="shared" si="3"/>
        <v>25</v>
      </c>
      <c r="AC3" s="146">
        <f t="shared" si="3"/>
        <v>26</v>
      </c>
      <c r="AD3" s="146">
        <f t="shared" si="3"/>
        <v>27</v>
      </c>
      <c r="AE3" s="146">
        <f t="shared" si="3"/>
        <v>28</v>
      </c>
      <c r="AF3" s="146">
        <f t="shared" si="3"/>
        <v>29</v>
      </c>
      <c r="AG3" s="146">
        <f t="shared" si="3"/>
        <v>30</v>
      </c>
      <c r="AH3" s="146">
        <f t="shared" si="3"/>
        <v>31</v>
      </c>
      <c r="AI3" s="146">
        <f t="shared" si="3"/>
        <v>32</v>
      </c>
      <c r="AJ3" s="146">
        <f t="shared" si="3"/>
        <v>33</v>
      </c>
      <c r="AK3" s="146">
        <f t="shared" si="3"/>
        <v>34</v>
      </c>
      <c r="AL3" s="146">
        <f t="shared" si="3"/>
        <v>35</v>
      </c>
      <c r="AM3" s="146">
        <f t="shared" si="3"/>
        <v>36</v>
      </c>
      <c r="AN3" s="146">
        <f t="shared" si="3"/>
        <v>37</v>
      </c>
      <c r="AO3" s="146">
        <f t="shared" si="3"/>
        <v>38</v>
      </c>
      <c r="AP3" s="146">
        <f t="shared" si="3"/>
        <v>39</v>
      </c>
      <c r="AQ3" s="146">
        <f t="shared" si="3"/>
        <v>40</v>
      </c>
      <c r="AR3" s="146">
        <f t="shared" si="3"/>
        <v>41</v>
      </c>
      <c r="AS3" s="146">
        <f t="shared" si="3"/>
        <v>42</v>
      </c>
      <c r="AT3" s="146">
        <f t="shared" si="3"/>
        <v>43</v>
      </c>
      <c r="AU3" s="146">
        <f t="shared" si="3"/>
        <v>44</v>
      </c>
      <c r="AV3" s="146">
        <f t="shared" si="3"/>
        <v>45</v>
      </c>
      <c r="AW3" s="146">
        <f t="shared" si="3"/>
        <v>46</v>
      </c>
      <c r="AX3" s="146">
        <f t="shared" si="3"/>
        <v>47</v>
      </c>
      <c r="AY3" s="146">
        <f t="shared" si="3"/>
        <v>48</v>
      </c>
      <c r="AZ3" s="146">
        <f t="shared" si="3"/>
        <v>49</v>
      </c>
      <c r="BA3" s="146">
        <f t="shared" si="3"/>
        <v>50</v>
      </c>
      <c r="BB3" s="146">
        <f t="shared" si="3"/>
        <v>51</v>
      </c>
      <c r="BC3" s="146">
        <f t="shared" si="3"/>
        <v>52</v>
      </c>
      <c r="BD3" s="146">
        <f t="shared" si="3"/>
        <v>53</v>
      </c>
      <c r="BE3" s="146">
        <f t="shared" si="3"/>
        <v>54</v>
      </c>
      <c r="BF3" s="146">
        <f t="shared" si="3"/>
        <v>55</v>
      </c>
      <c r="BG3" s="146">
        <f t="shared" si="3"/>
        <v>56</v>
      </c>
      <c r="BH3" s="146">
        <f t="shared" si="3"/>
        <v>57</v>
      </c>
      <c r="BI3" s="146">
        <f t="shared" si="3"/>
        <v>58</v>
      </c>
      <c r="BJ3" s="146">
        <f t="shared" si="3"/>
        <v>59</v>
      </c>
      <c r="BK3" s="146">
        <f t="shared" si="3"/>
        <v>60</v>
      </c>
      <c r="BL3" s="146">
        <f t="shared" si="3"/>
        <v>61</v>
      </c>
      <c r="BM3" s="146">
        <f t="shared" si="3"/>
        <v>62</v>
      </c>
      <c r="BN3" s="146">
        <f t="shared" si="3"/>
        <v>63</v>
      </c>
      <c r="BO3" s="146">
        <f t="shared" si="3"/>
        <v>64</v>
      </c>
      <c r="BP3" s="146">
        <f t="shared" si="3"/>
        <v>65</v>
      </c>
      <c r="BQ3" s="146">
        <f t="shared" ref="BQ3:CR3" si="4">BP3+1</f>
        <v>66</v>
      </c>
      <c r="BR3" s="146">
        <f t="shared" si="4"/>
        <v>67</v>
      </c>
      <c r="BS3" s="146">
        <f t="shared" si="4"/>
        <v>68</v>
      </c>
      <c r="BT3" s="146">
        <f t="shared" si="4"/>
        <v>69</v>
      </c>
      <c r="BU3" s="146">
        <f t="shared" si="4"/>
        <v>70</v>
      </c>
      <c r="BV3" s="146">
        <f t="shared" si="4"/>
        <v>71</v>
      </c>
      <c r="BW3" s="146">
        <f t="shared" si="4"/>
        <v>72</v>
      </c>
      <c r="BX3" s="146">
        <f t="shared" si="4"/>
        <v>73</v>
      </c>
      <c r="BY3" s="146">
        <f t="shared" si="4"/>
        <v>74</v>
      </c>
      <c r="BZ3" s="146">
        <f t="shared" si="4"/>
        <v>75</v>
      </c>
      <c r="CA3" s="146">
        <f t="shared" si="4"/>
        <v>76</v>
      </c>
      <c r="CB3" s="146">
        <f t="shared" si="4"/>
        <v>77</v>
      </c>
      <c r="CC3" s="146">
        <f t="shared" si="4"/>
        <v>78</v>
      </c>
      <c r="CD3" s="146">
        <f t="shared" si="4"/>
        <v>79</v>
      </c>
      <c r="CE3" s="146">
        <f t="shared" si="4"/>
        <v>80</v>
      </c>
      <c r="CF3" s="146">
        <f t="shared" si="4"/>
        <v>81</v>
      </c>
      <c r="CG3" s="146">
        <f t="shared" si="4"/>
        <v>82</v>
      </c>
      <c r="CH3" s="146">
        <f t="shared" si="4"/>
        <v>83</v>
      </c>
      <c r="CI3" s="146">
        <f t="shared" si="4"/>
        <v>84</v>
      </c>
      <c r="CJ3" s="146">
        <f t="shared" si="4"/>
        <v>85</v>
      </c>
      <c r="CK3" s="146">
        <f t="shared" si="4"/>
        <v>86</v>
      </c>
      <c r="CL3" s="146">
        <f t="shared" si="4"/>
        <v>87</v>
      </c>
      <c r="CM3" s="146">
        <f t="shared" si="4"/>
        <v>88</v>
      </c>
      <c r="CN3" s="146">
        <f t="shared" si="4"/>
        <v>89</v>
      </c>
      <c r="CO3" s="146">
        <f t="shared" si="4"/>
        <v>90</v>
      </c>
      <c r="CP3" s="146">
        <f t="shared" si="4"/>
        <v>91</v>
      </c>
      <c r="CQ3" s="146">
        <f t="shared" si="4"/>
        <v>92</v>
      </c>
      <c r="CR3" s="146">
        <f t="shared" si="4"/>
        <v>93</v>
      </c>
    </row>
    <row r="4" spans="1:96" s="36" customFormat="1" ht="42.75" x14ac:dyDescent="0.45">
      <c r="A4" s="83"/>
      <c r="B4" s="149"/>
      <c r="E4" s="36" t="s">
        <v>387</v>
      </c>
      <c r="P4" s="36" t="s">
        <v>217</v>
      </c>
      <c r="V4" s="36" t="s">
        <v>388</v>
      </c>
      <c r="Y4" s="212" t="s">
        <v>389</v>
      </c>
      <c r="AH4" s="36" t="s">
        <v>282</v>
      </c>
      <c r="AK4" s="36" t="s">
        <v>390</v>
      </c>
    </row>
    <row r="5" spans="1:96" s="36" customFormat="1" x14ac:dyDescent="0.45">
      <c r="A5" s="83"/>
      <c r="B5" s="150" t="s">
        <v>249</v>
      </c>
      <c r="E5" s="36">
        <f>ABS(E29)</f>
        <v>150</v>
      </c>
      <c r="P5" s="36">
        <f>ABS(P43)</f>
        <v>700</v>
      </c>
      <c r="V5" s="106">
        <f>ABS(V44)</f>
        <v>2100</v>
      </c>
      <c r="W5" s="106"/>
      <c r="X5" s="106"/>
      <c r="Y5" s="106">
        <f>ABS(SUM(Y42:Y45))</f>
        <v>6850</v>
      </c>
      <c r="Z5" s="106"/>
      <c r="AA5" s="106"/>
      <c r="AH5" s="36">
        <v>6000</v>
      </c>
      <c r="AK5" s="36">
        <f>ABS(AK35)</f>
        <v>2500</v>
      </c>
    </row>
    <row r="6" spans="1:96" s="48" customFormat="1" x14ac:dyDescent="0.45">
      <c r="A6" s="146"/>
      <c r="B6" s="151" t="s">
        <v>256</v>
      </c>
      <c r="D6" s="142">
        <f>SUM($C5:D5)+D7</f>
        <v>5180</v>
      </c>
      <c r="E6" s="142">
        <f>SUM($C5:E5)+E7</f>
        <v>5450</v>
      </c>
      <c r="F6" s="142">
        <f>SUM($C5:F5)+F7</f>
        <v>5720</v>
      </c>
      <c r="G6" s="142">
        <f>SUM($C5:G5)+G7</f>
        <v>5990</v>
      </c>
      <c r="H6" s="142">
        <f>SUM($C5:H5)+H7</f>
        <v>6260</v>
      </c>
      <c r="I6" s="142">
        <f>SUM($C5:I5)+I7</f>
        <v>6530</v>
      </c>
      <c r="J6" s="142">
        <f>SUM($C5:J5)+J7</f>
        <v>6800</v>
      </c>
      <c r="K6" s="142">
        <f>SUM($C5:K5)+K7</f>
        <v>7070</v>
      </c>
      <c r="L6" s="142">
        <f>SUM($C5:L5)+L7</f>
        <v>7340</v>
      </c>
      <c r="M6" s="142">
        <f>SUM($C5:M5)+M7</f>
        <v>7610</v>
      </c>
      <c r="N6" s="142">
        <f>SUM($C5:N5)+N7</f>
        <v>7880</v>
      </c>
      <c r="O6" s="142">
        <f>SUM($C5:O5)+O7</f>
        <v>8150</v>
      </c>
      <c r="P6" s="142">
        <f>SUM($C5:P5)+P7</f>
        <v>8420</v>
      </c>
      <c r="Q6" s="142">
        <f>SUM($C5:Q5)+Q7</f>
        <v>8690</v>
      </c>
      <c r="R6" s="142">
        <f>SUM($C5:R5)+R7</f>
        <v>8960</v>
      </c>
      <c r="S6" s="142">
        <f>SUM($C5:S5)+S7</f>
        <v>9680</v>
      </c>
      <c r="T6" s="142">
        <f>SUM($C5:T5)+T7</f>
        <v>9950</v>
      </c>
      <c r="U6" s="142">
        <f>SUM($C5:U5)+U7</f>
        <v>10220</v>
      </c>
      <c r="V6" s="142">
        <f>SUM($C5:V5)+V7</f>
        <v>10540</v>
      </c>
      <c r="W6" s="142">
        <f>SUM($C5:W5)+W7</f>
        <v>10810</v>
      </c>
      <c r="X6" s="142">
        <f>SUM($C5:X5)+X7</f>
        <v>11080</v>
      </c>
      <c r="Y6" s="142">
        <f>SUM($C5:Y5)+Y7</f>
        <v>11340</v>
      </c>
      <c r="Z6" s="142">
        <f>SUM($C5:Z5)+Z7</f>
        <v>11610</v>
      </c>
      <c r="AA6" s="142">
        <f>SUM($C5:AA5)+AA7</f>
        <v>11880</v>
      </c>
      <c r="AB6" s="142">
        <f>SUM($C5:AB5)+AB7</f>
        <v>12150</v>
      </c>
      <c r="AC6" s="142">
        <f>SUM($C5:AC5)+AC7</f>
        <v>12420</v>
      </c>
      <c r="AD6" s="142">
        <f>SUM($C5:AD5)+AD7</f>
        <v>12690</v>
      </c>
      <c r="AE6" s="142">
        <f>SUM($C5:AE5)+AE7</f>
        <v>13360</v>
      </c>
      <c r="AF6" s="142">
        <f>SUM($C5:AF5)+AF7</f>
        <v>13630</v>
      </c>
      <c r="AG6" s="142">
        <f>SUM($C5:AG5)+AG7</f>
        <v>13900</v>
      </c>
      <c r="AH6" s="142">
        <f>SUM($C5:AH5)+AH7</f>
        <v>18080</v>
      </c>
      <c r="AI6" s="142">
        <f>SUM($C5:AI5)+AI7</f>
        <v>18260</v>
      </c>
      <c r="AJ6" s="142">
        <f>SUM($C5:AI5)+AJ7</f>
        <v>18440</v>
      </c>
      <c r="AK6" s="142">
        <f>SUM($C5:AJ5)+AK7</f>
        <v>18060</v>
      </c>
      <c r="AL6" s="142">
        <f>SUM($C5:AK5)+AL7</f>
        <v>21680</v>
      </c>
      <c r="AM6" s="142">
        <f>SUM($C5:AL5)+AM7</f>
        <v>22800</v>
      </c>
      <c r="AN6" s="142">
        <f>SUM($C5:AM5)+AN7</f>
        <v>23920</v>
      </c>
      <c r="AO6" s="142">
        <f>SUM($C5:AN5)+AO7</f>
        <v>24950</v>
      </c>
      <c r="AP6" s="142">
        <f>SUM($C5:AO5)+AP7</f>
        <v>25980</v>
      </c>
      <c r="AQ6" s="142">
        <f>SUM($C5:AP5)+AQ7</f>
        <v>27010</v>
      </c>
      <c r="AR6" s="142">
        <f>SUM($C5:AQ5)+AR7</f>
        <v>28040</v>
      </c>
      <c r="AS6" s="142">
        <f>SUM($C5:AR5)+AS7</f>
        <v>29070</v>
      </c>
      <c r="AT6" s="142">
        <f>SUM($C5:AS5)+AT7</f>
        <v>30100</v>
      </c>
      <c r="AU6" s="142">
        <f>SUM($C5:AT5)+AU7</f>
        <v>31130</v>
      </c>
      <c r="AV6" s="142">
        <f>SUM($C5:AU5)+AV7</f>
        <v>32160</v>
      </c>
      <c r="AW6" s="142">
        <f>SUM($C5:AV5)+AW7</f>
        <v>33190</v>
      </c>
      <c r="AX6" s="142">
        <f>SUM($C5:AW5)+AX7</f>
        <v>34220</v>
      </c>
      <c r="AY6" s="142">
        <f>SUM($C5:AX5)+AY7</f>
        <v>35250</v>
      </c>
      <c r="AZ6" s="142">
        <f>SUM($C5:AY5)+AZ7</f>
        <v>36280</v>
      </c>
      <c r="BA6" s="142">
        <f>SUM($C5:AZ5)+BA7</f>
        <v>37310</v>
      </c>
      <c r="BB6" s="142">
        <f>SUM($C5:BA5)+BB7</f>
        <v>38340</v>
      </c>
      <c r="BC6" s="142">
        <f>SUM($C5:BB5)+BC7</f>
        <v>39370</v>
      </c>
      <c r="BD6" s="142">
        <f>SUM($C5:BC5)+BD7</f>
        <v>40400</v>
      </c>
      <c r="BE6" s="142">
        <f>SUM($C5:BD5)+BE7</f>
        <v>41430</v>
      </c>
      <c r="BF6" s="142">
        <f>SUM($C5:BE5)+BF7</f>
        <v>42460</v>
      </c>
      <c r="BG6" s="142">
        <f>SUM($C5:BF5)+BG7</f>
        <v>43490</v>
      </c>
      <c r="BH6" s="142">
        <f>SUM($C5:BG5)+BH7</f>
        <v>44520</v>
      </c>
      <c r="BI6" s="142">
        <f>SUM($C5:BH5)+BI7</f>
        <v>45550</v>
      </c>
      <c r="BJ6" s="142">
        <f>SUM($C5:BI5)+BJ7</f>
        <v>46580</v>
      </c>
      <c r="BK6" s="142">
        <f>SUM($C5:BJ5)+BK7</f>
        <v>47610</v>
      </c>
      <c r="BL6" s="142">
        <f>SUM($C5:BK5)+BL7</f>
        <v>48640</v>
      </c>
      <c r="BM6" s="142">
        <f>SUM($C5:BL5)+BM7</f>
        <v>49670</v>
      </c>
      <c r="BN6" s="142">
        <f>SUM($C5:BM5)+BN7</f>
        <v>50700</v>
      </c>
      <c r="BO6" s="142">
        <f>SUM($C5:BN5)+BO7</f>
        <v>51730</v>
      </c>
      <c r="BP6" s="142">
        <f>SUM($C5:BO5)+BP7</f>
        <v>52760</v>
      </c>
      <c r="BQ6" s="142">
        <f>SUM($C5:BP5)+BQ7</f>
        <v>53790</v>
      </c>
      <c r="BR6" s="142">
        <f>SUM($C5:BQ5)+BR7</f>
        <v>54820</v>
      </c>
      <c r="BS6" s="142">
        <f>SUM($C5:BR5)+BS7</f>
        <v>55850</v>
      </c>
      <c r="BT6" s="142">
        <f>SUM($C5:BS5)+BT7</f>
        <v>56880</v>
      </c>
      <c r="BU6" s="142">
        <f>SUM($C5:BT5)+BU7</f>
        <v>57910</v>
      </c>
      <c r="BV6" s="142">
        <f>SUM($C5:BU5)+BV7</f>
        <v>58940</v>
      </c>
      <c r="BW6" s="142">
        <f>SUM($C5:BV5)+BW7</f>
        <v>59970</v>
      </c>
    </row>
    <row r="7" spans="1:96" x14ac:dyDescent="0.45">
      <c r="B7" s="152" t="s">
        <v>121</v>
      </c>
      <c r="C7" s="24">
        <f>SUM(C21:C1048576)</f>
        <v>5000</v>
      </c>
      <c r="D7" s="24">
        <f t="shared" ref="D7:AM7" si="5">C7+SUM(D21:D55)</f>
        <v>5180</v>
      </c>
      <c r="E7" s="24">
        <f t="shared" si="5"/>
        <v>5300</v>
      </c>
      <c r="F7" s="24">
        <f t="shared" si="5"/>
        <v>5570</v>
      </c>
      <c r="G7" s="24">
        <f t="shared" si="5"/>
        <v>5840</v>
      </c>
      <c r="H7" s="24">
        <f t="shared" si="5"/>
        <v>6110</v>
      </c>
      <c r="I7" s="24">
        <f t="shared" si="5"/>
        <v>6380</v>
      </c>
      <c r="J7" s="24">
        <f t="shared" si="5"/>
        <v>6650</v>
      </c>
      <c r="K7" s="24">
        <f t="shared" si="5"/>
        <v>6920</v>
      </c>
      <c r="L7" s="24">
        <f t="shared" si="5"/>
        <v>7190</v>
      </c>
      <c r="M7" s="24">
        <f t="shared" si="5"/>
        <v>7460</v>
      </c>
      <c r="N7" s="24">
        <f t="shared" si="5"/>
        <v>7730</v>
      </c>
      <c r="O7" s="24">
        <f t="shared" si="5"/>
        <v>8000</v>
      </c>
      <c r="P7" s="24">
        <f t="shared" si="5"/>
        <v>7570</v>
      </c>
      <c r="Q7" s="24">
        <f t="shared" si="5"/>
        <v>7840</v>
      </c>
      <c r="R7" s="24">
        <f t="shared" si="5"/>
        <v>8110</v>
      </c>
      <c r="S7" s="24">
        <f t="shared" si="5"/>
        <v>8830</v>
      </c>
      <c r="T7" s="24">
        <f t="shared" si="5"/>
        <v>9100</v>
      </c>
      <c r="U7" s="24">
        <f t="shared" si="5"/>
        <v>9370</v>
      </c>
      <c r="V7" s="24">
        <f t="shared" si="5"/>
        <v>7590</v>
      </c>
      <c r="W7" s="24">
        <f t="shared" si="5"/>
        <v>7860</v>
      </c>
      <c r="X7" s="24">
        <f t="shared" si="5"/>
        <v>8130</v>
      </c>
      <c r="Y7" s="24">
        <f t="shared" si="5"/>
        <v>1540</v>
      </c>
      <c r="Z7" s="24">
        <f t="shared" si="5"/>
        <v>1810</v>
      </c>
      <c r="AA7" s="24">
        <f t="shared" si="5"/>
        <v>2080</v>
      </c>
      <c r="AB7" s="24">
        <f t="shared" si="5"/>
        <v>2350</v>
      </c>
      <c r="AC7" s="24">
        <f t="shared" si="5"/>
        <v>2620</v>
      </c>
      <c r="AD7" s="24">
        <f t="shared" si="5"/>
        <v>2890</v>
      </c>
      <c r="AE7" s="24">
        <f t="shared" si="5"/>
        <v>3560</v>
      </c>
      <c r="AF7" s="24">
        <f t="shared" si="5"/>
        <v>3830</v>
      </c>
      <c r="AG7" s="24">
        <f t="shared" si="5"/>
        <v>4100</v>
      </c>
      <c r="AH7" s="24">
        <f t="shared" si="5"/>
        <v>2280</v>
      </c>
      <c r="AI7" s="24">
        <f t="shared" si="5"/>
        <v>2460</v>
      </c>
      <c r="AJ7" s="24">
        <f t="shared" si="5"/>
        <v>2640</v>
      </c>
      <c r="AK7" s="24">
        <f t="shared" si="5"/>
        <v>2260</v>
      </c>
      <c r="AL7" s="24">
        <f t="shared" si="5"/>
        <v>3380</v>
      </c>
      <c r="AM7" s="24">
        <f t="shared" si="5"/>
        <v>4500</v>
      </c>
      <c r="AN7" s="24">
        <f t="shared" ref="AN7" si="6">AM7+SUM(AN21:AN55)</f>
        <v>5620</v>
      </c>
      <c r="AO7" s="24">
        <f t="shared" ref="AO7" si="7">AN7+SUM(AO21:AO55)</f>
        <v>6650</v>
      </c>
      <c r="AP7" s="24">
        <f t="shared" ref="AP7" si="8">AO7+SUM(AP21:AP55)</f>
        <v>7680</v>
      </c>
      <c r="AQ7" s="24">
        <f t="shared" ref="AQ7" si="9">AP7+SUM(AQ21:AQ55)</f>
        <v>8710</v>
      </c>
      <c r="AR7" s="24">
        <f t="shared" ref="AR7" si="10">AQ7+SUM(AR21:AR55)</f>
        <v>9740</v>
      </c>
      <c r="AS7" s="24">
        <f t="shared" ref="AS7" si="11">AR7+SUM(AS21:AS55)</f>
        <v>10770</v>
      </c>
      <c r="AT7" s="24">
        <f t="shared" ref="AT7" si="12">AS7+SUM(AT21:AT55)</f>
        <v>11800</v>
      </c>
      <c r="AU7" s="24">
        <f t="shared" ref="AU7" si="13">AT7+SUM(AU21:AU55)</f>
        <v>12830</v>
      </c>
      <c r="AV7" s="24">
        <f t="shared" ref="AV7" si="14">AU7+SUM(AV21:AV55)</f>
        <v>13860</v>
      </c>
      <c r="AW7" s="24">
        <f t="shared" ref="AW7" si="15">AV7+SUM(AW21:AW55)</f>
        <v>14890</v>
      </c>
      <c r="AX7" s="24">
        <f t="shared" ref="AX7" si="16">AW7+SUM(AX21:AX55)</f>
        <v>15920</v>
      </c>
      <c r="AY7" s="24">
        <f t="shared" ref="AY7" si="17">AX7+SUM(AY21:AY55)</f>
        <v>16950</v>
      </c>
      <c r="AZ7" s="24">
        <f t="shared" ref="AZ7" si="18">AY7+SUM(AZ21:AZ55)</f>
        <v>17980</v>
      </c>
      <c r="BA7" s="24">
        <f t="shared" ref="BA7" si="19">AZ7+SUM(BA21:BA55)</f>
        <v>19010</v>
      </c>
      <c r="BB7" s="24">
        <f t="shared" ref="BB7" si="20">BA7+SUM(BB21:BB55)</f>
        <v>20040</v>
      </c>
      <c r="BC7" s="24">
        <f t="shared" ref="BC7" si="21">BB7+SUM(BC21:BC55)</f>
        <v>21070</v>
      </c>
      <c r="BD7" s="24">
        <f t="shared" ref="BD7" si="22">BC7+SUM(BD21:BD55)</f>
        <v>22100</v>
      </c>
      <c r="BE7" s="24">
        <f t="shared" ref="BE7" si="23">BD7+SUM(BE21:BE55)</f>
        <v>23130</v>
      </c>
      <c r="BF7" s="24">
        <f t="shared" ref="BF7" si="24">BE7+SUM(BF21:BF55)</f>
        <v>24160</v>
      </c>
      <c r="BG7" s="24">
        <f t="shared" ref="BG7" si="25">BF7+SUM(BG21:BG55)</f>
        <v>25190</v>
      </c>
      <c r="BH7" s="24">
        <f t="shared" ref="BH7" si="26">BG7+SUM(BH21:BH55)</f>
        <v>26220</v>
      </c>
      <c r="BI7" s="24">
        <f t="shared" ref="BI7" si="27">BH7+SUM(BI21:BI55)</f>
        <v>27250</v>
      </c>
      <c r="BJ7" s="24">
        <f t="shared" ref="BJ7" si="28">BI7+SUM(BJ21:BJ55)</f>
        <v>28280</v>
      </c>
      <c r="BK7" s="24">
        <f t="shared" ref="BK7" si="29">BJ7+SUM(BK21:BK55)</f>
        <v>29310</v>
      </c>
      <c r="BL7" s="24">
        <f t="shared" ref="BL7" si="30">BK7+SUM(BL21:BL55)</f>
        <v>30340</v>
      </c>
      <c r="BM7" s="24">
        <f t="shared" ref="BM7" si="31">BL7+SUM(BM21:BM55)</f>
        <v>31370</v>
      </c>
      <c r="BN7" s="24">
        <f t="shared" ref="BN7" si="32">BM7+SUM(BN21:BN55)</f>
        <v>32400</v>
      </c>
      <c r="BO7" s="24">
        <f t="shared" ref="BO7" si="33">BN7+SUM(BO21:BO55)</f>
        <v>33430</v>
      </c>
      <c r="BP7" s="24">
        <f t="shared" ref="BP7" si="34">BO7+SUM(BP21:BP55)</f>
        <v>34460</v>
      </c>
      <c r="BQ7" s="24">
        <f t="shared" ref="BQ7" si="35">BP7+SUM(BQ21:BQ55)</f>
        <v>35490</v>
      </c>
      <c r="BR7" s="24">
        <f t="shared" ref="BR7" si="36">BQ7+SUM(BR21:BR55)</f>
        <v>36520</v>
      </c>
      <c r="BS7" s="24">
        <f t="shared" ref="BS7" si="37">BR7+SUM(BS21:BS55)</f>
        <v>37550</v>
      </c>
      <c r="BT7" s="24">
        <f t="shared" ref="BT7" si="38">BS7+SUM(BT21:BT55)</f>
        <v>38580</v>
      </c>
      <c r="BU7" s="24">
        <f t="shared" ref="BU7" si="39">BT7+SUM(BU21:BU55)</f>
        <v>39610</v>
      </c>
      <c r="BV7" s="24">
        <f t="shared" ref="BV7" si="40">BU7+SUM(BV21:BV55)</f>
        <v>40640</v>
      </c>
      <c r="BW7" s="24">
        <f t="shared" ref="BW7" si="41">BV7+SUM(BW21:BW55)</f>
        <v>41670</v>
      </c>
    </row>
    <row r="8" spans="1:96" s="145" customFormat="1" x14ac:dyDescent="0.45">
      <c r="A8" s="36"/>
      <c r="B8" s="152" t="s">
        <v>122</v>
      </c>
      <c r="C8" s="167"/>
      <c r="D8" s="144">
        <f>D7-C7</f>
        <v>180</v>
      </c>
      <c r="E8" s="144">
        <f t="shared" ref="E8:I8" si="42">E7-D7</f>
        <v>120</v>
      </c>
      <c r="F8" s="144">
        <f t="shared" si="42"/>
        <v>270</v>
      </c>
      <c r="G8" s="144">
        <f t="shared" si="42"/>
        <v>270</v>
      </c>
      <c r="H8" s="144">
        <f t="shared" si="42"/>
        <v>270</v>
      </c>
      <c r="I8" s="144">
        <f t="shared" si="42"/>
        <v>270</v>
      </c>
      <c r="J8" s="144">
        <f t="shared" ref="J8" si="43">J7-I7</f>
        <v>270</v>
      </c>
      <c r="K8" s="144">
        <f t="shared" ref="K8" si="44">K7-J7</f>
        <v>270</v>
      </c>
      <c r="L8" s="144">
        <f t="shared" ref="L8" si="45">L7-K7</f>
        <v>270</v>
      </c>
      <c r="M8" s="144">
        <f t="shared" ref="M8" si="46">M7-L7</f>
        <v>270</v>
      </c>
      <c r="N8" s="144">
        <f t="shared" ref="N8" si="47">N7-M7</f>
        <v>270</v>
      </c>
      <c r="O8" s="144">
        <f t="shared" ref="O8" si="48">O7-N7</f>
        <v>270</v>
      </c>
      <c r="P8" s="144">
        <f t="shared" ref="P8" si="49">P7-O7</f>
        <v>-430</v>
      </c>
      <c r="Q8" s="144">
        <f t="shared" ref="Q8" si="50">Q7-P7</f>
        <v>270</v>
      </c>
      <c r="R8" s="144">
        <f t="shared" ref="R8" si="51">R7-Q7</f>
        <v>270</v>
      </c>
      <c r="S8" s="144">
        <f t="shared" ref="S8" si="52">S7-R7</f>
        <v>720</v>
      </c>
      <c r="T8" s="144">
        <f t="shared" ref="T8" si="53">T7-S7</f>
        <v>270</v>
      </c>
      <c r="U8" s="144">
        <f t="shared" ref="U8" si="54">U7-T7</f>
        <v>270</v>
      </c>
      <c r="V8" s="144">
        <f t="shared" ref="V8" si="55">V7-U7</f>
        <v>-1780</v>
      </c>
      <c r="W8" s="144">
        <f t="shared" ref="W8" si="56">W7-V7</f>
        <v>270</v>
      </c>
      <c r="X8" s="144">
        <f t="shared" ref="X8" si="57">X7-W7</f>
        <v>270</v>
      </c>
      <c r="Y8" s="144">
        <f t="shared" ref="Y8" si="58">Y7-X7</f>
        <v>-6590</v>
      </c>
      <c r="Z8" s="144">
        <f t="shared" ref="Z8" si="59">Z7-Y7</f>
        <v>270</v>
      </c>
      <c r="AA8" s="144">
        <f t="shared" ref="AA8" si="60">AA7-Z7</f>
        <v>270</v>
      </c>
      <c r="AB8" s="144">
        <f t="shared" ref="AB8" si="61">AB7-AA7</f>
        <v>270</v>
      </c>
      <c r="AC8" s="144">
        <f t="shared" ref="AC8" si="62">AC7-AB7</f>
        <v>270</v>
      </c>
      <c r="AD8" s="144">
        <f t="shared" ref="AD8" si="63">AD7-AC7</f>
        <v>270</v>
      </c>
      <c r="AE8" s="144">
        <f t="shared" ref="AE8" si="64">AE7-AD7</f>
        <v>670</v>
      </c>
      <c r="AF8" s="144">
        <f t="shared" ref="AF8" si="65">AF7-AE7</f>
        <v>270</v>
      </c>
      <c r="AG8" s="144">
        <f t="shared" ref="AG8" si="66">AG7-AF7</f>
        <v>270</v>
      </c>
      <c r="AH8" s="144">
        <f t="shared" ref="AH8" si="67">AH7-AG7</f>
        <v>-1820</v>
      </c>
      <c r="AI8" s="144">
        <f t="shared" ref="AI8" si="68">AI7-AH7</f>
        <v>180</v>
      </c>
      <c r="AJ8" s="144">
        <f t="shared" ref="AJ8" si="69">AJ7-AI7</f>
        <v>180</v>
      </c>
      <c r="AK8" s="144">
        <f t="shared" ref="AK8" si="70">AK7-AJ7</f>
        <v>-380</v>
      </c>
      <c r="AL8" s="144">
        <f t="shared" ref="AL8" si="71">AL7-AK7</f>
        <v>1120</v>
      </c>
      <c r="AM8" s="144">
        <f t="shared" ref="AM8" si="72">AM7-AL7</f>
        <v>1120</v>
      </c>
      <c r="AN8" s="144">
        <f t="shared" ref="AN8" si="73">AN7-AM7</f>
        <v>1120</v>
      </c>
      <c r="AO8" s="144">
        <f t="shared" ref="AO8" si="74">AO7-AN7</f>
        <v>1030</v>
      </c>
      <c r="AP8" s="144">
        <f t="shared" ref="AP8" si="75">AP7-AO7</f>
        <v>1030</v>
      </c>
      <c r="AQ8" s="144">
        <f t="shared" ref="AQ8" si="76">AQ7-AP7</f>
        <v>1030</v>
      </c>
      <c r="AR8" s="144">
        <f t="shared" ref="AR8" si="77">AR7-AQ7</f>
        <v>1030</v>
      </c>
      <c r="AS8" s="144">
        <f t="shared" ref="AS8" si="78">AS7-AR7</f>
        <v>1030</v>
      </c>
      <c r="AT8" s="144">
        <f t="shared" ref="AT8" si="79">AT7-AS7</f>
        <v>1030</v>
      </c>
      <c r="AU8" s="144">
        <f t="shared" ref="AU8" si="80">AU7-AT7</f>
        <v>1030</v>
      </c>
      <c r="AV8" s="144">
        <f t="shared" ref="AV8" si="81">AV7-AU7</f>
        <v>1030</v>
      </c>
      <c r="AW8" s="144">
        <f t="shared" ref="AW8" si="82">AW7-AV7</f>
        <v>1030</v>
      </c>
      <c r="AX8" s="144">
        <f t="shared" ref="AX8" si="83">AX7-AW7</f>
        <v>1030</v>
      </c>
      <c r="AY8" s="144">
        <f t="shared" ref="AY8" si="84">AY7-AX7</f>
        <v>1030</v>
      </c>
      <c r="AZ8" s="144">
        <f t="shared" ref="AZ8" si="85">AZ7-AY7</f>
        <v>1030</v>
      </c>
      <c r="BA8" s="144">
        <f t="shared" ref="BA8" si="86">BA7-AZ7</f>
        <v>1030</v>
      </c>
      <c r="BB8" s="144">
        <f t="shared" ref="BB8" si="87">BB7-BA7</f>
        <v>1030</v>
      </c>
      <c r="BC8" s="144">
        <f t="shared" ref="BC8" si="88">BC7-BB7</f>
        <v>1030</v>
      </c>
      <c r="BD8" s="144">
        <f t="shared" ref="BD8" si="89">BD7-BC7</f>
        <v>1030</v>
      </c>
      <c r="BE8" s="144">
        <f t="shared" ref="BE8" si="90">BE7-BD7</f>
        <v>1030</v>
      </c>
      <c r="BF8" s="144">
        <f t="shared" ref="BF8" si="91">BF7-BE7</f>
        <v>1030</v>
      </c>
      <c r="BG8" s="144">
        <f t="shared" ref="BG8" si="92">BG7-BF7</f>
        <v>1030</v>
      </c>
      <c r="BH8" s="144">
        <f t="shared" ref="BH8" si="93">BH7-BG7</f>
        <v>1030</v>
      </c>
      <c r="BI8" s="144">
        <f t="shared" ref="BI8" si="94">BI7-BH7</f>
        <v>1030</v>
      </c>
      <c r="BJ8" s="144">
        <f t="shared" ref="BJ8" si="95">BJ7-BI7</f>
        <v>1030</v>
      </c>
      <c r="BK8" s="144">
        <f t="shared" ref="BK8" si="96">BK7-BJ7</f>
        <v>1030</v>
      </c>
      <c r="BL8" s="144">
        <f t="shared" ref="BL8" si="97">BL7-BK7</f>
        <v>1030</v>
      </c>
      <c r="BM8" s="144">
        <f t="shared" ref="BM8" si="98">BM7-BL7</f>
        <v>1030</v>
      </c>
      <c r="BN8" s="144">
        <f t="shared" ref="BN8" si="99">BN7-BM7</f>
        <v>1030</v>
      </c>
      <c r="BO8" s="144">
        <f t="shared" ref="BO8" si="100">BO7-BN7</f>
        <v>1030</v>
      </c>
      <c r="BP8" s="144">
        <f t="shared" ref="BP8" si="101">BP7-BO7</f>
        <v>1030</v>
      </c>
      <c r="BQ8" s="144">
        <f t="shared" ref="BQ8" si="102">BQ7-BP7</f>
        <v>1030</v>
      </c>
      <c r="BR8" s="144">
        <f t="shared" ref="BR8" si="103">BR7-BQ7</f>
        <v>1030</v>
      </c>
      <c r="BS8" s="144">
        <f t="shared" ref="BS8" si="104">BS7-BR7</f>
        <v>1030</v>
      </c>
      <c r="BT8" s="144">
        <f t="shared" ref="BT8" si="105">BT7-BS7</f>
        <v>1030</v>
      </c>
      <c r="BU8" s="144">
        <f t="shared" ref="BU8" si="106">BU7-BT7</f>
        <v>1030</v>
      </c>
      <c r="BV8" s="144">
        <f t="shared" ref="BV8" si="107">BV7-BU7</f>
        <v>1030</v>
      </c>
      <c r="BW8" s="144">
        <f t="shared" ref="BW8" si="108">BW7-BV7</f>
        <v>1030</v>
      </c>
    </row>
    <row r="9" spans="1:96" s="37" customFormat="1" ht="18" x14ac:dyDescent="0.55000000000000004">
      <c r="A9" s="199" t="s">
        <v>162</v>
      </c>
      <c r="B9" s="158" t="s">
        <v>120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>
        <v>50</v>
      </c>
      <c r="Z9" s="36">
        <v>50</v>
      </c>
      <c r="AA9" s="36">
        <v>50</v>
      </c>
      <c r="AB9" s="36">
        <v>50</v>
      </c>
      <c r="AC9" s="36">
        <v>50</v>
      </c>
      <c r="AD9" s="36">
        <v>50</v>
      </c>
      <c r="AE9" s="36">
        <v>50</v>
      </c>
      <c r="AF9" s="36">
        <v>50</v>
      </c>
      <c r="AG9" s="36">
        <v>50</v>
      </c>
      <c r="AH9" s="36">
        <v>50</v>
      </c>
      <c r="AI9" s="36">
        <v>50</v>
      </c>
      <c r="AJ9" s="36">
        <v>50</v>
      </c>
      <c r="AK9" s="36">
        <v>50</v>
      </c>
      <c r="AL9" s="36">
        <v>50</v>
      </c>
      <c r="AM9" s="36">
        <v>50</v>
      </c>
      <c r="AN9" s="36">
        <v>50</v>
      </c>
      <c r="AO9" s="36">
        <v>50</v>
      </c>
      <c r="AP9" s="36">
        <v>50</v>
      </c>
      <c r="AQ9" s="36">
        <v>50</v>
      </c>
      <c r="AR9" s="36">
        <v>50</v>
      </c>
      <c r="AS9" s="36">
        <v>50</v>
      </c>
      <c r="AT9" s="36">
        <v>50</v>
      </c>
      <c r="AU9" s="36">
        <v>50</v>
      </c>
      <c r="AV9" s="36">
        <v>50</v>
      </c>
      <c r="AW9" s="36">
        <v>50</v>
      </c>
      <c r="AX9" s="36">
        <v>50</v>
      </c>
      <c r="AY9" s="36">
        <v>50</v>
      </c>
      <c r="AZ9" s="36">
        <v>50</v>
      </c>
      <c r="BA9" s="36">
        <v>50</v>
      </c>
      <c r="BB9" s="36">
        <v>50</v>
      </c>
      <c r="BC9" s="36">
        <v>50</v>
      </c>
      <c r="BD9" s="36">
        <v>50</v>
      </c>
      <c r="BE9" s="36">
        <v>50</v>
      </c>
      <c r="BF9" s="36">
        <v>50</v>
      </c>
      <c r="BG9" s="36">
        <v>50</v>
      </c>
      <c r="BH9" s="36">
        <v>50</v>
      </c>
      <c r="BI9" s="36">
        <v>50</v>
      </c>
      <c r="BJ9" s="36">
        <v>50</v>
      </c>
      <c r="BK9" s="36">
        <v>50</v>
      </c>
      <c r="BL9" s="36">
        <v>50</v>
      </c>
      <c r="BM9" s="36">
        <v>50</v>
      </c>
      <c r="BN9" s="36">
        <v>50</v>
      </c>
      <c r="BO9" s="36">
        <v>50</v>
      </c>
      <c r="BP9" s="36">
        <v>50</v>
      </c>
      <c r="BQ9" s="36">
        <v>50</v>
      </c>
      <c r="BR9" s="36">
        <v>50</v>
      </c>
      <c r="BS9" s="36">
        <v>50</v>
      </c>
      <c r="BT9" s="36">
        <v>50</v>
      </c>
      <c r="BU9" s="36">
        <v>50</v>
      </c>
      <c r="BV9" s="36">
        <v>50</v>
      </c>
      <c r="BW9" s="36">
        <v>50</v>
      </c>
    </row>
    <row r="10" spans="1:96" s="52" customFormat="1" ht="18" x14ac:dyDescent="0.55000000000000004">
      <c r="A10" s="200" t="s">
        <v>178</v>
      </c>
      <c r="B10" s="159" t="s">
        <v>177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52">
        <f t="shared" ref="Y10:BW10" si="109">-Y9*$A$58</f>
        <v>-25</v>
      </c>
      <c r="Z10" s="52">
        <f t="shared" si="109"/>
        <v>-25</v>
      </c>
      <c r="AA10" s="52">
        <f t="shared" si="109"/>
        <v>-25</v>
      </c>
      <c r="AB10" s="52">
        <f t="shared" si="109"/>
        <v>-25</v>
      </c>
      <c r="AC10" s="52">
        <f t="shared" si="109"/>
        <v>-25</v>
      </c>
      <c r="AD10" s="52">
        <f t="shared" si="109"/>
        <v>-25</v>
      </c>
      <c r="AE10" s="52">
        <f t="shared" si="109"/>
        <v>-25</v>
      </c>
      <c r="AF10" s="52">
        <f t="shared" si="109"/>
        <v>-25</v>
      </c>
      <c r="AG10" s="52">
        <f t="shared" si="109"/>
        <v>-25</v>
      </c>
      <c r="AH10" s="52">
        <f t="shared" si="109"/>
        <v>-25</v>
      </c>
      <c r="AI10" s="52">
        <f t="shared" si="109"/>
        <v>-25</v>
      </c>
      <c r="AJ10" s="52">
        <f t="shared" si="109"/>
        <v>-25</v>
      </c>
      <c r="AK10" s="52">
        <f t="shared" si="109"/>
        <v>-25</v>
      </c>
      <c r="AL10" s="52">
        <f t="shared" si="109"/>
        <v>-25</v>
      </c>
      <c r="AM10" s="52">
        <f t="shared" si="109"/>
        <v>-25</v>
      </c>
      <c r="AN10" s="52">
        <f t="shared" si="109"/>
        <v>-25</v>
      </c>
      <c r="AO10" s="52">
        <f t="shared" si="109"/>
        <v>-25</v>
      </c>
      <c r="AP10" s="52">
        <f t="shared" si="109"/>
        <v>-25</v>
      </c>
      <c r="AQ10" s="52">
        <f t="shared" si="109"/>
        <v>-25</v>
      </c>
      <c r="AR10" s="52">
        <f t="shared" si="109"/>
        <v>-25</v>
      </c>
      <c r="AS10" s="52">
        <f t="shared" si="109"/>
        <v>-25</v>
      </c>
      <c r="AT10" s="52">
        <f t="shared" si="109"/>
        <v>-25</v>
      </c>
      <c r="AU10" s="52">
        <f t="shared" si="109"/>
        <v>-25</v>
      </c>
      <c r="AV10" s="52">
        <f t="shared" si="109"/>
        <v>-25</v>
      </c>
      <c r="AW10" s="52">
        <f t="shared" si="109"/>
        <v>-25</v>
      </c>
      <c r="AX10" s="52">
        <f t="shared" si="109"/>
        <v>-25</v>
      </c>
      <c r="AY10" s="52">
        <f t="shared" si="109"/>
        <v>-25</v>
      </c>
      <c r="AZ10" s="52">
        <f t="shared" si="109"/>
        <v>-25</v>
      </c>
      <c r="BA10" s="52">
        <f t="shared" si="109"/>
        <v>-25</v>
      </c>
      <c r="BB10" s="52">
        <f t="shared" si="109"/>
        <v>-25</v>
      </c>
      <c r="BC10" s="52">
        <f t="shared" si="109"/>
        <v>-25</v>
      </c>
      <c r="BD10" s="52">
        <f t="shared" si="109"/>
        <v>-25</v>
      </c>
      <c r="BE10" s="52">
        <f t="shared" si="109"/>
        <v>-25</v>
      </c>
      <c r="BF10" s="52">
        <f t="shared" si="109"/>
        <v>-25</v>
      </c>
      <c r="BG10" s="52">
        <f t="shared" si="109"/>
        <v>-25</v>
      </c>
      <c r="BH10" s="52">
        <f t="shared" si="109"/>
        <v>-25</v>
      </c>
      <c r="BI10" s="52">
        <f t="shared" si="109"/>
        <v>-25</v>
      </c>
      <c r="BJ10" s="52">
        <f t="shared" si="109"/>
        <v>-25</v>
      </c>
      <c r="BK10" s="52">
        <f t="shared" si="109"/>
        <v>-25</v>
      </c>
      <c r="BL10" s="52">
        <f t="shared" si="109"/>
        <v>-25</v>
      </c>
      <c r="BM10" s="52">
        <f t="shared" si="109"/>
        <v>-25</v>
      </c>
      <c r="BN10" s="52">
        <f t="shared" si="109"/>
        <v>-25</v>
      </c>
      <c r="BO10" s="52">
        <f t="shared" si="109"/>
        <v>-25</v>
      </c>
      <c r="BP10" s="52">
        <f t="shared" si="109"/>
        <v>-25</v>
      </c>
      <c r="BQ10" s="52">
        <f t="shared" si="109"/>
        <v>-25</v>
      </c>
      <c r="BR10" s="52">
        <f t="shared" si="109"/>
        <v>-25</v>
      </c>
      <c r="BS10" s="52">
        <f t="shared" si="109"/>
        <v>-25</v>
      </c>
      <c r="BT10" s="52">
        <f t="shared" si="109"/>
        <v>-25</v>
      </c>
      <c r="BU10" s="52">
        <f t="shared" si="109"/>
        <v>-25</v>
      </c>
      <c r="BV10" s="52">
        <f t="shared" si="109"/>
        <v>-25</v>
      </c>
      <c r="BW10" s="52">
        <f t="shared" si="109"/>
        <v>-25</v>
      </c>
    </row>
    <row r="11" spans="1:96" ht="18" x14ac:dyDescent="0.55000000000000004">
      <c r="A11" s="199" t="s">
        <v>268</v>
      </c>
      <c r="B11" s="158" t="s">
        <v>282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>
        <v>1</v>
      </c>
      <c r="AI11" s="83">
        <v>1</v>
      </c>
      <c r="AJ11" s="83">
        <v>1</v>
      </c>
      <c r="AK11" s="83">
        <v>1</v>
      </c>
      <c r="AL11" s="83">
        <v>1</v>
      </c>
      <c r="AM11" s="83">
        <v>1</v>
      </c>
      <c r="AN11" s="83">
        <v>1</v>
      </c>
      <c r="AO11" s="83">
        <v>1</v>
      </c>
      <c r="AP11" s="83">
        <v>1</v>
      </c>
      <c r="AQ11" s="83">
        <v>1</v>
      </c>
      <c r="AR11" s="83">
        <v>1</v>
      </c>
      <c r="AS11" s="83">
        <v>1</v>
      </c>
      <c r="AT11" s="83">
        <v>1</v>
      </c>
      <c r="AU11" s="83">
        <v>1</v>
      </c>
      <c r="AV11" s="83">
        <v>1</v>
      </c>
      <c r="AW11" s="83">
        <v>1</v>
      </c>
      <c r="AX11" s="83">
        <v>1</v>
      </c>
      <c r="AY11" s="83">
        <v>1</v>
      </c>
      <c r="AZ11" s="83">
        <v>1</v>
      </c>
      <c r="BA11" s="83">
        <v>1</v>
      </c>
      <c r="BB11" s="83">
        <v>1</v>
      </c>
      <c r="BC11" s="83">
        <v>1</v>
      </c>
      <c r="BD11" s="83">
        <v>1</v>
      </c>
      <c r="BE11" s="83">
        <v>1</v>
      </c>
      <c r="BF11" s="83">
        <v>1</v>
      </c>
      <c r="BG11" s="83">
        <v>1</v>
      </c>
      <c r="BH11" s="83">
        <v>1</v>
      </c>
      <c r="BI11" s="83">
        <v>1</v>
      </c>
      <c r="BJ11" s="83">
        <v>1</v>
      </c>
      <c r="BK11" s="83">
        <v>1</v>
      </c>
      <c r="BL11" s="83">
        <v>1</v>
      </c>
      <c r="BM11" s="83">
        <v>1</v>
      </c>
      <c r="BN11" s="83">
        <v>1</v>
      </c>
      <c r="BO11" s="83">
        <v>1</v>
      </c>
      <c r="BP11" s="83">
        <v>1</v>
      </c>
      <c r="BQ11" s="83">
        <v>1</v>
      </c>
      <c r="BR11" s="83">
        <v>1</v>
      </c>
      <c r="BS11" s="83">
        <v>1</v>
      </c>
      <c r="BT11" s="83">
        <v>1</v>
      </c>
      <c r="BU11" s="83">
        <v>1</v>
      </c>
      <c r="BV11" s="83">
        <v>1</v>
      </c>
      <c r="BW11" s="83">
        <v>1</v>
      </c>
    </row>
    <row r="12" spans="1:96" ht="18" x14ac:dyDescent="0.55000000000000004">
      <c r="A12" s="200"/>
      <c r="B12" s="159" t="s">
        <v>277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</row>
    <row r="13" spans="1:96" s="145" customFormat="1" ht="18" x14ac:dyDescent="0.55000000000000004">
      <c r="A13" s="201"/>
      <c r="B13" s="160" t="s">
        <v>278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>
        <v>4</v>
      </c>
      <c r="Z13" s="146">
        <v>4</v>
      </c>
      <c r="AA13" s="146">
        <v>4</v>
      </c>
      <c r="AB13" s="146">
        <v>4</v>
      </c>
      <c r="AC13" s="146">
        <v>4</v>
      </c>
      <c r="AD13" s="146">
        <v>4</v>
      </c>
      <c r="AE13" s="146">
        <v>4</v>
      </c>
      <c r="AF13" s="146">
        <v>4</v>
      </c>
      <c r="AG13" s="146">
        <v>4</v>
      </c>
      <c r="AH13" s="146">
        <v>4</v>
      </c>
      <c r="AI13" s="146">
        <v>4</v>
      </c>
      <c r="AJ13" s="146">
        <v>4</v>
      </c>
      <c r="AK13" s="146">
        <v>4</v>
      </c>
      <c r="AL13" s="146">
        <v>4</v>
      </c>
      <c r="AM13" s="146">
        <v>4</v>
      </c>
      <c r="AN13" s="146">
        <v>4</v>
      </c>
      <c r="AO13" s="146">
        <v>4</v>
      </c>
      <c r="AP13" s="146">
        <v>4</v>
      </c>
      <c r="AQ13" s="146">
        <v>4</v>
      </c>
      <c r="AR13" s="146">
        <v>4</v>
      </c>
      <c r="AS13" s="146">
        <v>4</v>
      </c>
      <c r="AT13" s="146">
        <v>4</v>
      </c>
      <c r="AU13" s="146">
        <v>4</v>
      </c>
      <c r="AV13" s="146">
        <v>4</v>
      </c>
      <c r="AW13" s="146">
        <v>4</v>
      </c>
      <c r="AX13" s="146">
        <v>4</v>
      </c>
      <c r="AY13" s="146">
        <v>4</v>
      </c>
      <c r="AZ13" s="146">
        <v>4</v>
      </c>
      <c r="BA13" s="146">
        <v>4</v>
      </c>
      <c r="BB13" s="146">
        <v>4</v>
      </c>
      <c r="BC13" s="146">
        <v>4</v>
      </c>
      <c r="BD13" s="146">
        <v>4</v>
      </c>
      <c r="BE13" s="146">
        <v>4</v>
      </c>
      <c r="BF13" s="146">
        <v>4</v>
      </c>
      <c r="BG13" s="146">
        <v>4</v>
      </c>
      <c r="BH13" s="146">
        <v>4</v>
      </c>
      <c r="BI13" s="146">
        <v>4</v>
      </c>
      <c r="BJ13" s="146">
        <v>4</v>
      </c>
      <c r="BK13" s="146">
        <v>4</v>
      </c>
      <c r="BL13" s="146">
        <v>4</v>
      </c>
      <c r="BM13" s="146">
        <v>4</v>
      </c>
      <c r="BN13" s="146">
        <v>4</v>
      </c>
      <c r="BO13" s="146">
        <v>4</v>
      </c>
      <c r="BP13" s="146">
        <v>4</v>
      </c>
      <c r="BQ13" s="146">
        <v>4</v>
      </c>
      <c r="BR13" s="146">
        <v>4</v>
      </c>
      <c r="BS13" s="146">
        <v>4</v>
      </c>
      <c r="BT13" s="146">
        <v>4</v>
      </c>
      <c r="BU13" s="146">
        <v>4</v>
      </c>
      <c r="BV13" s="146">
        <v>4</v>
      </c>
      <c r="BW13" s="146">
        <v>4</v>
      </c>
    </row>
    <row r="14" spans="1:96" s="37" customFormat="1" ht="18" x14ac:dyDescent="0.55000000000000004">
      <c r="A14" s="199" t="s">
        <v>363</v>
      </c>
      <c r="B14" s="158" t="s">
        <v>362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7">
        <f t="shared" ref="Y14:AM14" si="110">Y11*$A$65+Y12*$A$66+Y13*$A$67</f>
        <v>100</v>
      </c>
      <c r="Z14" s="37">
        <f t="shared" si="110"/>
        <v>100</v>
      </c>
      <c r="AA14" s="37">
        <f t="shared" si="110"/>
        <v>100</v>
      </c>
      <c r="AB14" s="37">
        <f t="shared" si="110"/>
        <v>100</v>
      </c>
      <c r="AC14" s="37">
        <f t="shared" si="110"/>
        <v>100</v>
      </c>
      <c r="AD14" s="37">
        <f t="shared" si="110"/>
        <v>100</v>
      </c>
      <c r="AE14" s="37">
        <f t="shared" si="110"/>
        <v>100</v>
      </c>
      <c r="AF14" s="37">
        <f t="shared" si="110"/>
        <v>100</v>
      </c>
      <c r="AG14" s="37">
        <f t="shared" si="110"/>
        <v>100</v>
      </c>
      <c r="AH14" s="37">
        <f t="shared" si="110"/>
        <v>250</v>
      </c>
      <c r="AI14" s="37">
        <f t="shared" si="110"/>
        <v>250</v>
      </c>
      <c r="AJ14" s="37">
        <f t="shared" si="110"/>
        <v>250</v>
      </c>
      <c r="AK14" s="37">
        <f t="shared" si="110"/>
        <v>250</v>
      </c>
      <c r="AL14" s="37">
        <f t="shared" si="110"/>
        <v>250</v>
      </c>
      <c r="AM14" s="37">
        <f t="shared" si="110"/>
        <v>250</v>
      </c>
      <c r="AN14" s="37">
        <f t="shared" ref="AN14:AP14" si="111">AN11*$A$65+AN12*$A$66+AN13*$A$67</f>
        <v>250</v>
      </c>
      <c r="AO14" s="37">
        <f t="shared" si="111"/>
        <v>250</v>
      </c>
      <c r="AP14" s="37">
        <f t="shared" si="111"/>
        <v>250</v>
      </c>
      <c r="AQ14" s="37">
        <f t="shared" ref="AQ14:BW14" si="112">AQ11*$A$65+AQ12*$A$66+AQ13*$A$67</f>
        <v>250</v>
      </c>
      <c r="AR14" s="37">
        <f t="shared" si="112"/>
        <v>250</v>
      </c>
      <c r="AS14" s="37">
        <f t="shared" si="112"/>
        <v>250</v>
      </c>
      <c r="AT14" s="37">
        <f t="shared" si="112"/>
        <v>250</v>
      </c>
      <c r="AU14" s="37">
        <f t="shared" si="112"/>
        <v>250</v>
      </c>
      <c r="AV14" s="37">
        <f t="shared" si="112"/>
        <v>250</v>
      </c>
      <c r="AW14" s="37">
        <f t="shared" si="112"/>
        <v>250</v>
      </c>
      <c r="AX14" s="37">
        <f t="shared" si="112"/>
        <v>250</v>
      </c>
      <c r="AY14" s="37">
        <f t="shared" si="112"/>
        <v>250</v>
      </c>
      <c r="AZ14" s="37">
        <f t="shared" si="112"/>
        <v>250</v>
      </c>
      <c r="BA14" s="37">
        <f t="shared" si="112"/>
        <v>250</v>
      </c>
      <c r="BB14" s="37">
        <f t="shared" si="112"/>
        <v>250</v>
      </c>
      <c r="BC14" s="37">
        <f t="shared" si="112"/>
        <v>250</v>
      </c>
      <c r="BD14" s="37">
        <f t="shared" si="112"/>
        <v>250</v>
      </c>
      <c r="BE14" s="37">
        <f t="shared" si="112"/>
        <v>250</v>
      </c>
      <c r="BF14" s="37">
        <f t="shared" si="112"/>
        <v>250</v>
      </c>
      <c r="BG14" s="37">
        <f t="shared" si="112"/>
        <v>250</v>
      </c>
      <c r="BH14" s="37">
        <f t="shared" si="112"/>
        <v>250</v>
      </c>
      <c r="BI14" s="37">
        <f t="shared" si="112"/>
        <v>250</v>
      </c>
      <c r="BJ14" s="37">
        <f t="shared" si="112"/>
        <v>250</v>
      </c>
      <c r="BK14" s="37">
        <f t="shared" si="112"/>
        <v>250</v>
      </c>
      <c r="BL14" s="37">
        <f t="shared" si="112"/>
        <v>250</v>
      </c>
      <c r="BM14" s="37">
        <f t="shared" si="112"/>
        <v>250</v>
      </c>
      <c r="BN14" s="37">
        <f t="shared" si="112"/>
        <v>250</v>
      </c>
      <c r="BO14" s="37">
        <f t="shared" si="112"/>
        <v>250</v>
      </c>
      <c r="BP14" s="37">
        <f t="shared" si="112"/>
        <v>250</v>
      </c>
      <c r="BQ14" s="37">
        <f t="shared" si="112"/>
        <v>250</v>
      </c>
      <c r="BR14" s="37">
        <f t="shared" si="112"/>
        <v>250</v>
      </c>
      <c r="BS14" s="37">
        <f t="shared" si="112"/>
        <v>250</v>
      </c>
      <c r="BT14" s="37">
        <f t="shared" si="112"/>
        <v>250</v>
      </c>
      <c r="BU14" s="37">
        <f t="shared" si="112"/>
        <v>250</v>
      </c>
      <c r="BV14" s="37">
        <f t="shared" si="112"/>
        <v>250</v>
      </c>
      <c r="BW14" s="37">
        <f t="shared" si="112"/>
        <v>250</v>
      </c>
    </row>
    <row r="15" spans="1:96" s="37" customFormat="1" x14ac:dyDescent="0.45">
      <c r="A15" s="161"/>
      <c r="B15" s="159" t="s">
        <v>364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7">
        <v>450</v>
      </c>
      <c r="Z15" s="37">
        <f>Y15-5</f>
        <v>445</v>
      </c>
      <c r="AA15" s="37">
        <f t="shared" ref="AA15:AJ15" si="113">Z15-5</f>
        <v>440</v>
      </c>
      <c r="AB15" s="37">
        <f t="shared" si="113"/>
        <v>435</v>
      </c>
      <c r="AC15" s="37">
        <f t="shared" si="113"/>
        <v>430</v>
      </c>
      <c r="AD15" s="37">
        <f t="shared" si="113"/>
        <v>425</v>
      </c>
      <c r="AE15" s="37">
        <f t="shared" si="113"/>
        <v>420</v>
      </c>
      <c r="AF15" s="37">
        <f t="shared" si="113"/>
        <v>415</v>
      </c>
      <c r="AG15" s="37">
        <f t="shared" si="113"/>
        <v>410</v>
      </c>
      <c r="AH15" s="37">
        <f t="shared" si="113"/>
        <v>405</v>
      </c>
      <c r="AI15" s="37">
        <f t="shared" si="113"/>
        <v>400</v>
      </c>
      <c r="AJ15" s="37">
        <f t="shared" si="113"/>
        <v>395</v>
      </c>
      <c r="AK15" s="37">
        <f t="shared" ref="AK15" si="114">AJ15-5</f>
        <v>390</v>
      </c>
      <c r="AL15" s="37">
        <f t="shared" ref="AL15" si="115">AK15-5</f>
        <v>385</v>
      </c>
      <c r="AM15" s="37">
        <f t="shared" ref="AM15" si="116">AL15-5</f>
        <v>380</v>
      </c>
      <c r="AN15" s="37">
        <f t="shared" ref="AN15" si="117">AM15-5</f>
        <v>375</v>
      </c>
      <c r="AO15" s="37">
        <f t="shared" ref="AO15" si="118">AN15-5</f>
        <v>370</v>
      </c>
      <c r="AP15" s="37">
        <f t="shared" ref="AP15" si="119">AO15-5</f>
        <v>365</v>
      </c>
      <c r="AQ15" s="37">
        <f t="shared" ref="AQ15" si="120">AP15-5</f>
        <v>360</v>
      </c>
      <c r="AR15" s="37">
        <f t="shared" ref="AR15" si="121">AQ15-5</f>
        <v>355</v>
      </c>
      <c r="AS15" s="37">
        <f t="shared" ref="AS15" si="122">AR15-5</f>
        <v>350</v>
      </c>
      <c r="AT15" s="37">
        <f t="shared" ref="AT15" si="123">AS15-5</f>
        <v>345</v>
      </c>
      <c r="AU15" s="37">
        <f t="shared" ref="AU15" si="124">AT15-5</f>
        <v>340</v>
      </c>
      <c r="AV15" s="37">
        <f t="shared" ref="AV15" si="125">AU15-5</f>
        <v>335</v>
      </c>
      <c r="AW15" s="37">
        <f t="shared" ref="AW15" si="126">AV15-5</f>
        <v>330</v>
      </c>
      <c r="AX15" s="37">
        <f t="shared" ref="AX15" si="127">AW15-5</f>
        <v>325</v>
      </c>
      <c r="AY15" s="37">
        <f t="shared" ref="AY15" si="128">AX15-5</f>
        <v>320</v>
      </c>
      <c r="AZ15" s="37">
        <f t="shared" ref="AZ15" si="129">AY15-5</f>
        <v>315</v>
      </c>
      <c r="BA15" s="37">
        <f t="shared" ref="BA15" si="130">AZ15-5</f>
        <v>310</v>
      </c>
      <c r="BB15" s="37">
        <f t="shared" ref="BB15" si="131">BA15-5</f>
        <v>305</v>
      </c>
      <c r="BC15" s="37">
        <f t="shared" ref="BC15" si="132">BB15-5</f>
        <v>300</v>
      </c>
      <c r="BD15" s="37">
        <f t="shared" ref="BD15" si="133">BC15-5</f>
        <v>295</v>
      </c>
      <c r="BE15" s="37">
        <f t="shared" ref="BE15" si="134">BD15-5</f>
        <v>290</v>
      </c>
      <c r="BF15" s="37">
        <f t="shared" ref="BF15" si="135">BE15-5</f>
        <v>285</v>
      </c>
      <c r="BG15" s="37">
        <f t="shared" ref="BG15" si="136">BF15-5</f>
        <v>280</v>
      </c>
      <c r="BH15" s="37">
        <f t="shared" ref="BH15" si="137">BG15-5</f>
        <v>275</v>
      </c>
      <c r="BI15" s="37">
        <f t="shared" ref="BI15" si="138">BH15-5</f>
        <v>270</v>
      </c>
      <c r="BJ15" s="37">
        <f t="shared" ref="BJ15" si="139">BI15-5</f>
        <v>265</v>
      </c>
      <c r="BK15" s="37">
        <f t="shared" ref="BK15" si="140">BJ15-5</f>
        <v>260</v>
      </c>
      <c r="BL15" s="37">
        <f t="shared" ref="BL15" si="141">BK15-5</f>
        <v>255</v>
      </c>
      <c r="BM15" s="37">
        <f t="shared" ref="BM15" si="142">BL15-5</f>
        <v>250</v>
      </c>
      <c r="BN15" s="37">
        <f t="shared" ref="BN15" si="143">BM15-5</f>
        <v>245</v>
      </c>
      <c r="BO15" s="37">
        <f t="shared" ref="BO15" si="144">BN15-5</f>
        <v>240</v>
      </c>
      <c r="BP15" s="37">
        <f t="shared" ref="BP15" si="145">BO15-5</f>
        <v>235</v>
      </c>
      <c r="BQ15" s="37">
        <f t="shared" ref="BQ15" si="146">BP15-5</f>
        <v>230</v>
      </c>
      <c r="BR15" s="37">
        <f t="shared" ref="BR15" si="147">BQ15-5</f>
        <v>225</v>
      </c>
      <c r="BS15" s="37">
        <f t="shared" ref="BS15" si="148">BR15-5</f>
        <v>220</v>
      </c>
      <c r="BT15" s="37">
        <f t="shared" ref="BT15" si="149">BS15-5</f>
        <v>215</v>
      </c>
      <c r="BU15" s="37">
        <f t="shared" ref="BU15" si="150">BT15-5</f>
        <v>210</v>
      </c>
      <c r="BV15" s="37">
        <f t="shared" ref="BV15" si="151">BU15-5</f>
        <v>205</v>
      </c>
      <c r="BW15" s="37">
        <f t="shared" ref="BW15" si="152">BV15-5</f>
        <v>200</v>
      </c>
    </row>
    <row r="16" spans="1:96" s="37" customFormat="1" x14ac:dyDescent="0.45">
      <c r="A16" s="161"/>
      <c r="B16" s="159" t="s">
        <v>288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7">
        <f t="shared" ref="Y16:AM16" si="153">-(20*Y13+50*Y12+100*Y11)</f>
        <v>-80</v>
      </c>
      <c r="Z16" s="37">
        <f t="shared" si="153"/>
        <v>-80</v>
      </c>
      <c r="AA16" s="37">
        <f t="shared" si="153"/>
        <v>-80</v>
      </c>
      <c r="AB16" s="37">
        <f t="shared" si="153"/>
        <v>-80</v>
      </c>
      <c r="AC16" s="37">
        <f t="shared" si="153"/>
        <v>-80</v>
      </c>
      <c r="AD16" s="37">
        <f t="shared" si="153"/>
        <v>-80</v>
      </c>
      <c r="AE16" s="37">
        <f t="shared" si="153"/>
        <v>-80</v>
      </c>
      <c r="AF16" s="37">
        <f t="shared" si="153"/>
        <v>-80</v>
      </c>
      <c r="AG16" s="37">
        <f t="shared" si="153"/>
        <v>-80</v>
      </c>
      <c r="AH16" s="37">
        <f t="shared" si="153"/>
        <v>-180</v>
      </c>
      <c r="AI16" s="37">
        <f t="shared" si="153"/>
        <v>-180</v>
      </c>
      <c r="AJ16" s="37">
        <f t="shared" si="153"/>
        <v>-180</v>
      </c>
      <c r="AK16" s="37">
        <f t="shared" si="153"/>
        <v>-180</v>
      </c>
      <c r="AL16" s="37">
        <f t="shared" si="153"/>
        <v>-180</v>
      </c>
      <c r="AM16" s="37">
        <f t="shared" si="153"/>
        <v>-180</v>
      </c>
      <c r="AN16" s="37">
        <f t="shared" ref="AN16:AP16" si="154">-(20*AN13+50*AN12+100*AN11)</f>
        <v>-180</v>
      </c>
      <c r="AO16" s="37">
        <f t="shared" si="154"/>
        <v>-180</v>
      </c>
      <c r="AP16" s="37">
        <f t="shared" si="154"/>
        <v>-180</v>
      </c>
      <c r="AQ16" s="37">
        <f t="shared" ref="AQ16:BW16" si="155">-(20*AQ13+50*AQ12+100*AQ11)</f>
        <v>-180</v>
      </c>
      <c r="AR16" s="37">
        <f t="shared" si="155"/>
        <v>-180</v>
      </c>
      <c r="AS16" s="37">
        <f t="shared" si="155"/>
        <v>-180</v>
      </c>
      <c r="AT16" s="37">
        <f t="shared" si="155"/>
        <v>-180</v>
      </c>
      <c r="AU16" s="37">
        <f t="shared" si="155"/>
        <v>-180</v>
      </c>
      <c r="AV16" s="37">
        <f t="shared" si="155"/>
        <v>-180</v>
      </c>
      <c r="AW16" s="37">
        <f t="shared" si="155"/>
        <v>-180</v>
      </c>
      <c r="AX16" s="37">
        <f t="shared" si="155"/>
        <v>-180</v>
      </c>
      <c r="AY16" s="37">
        <f t="shared" si="155"/>
        <v>-180</v>
      </c>
      <c r="AZ16" s="37">
        <f t="shared" si="155"/>
        <v>-180</v>
      </c>
      <c r="BA16" s="37">
        <f t="shared" si="155"/>
        <v>-180</v>
      </c>
      <c r="BB16" s="37">
        <f t="shared" si="155"/>
        <v>-180</v>
      </c>
      <c r="BC16" s="37">
        <f t="shared" si="155"/>
        <v>-180</v>
      </c>
      <c r="BD16" s="37">
        <f t="shared" si="155"/>
        <v>-180</v>
      </c>
      <c r="BE16" s="37">
        <f t="shared" si="155"/>
        <v>-180</v>
      </c>
      <c r="BF16" s="37">
        <f t="shared" si="155"/>
        <v>-180</v>
      </c>
      <c r="BG16" s="37">
        <f t="shared" si="155"/>
        <v>-180</v>
      </c>
      <c r="BH16" s="37">
        <f t="shared" si="155"/>
        <v>-180</v>
      </c>
      <c r="BI16" s="37">
        <f t="shared" si="155"/>
        <v>-180</v>
      </c>
      <c r="BJ16" s="37">
        <f t="shared" si="155"/>
        <v>-180</v>
      </c>
      <c r="BK16" s="37">
        <f t="shared" si="155"/>
        <v>-180</v>
      </c>
      <c r="BL16" s="37">
        <f t="shared" si="155"/>
        <v>-180</v>
      </c>
      <c r="BM16" s="37">
        <f t="shared" si="155"/>
        <v>-180</v>
      </c>
      <c r="BN16" s="37">
        <f t="shared" si="155"/>
        <v>-180</v>
      </c>
      <c r="BO16" s="37">
        <f t="shared" si="155"/>
        <v>-180</v>
      </c>
      <c r="BP16" s="37">
        <f t="shared" si="155"/>
        <v>-180</v>
      </c>
      <c r="BQ16" s="37">
        <f t="shared" si="155"/>
        <v>-180</v>
      </c>
      <c r="BR16" s="37">
        <f t="shared" si="155"/>
        <v>-180</v>
      </c>
      <c r="BS16" s="37">
        <f t="shared" si="155"/>
        <v>-180</v>
      </c>
      <c r="BT16" s="37">
        <f t="shared" si="155"/>
        <v>-180</v>
      </c>
      <c r="BU16" s="37">
        <f t="shared" si="155"/>
        <v>-180</v>
      </c>
      <c r="BV16" s="37">
        <f t="shared" si="155"/>
        <v>-180</v>
      </c>
      <c r="BW16" s="37">
        <f t="shared" si="155"/>
        <v>-180</v>
      </c>
    </row>
    <row r="17" spans="1:75" s="37" customFormat="1" x14ac:dyDescent="0.45">
      <c r="A17" s="161"/>
      <c r="B17" s="159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 t="s">
        <v>379</v>
      </c>
      <c r="AI17" s="36"/>
      <c r="AJ17" s="36"/>
      <c r="AK17" s="36" t="s">
        <v>379</v>
      </c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</row>
    <row r="18" spans="1:75" s="37" customFormat="1" x14ac:dyDescent="0.45">
      <c r="A18" s="161"/>
      <c r="B18" s="159" t="s">
        <v>381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7">
        <f>-AH37</f>
        <v>0</v>
      </c>
      <c r="AI18" s="36"/>
      <c r="AJ18" s="36"/>
      <c r="AK18" s="37">
        <f>-1000</f>
        <v>-1000</v>
      </c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</row>
    <row r="19" spans="1:75" s="203" customFormat="1" ht="14.65" thickBot="1" x14ac:dyDescent="0.5">
      <c r="A19" s="213"/>
      <c r="B19" s="214" t="s">
        <v>394</v>
      </c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>
        <v>0</v>
      </c>
      <c r="Y19" s="215">
        <f>X19+SUM(Y14:Y18)</f>
        <v>470</v>
      </c>
      <c r="Z19" s="215">
        <f t="shared" ref="Z19:AM19" si="156">Y19+SUM(Z14:Z18)</f>
        <v>935</v>
      </c>
      <c r="AA19" s="215">
        <f t="shared" si="156"/>
        <v>1395</v>
      </c>
      <c r="AB19" s="215">
        <f t="shared" si="156"/>
        <v>1850</v>
      </c>
      <c r="AC19" s="215">
        <f t="shared" si="156"/>
        <v>2300</v>
      </c>
      <c r="AD19" s="215">
        <f t="shared" si="156"/>
        <v>2745</v>
      </c>
      <c r="AE19" s="215">
        <f t="shared" si="156"/>
        <v>3185</v>
      </c>
      <c r="AF19" s="215">
        <f t="shared" si="156"/>
        <v>3620</v>
      </c>
      <c r="AG19" s="215">
        <f t="shared" si="156"/>
        <v>4050</v>
      </c>
      <c r="AH19" s="215">
        <f t="shared" si="156"/>
        <v>4525</v>
      </c>
      <c r="AI19" s="215">
        <f t="shared" si="156"/>
        <v>4995</v>
      </c>
      <c r="AJ19" s="215">
        <f t="shared" si="156"/>
        <v>5460</v>
      </c>
      <c r="AK19" s="215">
        <f t="shared" si="156"/>
        <v>4920</v>
      </c>
      <c r="AL19" s="215">
        <f t="shared" si="156"/>
        <v>5375</v>
      </c>
      <c r="AM19" s="215">
        <f t="shared" si="156"/>
        <v>5825</v>
      </c>
      <c r="AN19" s="215">
        <f t="shared" ref="AN19" si="157">AM19+SUM(AN14:AN18)</f>
        <v>6270</v>
      </c>
      <c r="AO19" s="215">
        <f t="shared" ref="AO19" si="158">AN19+SUM(AO14:AO18)</f>
        <v>6710</v>
      </c>
      <c r="AP19" s="215">
        <f t="shared" ref="AP19" si="159">AO19+SUM(AP14:AP18)</f>
        <v>7145</v>
      </c>
      <c r="AQ19" s="215">
        <f t="shared" ref="AQ19" si="160">AP19+SUM(AQ14:AQ18)</f>
        <v>7575</v>
      </c>
      <c r="AR19" s="215">
        <f t="shared" ref="AR19" si="161">AQ19+SUM(AR14:AR18)</f>
        <v>8000</v>
      </c>
      <c r="AS19" s="215">
        <f t="shared" ref="AS19" si="162">AR19+SUM(AS14:AS18)</f>
        <v>8420</v>
      </c>
      <c r="AT19" s="215">
        <f t="shared" ref="AT19" si="163">AS19+SUM(AT14:AT18)</f>
        <v>8835</v>
      </c>
      <c r="AU19" s="215">
        <f t="shared" ref="AU19" si="164">AT19+SUM(AU14:AU18)</f>
        <v>9245</v>
      </c>
      <c r="AV19" s="215">
        <f t="shared" ref="AV19" si="165">AU19+SUM(AV14:AV18)</f>
        <v>9650</v>
      </c>
      <c r="AW19" s="215">
        <f t="shared" ref="AW19" si="166">AV19+SUM(AW14:AW18)</f>
        <v>10050</v>
      </c>
      <c r="AX19" s="215">
        <f t="shared" ref="AX19" si="167">AW19+SUM(AX14:AX18)</f>
        <v>10445</v>
      </c>
      <c r="AY19" s="215">
        <f t="shared" ref="AY19" si="168">AX19+SUM(AY14:AY18)</f>
        <v>10835</v>
      </c>
      <c r="AZ19" s="215">
        <f t="shared" ref="AZ19" si="169">AY19+SUM(AZ14:AZ18)</f>
        <v>11220</v>
      </c>
      <c r="BA19" s="215">
        <f t="shared" ref="BA19" si="170">AZ19+SUM(BA14:BA18)</f>
        <v>11600</v>
      </c>
      <c r="BB19" s="215">
        <f t="shared" ref="BB19" si="171">BA19+SUM(BB14:BB18)</f>
        <v>11975</v>
      </c>
      <c r="BC19" s="215">
        <f t="shared" ref="BC19" si="172">BB19+SUM(BC14:BC18)</f>
        <v>12345</v>
      </c>
      <c r="BD19" s="215">
        <f t="shared" ref="BD19" si="173">BC19+SUM(BD14:BD18)</f>
        <v>12710</v>
      </c>
      <c r="BE19" s="215">
        <f t="shared" ref="BE19" si="174">BD19+SUM(BE14:BE18)</f>
        <v>13070</v>
      </c>
      <c r="BF19" s="215">
        <f t="shared" ref="BF19" si="175">BE19+SUM(BF14:BF18)</f>
        <v>13425</v>
      </c>
      <c r="BG19" s="215">
        <f t="shared" ref="BG19" si="176">BF19+SUM(BG14:BG18)</f>
        <v>13775</v>
      </c>
      <c r="BH19" s="215">
        <f t="shared" ref="BH19" si="177">BG19+SUM(BH14:BH18)</f>
        <v>14120</v>
      </c>
      <c r="BI19" s="215">
        <f t="shared" ref="BI19" si="178">BH19+SUM(BI14:BI18)</f>
        <v>14460</v>
      </c>
      <c r="BJ19" s="215">
        <f t="shared" ref="BJ19" si="179">BI19+SUM(BJ14:BJ18)</f>
        <v>14795</v>
      </c>
      <c r="BK19" s="215">
        <f t="shared" ref="BK19" si="180">BJ19+SUM(BK14:BK18)</f>
        <v>15125</v>
      </c>
      <c r="BL19" s="215">
        <f t="shared" ref="BL19" si="181">BK19+SUM(BL14:BL18)</f>
        <v>15450</v>
      </c>
      <c r="BM19" s="215">
        <f t="shared" ref="BM19" si="182">BL19+SUM(BM14:BM18)</f>
        <v>15770</v>
      </c>
      <c r="BN19" s="215">
        <f t="shared" ref="BN19" si="183">BM19+SUM(BN14:BN18)</f>
        <v>16085</v>
      </c>
      <c r="BO19" s="215">
        <f t="shared" ref="BO19" si="184">BN19+SUM(BO14:BO18)</f>
        <v>16395</v>
      </c>
      <c r="BP19" s="215">
        <f t="shared" ref="BP19" si="185">BO19+SUM(BP14:BP18)</f>
        <v>16700</v>
      </c>
      <c r="BQ19" s="215">
        <f t="shared" ref="BQ19" si="186">BP19+SUM(BQ14:BQ18)</f>
        <v>17000</v>
      </c>
      <c r="BR19" s="215">
        <f t="shared" ref="BR19" si="187">BQ19+SUM(BR14:BR18)</f>
        <v>17295</v>
      </c>
      <c r="BS19" s="215">
        <f t="shared" ref="BS19" si="188">BR19+SUM(BS14:BS18)</f>
        <v>17585</v>
      </c>
      <c r="BT19" s="215">
        <f t="shared" ref="BT19" si="189">BS19+SUM(BT14:BT18)</f>
        <v>17870</v>
      </c>
      <c r="BU19" s="215">
        <f t="shared" ref="BU19" si="190">BT19+SUM(BU14:BU18)</f>
        <v>18150</v>
      </c>
      <c r="BV19" s="215">
        <f t="shared" ref="BV19" si="191">BU19+SUM(BV14:BV18)</f>
        <v>18425</v>
      </c>
      <c r="BW19" s="215">
        <f t="shared" ref="BW19" si="192">BV19+SUM(BW14:BW18)</f>
        <v>18695</v>
      </c>
    </row>
    <row r="20" spans="1:75" s="211" customFormat="1" ht="15" thickTop="1" thickBot="1" x14ac:dyDescent="0.5">
      <c r="A20" s="208"/>
      <c r="B20" s="209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  <c r="BN20" s="210"/>
      <c r="BO20" s="210"/>
      <c r="BP20" s="210"/>
      <c r="BQ20" s="210"/>
      <c r="BR20" s="210"/>
      <c r="BS20" s="210"/>
      <c r="BT20" s="210"/>
      <c r="BU20" s="210"/>
      <c r="BV20" s="210"/>
      <c r="BW20" s="210"/>
    </row>
    <row r="21" spans="1:75" ht="14.65" thickTop="1" x14ac:dyDescent="0.45">
      <c r="A21" s="186"/>
      <c r="B21" s="157" t="s">
        <v>95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</row>
    <row r="22" spans="1:75" s="145" customFormat="1" x14ac:dyDescent="0.45">
      <c r="A22" s="186"/>
      <c r="B22" s="157" t="s">
        <v>96</v>
      </c>
      <c r="D22" s="145">
        <v>0</v>
      </c>
      <c r="E22" s="145">
        <v>0</v>
      </c>
      <c r="F22" s="145">
        <v>0</v>
      </c>
      <c r="G22" s="145">
        <v>0</v>
      </c>
      <c r="H22" s="145">
        <v>0</v>
      </c>
      <c r="I22" s="145">
        <v>0</v>
      </c>
      <c r="J22" s="145">
        <v>0</v>
      </c>
      <c r="K22" s="145">
        <v>0</v>
      </c>
      <c r="L22" s="145">
        <v>0</v>
      </c>
      <c r="M22" s="145">
        <v>0</v>
      </c>
      <c r="N22" s="145">
        <v>0</v>
      </c>
      <c r="O22" s="145">
        <v>0</v>
      </c>
      <c r="P22" s="145">
        <v>0</v>
      </c>
      <c r="Q22" s="145">
        <v>0</v>
      </c>
      <c r="R22" s="145">
        <v>0</v>
      </c>
      <c r="S22" s="145">
        <v>0</v>
      </c>
      <c r="T22" s="145">
        <v>0</v>
      </c>
      <c r="U22" s="145">
        <v>0</v>
      </c>
      <c r="V22" s="145">
        <v>0</v>
      </c>
      <c r="W22" s="145">
        <v>0</v>
      </c>
      <c r="X22" s="145">
        <v>0</v>
      </c>
      <c r="Y22" s="145">
        <v>0</v>
      </c>
      <c r="Z22" s="145">
        <v>0</v>
      </c>
      <c r="AA22" s="145">
        <v>0</v>
      </c>
      <c r="AB22" s="145">
        <v>0</v>
      </c>
      <c r="AC22" s="145">
        <v>0</v>
      </c>
      <c r="AD22" s="145">
        <v>0</v>
      </c>
      <c r="AE22" s="145">
        <v>0</v>
      </c>
      <c r="AF22" s="145">
        <v>0</v>
      </c>
      <c r="AG22" s="145">
        <v>0</v>
      </c>
      <c r="AH22" s="145">
        <v>0</v>
      </c>
      <c r="AI22" s="145">
        <v>0</v>
      </c>
      <c r="AJ22" s="145">
        <v>0</v>
      </c>
      <c r="AK22" s="145">
        <v>0</v>
      </c>
      <c r="AL22" s="145">
        <v>0</v>
      </c>
      <c r="AM22" s="145">
        <v>0</v>
      </c>
      <c r="AN22" s="145">
        <v>0</v>
      </c>
      <c r="AO22" s="145">
        <v>0</v>
      </c>
      <c r="AP22" s="145">
        <v>0</v>
      </c>
      <c r="AQ22" s="145">
        <v>0</v>
      </c>
      <c r="AR22" s="145">
        <v>0</v>
      </c>
      <c r="AS22" s="145">
        <v>0</v>
      </c>
      <c r="AT22" s="145">
        <v>0</v>
      </c>
      <c r="AU22" s="145">
        <v>0</v>
      </c>
      <c r="AV22" s="145">
        <v>0</v>
      </c>
      <c r="AW22" s="145">
        <v>0</v>
      </c>
      <c r="AX22" s="145">
        <v>0</v>
      </c>
      <c r="AY22" s="145">
        <v>0</v>
      </c>
      <c r="AZ22" s="145">
        <v>0</v>
      </c>
      <c r="BA22" s="145">
        <v>0</v>
      </c>
      <c r="BB22" s="145">
        <v>0</v>
      </c>
      <c r="BC22" s="145">
        <v>0</v>
      </c>
      <c r="BD22" s="145">
        <v>0</v>
      </c>
      <c r="BE22" s="145">
        <v>0</v>
      </c>
      <c r="BF22" s="145">
        <v>0</v>
      </c>
      <c r="BG22" s="145">
        <v>0</v>
      </c>
      <c r="BH22" s="145">
        <v>0</v>
      </c>
      <c r="BI22" s="145">
        <v>0</v>
      </c>
      <c r="BJ22" s="145">
        <v>0</v>
      </c>
      <c r="BK22" s="145">
        <v>0</v>
      </c>
      <c r="BL22" s="145">
        <v>0</v>
      </c>
      <c r="BM22" s="145">
        <v>0</v>
      </c>
      <c r="BN22" s="145">
        <v>0</v>
      </c>
      <c r="BO22" s="145">
        <v>0</v>
      </c>
      <c r="BP22" s="145">
        <v>0</v>
      </c>
      <c r="BQ22" s="145">
        <v>0</v>
      </c>
      <c r="BR22" s="145">
        <v>0</v>
      </c>
      <c r="BS22" s="145">
        <v>0</v>
      </c>
      <c r="BT22" s="145">
        <v>0</v>
      </c>
      <c r="BU22" s="145">
        <v>0</v>
      </c>
      <c r="BV22" s="145">
        <v>0</v>
      </c>
      <c r="BW22" s="145">
        <v>0</v>
      </c>
    </row>
    <row r="23" spans="1:75" s="37" customFormat="1" ht="18" x14ac:dyDescent="0.55000000000000004">
      <c r="A23" s="187" t="s">
        <v>375</v>
      </c>
      <c r="B23" s="162"/>
    </row>
    <row r="24" spans="1:75" s="37" customFormat="1" ht="18" x14ac:dyDescent="0.55000000000000004">
      <c r="A24" s="188" t="s">
        <v>147</v>
      </c>
      <c r="B24" s="163" t="s">
        <v>150</v>
      </c>
      <c r="D24" s="37">
        <f t="shared" ref="D24:BO24" si="193">$A$59</f>
        <v>180</v>
      </c>
      <c r="E24" s="37">
        <f t="shared" si="193"/>
        <v>180</v>
      </c>
      <c r="F24" s="37">
        <f t="shared" si="193"/>
        <v>180</v>
      </c>
      <c r="G24" s="37">
        <f t="shared" si="193"/>
        <v>180</v>
      </c>
      <c r="H24" s="37">
        <f t="shared" si="193"/>
        <v>180</v>
      </c>
      <c r="I24" s="37">
        <f t="shared" si="193"/>
        <v>180</v>
      </c>
      <c r="J24" s="37">
        <f t="shared" si="193"/>
        <v>180</v>
      </c>
      <c r="K24" s="37">
        <f t="shared" si="193"/>
        <v>180</v>
      </c>
      <c r="L24" s="37">
        <f t="shared" si="193"/>
        <v>180</v>
      </c>
      <c r="M24" s="37">
        <f t="shared" si="193"/>
        <v>180</v>
      </c>
      <c r="N24" s="37">
        <f t="shared" si="193"/>
        <v>180</v>
      </c>
      <c r="O24" s="37">
        <f t="shared" si="193"/>
        <v>180</v>
      </c>
      <c r="P24" s="37">
        <f t="shared" si="193"/>
        <v>180</v>
      </c>
      <c r="Q24" s="37">
        <f t="shared" si="193"/>
        <v>180</v>
      </c>
      <c r="R24" s="37">
        <f t="shared" si="193"/>
        <v>180</v>
      </c>
      <c r="S24" s="37">
        <f t="shared" si="193"/>
        <v>180</v>
      </c>
      <c r="T24" s="37">
        <f t="shared" si="193"/>
        <v>180</v>
      </c>
      <c r="U24" s="37">
        <f t="shared" si="193"/>
        <v>180</v>
      </c>
      <c r="V24" s="37">
        <f t="shared" si="193"/>
        <v>180</v>
      </c>
      <c r="W24" s="37">
        <f t="shared" si="193"/>
        <v>180</v>
      </c>
      <c r="X24" s="37">
        <f t="shared" si="193"/>
        <v>180</v>
      </c>
      <c r="Y24" s="37">
        <f t="shared" si="193"/>
        <v>180</v>
      </c>
      <c r="Z24" s="37">
        <f t="shared" si="193"/>
        <v>180</v>
      </c>
      <c r="AA24" s="37">
        <f t="shared" si="193"/>
        <v>180</v>
      </c>
      <c r="AB24" s="37">
        <f t="shared" si="193"/>
        <v>180</v>
      </c>
      <c r="AC24" s="37">
        <f t="shared" si="193"/>
        <v>180</v>
      </c>
      <c r="AD24" s="37">
        <f t="shared" si="193"/>
        <v>180</v>
      </c>
      <c r="AE24" s="37">
        <f t="shared" si="193"/>
        <v>180</v>
      </c>
      <c r="AF24" s="37">
        <f t="shared" si="193"/>
        <v>180</v>
      </c>
      <c r="AG24" s="37">
        <f t="shared" si="193"/>
        <v>180</v>
      </c>
      <c r="AH24" s="37">
        <f t="shared" si="193"/>
        <v>180</v>
      </c>
      <c r="AI24" s="37">
        <f t="shared" si="193"/>
        <v>180</v>
      </c>
      <c r="AJ24" s="37">
        <f t="shared" si="193"/>
        <v>180</v>
      </c>
      <c r="AK24" s="37">
        <f t="shared" si="193"/>
        <v>180</v>
      </c>
      <c r="AL24" s="37">
        <f t="shared" si="193"/>
        <v>180</v>
      </c>
      <c r="AM24" s="37">
        <f t="shared" si="193"/>
        <v>180</v>
      </c>
      <c r="AN24" s="37">
        <f t="shared" si="193"/>
        <v>180</v>
      </c>
      <c r="AO24" s="37">
        <f t="shared" si="193"/>
        <v>180</v>
      </c>
      <c r="AP24" s="37">
        <f t="shared" si="193"/>
        <v>180</v>
      </c>
      <c r="AQ24" s="37">
        <f t="shared" si="193"/>
        <v>180</v>
      </c>
      <c r="AR24" s="37">
        <f t="shared" si="193"/>
        <v>180</v>
      </c>
      <c r="AS24" s="37">
        <f t="shared" si="193"/>
        <v>180</v>
      </c>
      <c r="AT24" s="37">
        <f t="shared" si="193"/>
        <v>180</v>
      </c>
      <c r="AU24" s="37">
        <f t="shared" si="193"/>
        <v>180</v>
      </c>
      <c r="AV24" s="37">
        <f t="shared" si="193"/>
        <v>180</v>
      </c>
      <c r="AW24" s="37">
        <f t="shared" si="193"/>
        <v>180</v>
      </c>
      <c r="AX24" s="37">
        <f t="shared" si="193"/>
        <v>180</v>
      </c>
      <c r="AY24" s="37">
        <f t="shared" si="193"/>
        <v>180</v>
      </c>
      <c r="AZ24" s="37">
        <f t="shared" si="193"/>
        <v>180</v>
      </c>
      <c r="BA24" s="37">
        <f t="shared" si="193"/>
        <v>180</v>
      </c>
      <c r="BB24" s="37">
        <f t="shared" si="193"/>
        <v>180</v>
      </c>
      <c r="BC24" s="37">
        <f t="shared" si="193"/>
        <v>180</v>
      </c>
      <c r="BD24" s="37">
        <f t="shared" si="193"/>
        <v>180</v>
      </c>
      <c r="BE24" s="37">
        <f t="shared" si="193"/>
        <v>180</v>
      </c>
      <c r="BF24" s="37">
        <f t="shared" si="193"/>
        <v>180</v>
      </c>
      <c r="BG24" s="37">
        <f t="shared" si="193"/>
        <v>180</v>
      </c>
      <c r="BH24" s="37">
        <f t="shared" si="193"/>
        <v>180</v>
      </c>
      <c r="BI24" s="37">
        <f t="shared" si="193"/>
        <v>180</v>
      </c>
      <c r="BJ24" s="37">
        <f t="shared" si="193"/>
        <v>180</v>
      </c>
      <c r="BK24" s="37">
        <f t="shared" si="193"/>
        <v>180</v>
      </c>
      <c r="BL24" s="37">
        <f t="shared" si="193"/>
        <v>180</v>
      </c>
      <c r="BM24" s="37">
        <f t="shared" si="193"/>
        <v>180</v>
      </c>
      <c r="BN24" s="37">
        <f t="shared" si="193"/>
        <v>180</v>
      </c>
      <c r="BO24" s="37">
        <f t="shared" si="193"/>
        <v>180</v>
      </c>
      <c r="BP24" s="37">
        <f t="shared" ref="BP24:BW24" si="194">$A$59</f>
        <v>180</v>
      </c>
      <c r="BQ24" s="37">
        <f t="shared" si="194"/>
        <v>180</v>
      </c>
      <c r="BR24" s="37">
        <f t="shared" si="194"/>
        <v>180</v>
      </c>
      <c r="BS24" s="37">
        <f t="shared" si="194"/>
        <v>180</v>
      </c>
      <c r="BT24" s="37">
        <f t="shared" si="194"/>
        <v>180</v>
      </c>
      <c r="BU24" s="37">
        <f t="shared" si="194"/>
        <v>180</v>
      </c>
      <c r="BV24" s="37">
        <f t="shared" si="194"/>
        <v>180</v>
      </c>
      <c r="BW24" s="37">
        <f t="shared" si="194"/>
        <v>180</v>
      </c>
    </row>
    <row r="25" spans="1:75" s="52" customFormat="1" ht="18" x14ac:dyDescent="0.55000000000000004">
      <c r="A25" s="189" t="s">
        <v>147</v>
      </c>
      <c r="B25" s="164" t="s">
        <v>149</v>
      </c>
      <c r="C25" s="165"/>
    </row>
    <row r="26" spans="1:75" ht="34.5" customHeight="1" x14ac:dyDescent="0.55000000000000004">
      <c r="A26" s="190" t="s">
        <v>377</v>
      </c>
      <c r="B26" s="162"/>
    </row>
    <row r="27" spans="1:75" ht="18" x14ac:dyDescent="0.55000000000000004">
      <c r="A27" s="188" t="s">
        <v>147</v>
      </c>
      <c r="B27" s="163" t="s">
        <v>172</v>
      </c>
      <c r="E27" s="24">
        <f t="shared" ref="E27:AG27" si="195">$A$60</f>
        <v>90</v>
      </c>
      <c r="F27" s="24">
        <f t="shared" si="195"/>
        <v>90</v>
      </c>
      <c r="G27" s="24">
        <f t="shared" si="195"/>
        <v>90</v>
      </c>
      <c r="H27" s="24">
        <f t="shared" si="195"/>
        <v>90</v>
      </c>
      <c r="I27" s="24">
        <f t="shared" si="195"/>
        <v>90</v>
      </c>
      <c r="J27" s="24">
        <f t="shared" si="195"/>
        <v>90</v>
      </c>
      <c r="K27" s="24">
        <f t="shared" si="195"/>
        <v>90</v>
      </c>
      <c r="L27" s="24">
        <f t="shared" si="195"/>
        <v>90</v>
      </c>
      <c r="M27" s="24">
        <f t="shared" si="195"/>
        <v>90</v>
      </c>
      <c r="N27" s="24">
        <f t="shared" si="195"/>
        <v>90</v>
      </c>
      <c r="O27" s="24">
        <f t="shared" si="195"/>
        <v>90</v>
      </c>
      <c r="P27" s="24">
        <f t="shared" si="195"/>
        <v>90</v>
      </c>
      <c r="Q27" s="24">
        <f t="shared" si="195"/>
        <v>90</v>
      </c>
      <c r="R27" s="24">
        <f t="shared" si="195"/>
        <v>90</v>
      </c>
      <c r="S27" s="24">
        <f t="shared" si="195"/>
        <v>90</v>
      </c>
      <c r="T27" s="24">
        <f t="shared" si="195"/>
        <v>90</v>
      </c>
      <c r="U27" s="24">
        <f t="shared" si="195"/>
        <v>90</v>
      </c>
      <c r="V27" s="24">
        <f t="shared" si="195"/>
        <v>90</v>
      </c>
      <c r="W27" s="24">
        <f t="shared" si="195"/>
        <v>90</v>
      </c>
      <c r="X27" s="24">
        <f t="shared" si="195"/>
        <v>90</v>
      </c>
      <c r="Y27" s="24">
        <f t="shared" si="195"/>
        <v>90</v>
      </c>
      <c r="Z27" s="24">
        <f t="shared" si="195"/>
        <v>90</v>
      </c>
      <c r="AA27" s="24">
        <f t="shared" si="195"/>
        <v>90</v>
      </c>
      <c r="AB27" s="24">
        <f t="shared" si="195"/>
        <v>90</v>
      </c>
      <c r="AC27" s="24">
        <f t="shared" si="195"/>
        <v>90</v>
      </c>
      <c r="AD27" s="24">
        <f t="shared" si="195"/>
        <v>90</v>
      </c>
      <c r="AE27" s="24">
        <f t="shared" si="195"/>
        <v>90</v>
      </c>
      <c r="AF27" s="24">
        <f t="shared" si="195"/>
        <v>90</v>
      </c>
      <c r="AG27" s="24">
        <f t="shared" si="195"/>
        <v>90</v>
      </c>
      <c r="AK27" s="24">
        <f t="shared" ref="AK27:AN27" si="196">$A$60</f>
        <v>90</v>
      </c>
      <c r="AL27" s="24">
        <f t="shared" si="196"/>
        <v>90</v>
      </c>
      <c r="AM27" s="24">
        <f t="shared" si="196"/>
        <v>90</v>
      </c>
      <c r="AN27" s="24">
        <f t="shared" si="196"/>
        <v>90</v>
      </c>
    </row>
    <row r="28" spans="1:75" ht="18" x14ac:dyDescent="0.55000000000000004">
      <c r="A28" s="188"/>
      <c r="B28" s="163" t="s">
        <v>181</v>
      </c>
    </row>
    <row r="29" spans="1:75" ht="18" x14ac:dyDescent="0.55000000000000004">
      <c r="A29" s="188"/>
      <c r="B29" s="163" t="s">
        <v>173</v>
      </c>
      <c r="E29" s="24">
        <v>-150</v>
      </c>
    </row>
    <row r="30" spans="1:75" s="145" customFormat="1" ht="18" x14ac:dyDescent="0.55000000000000004">
      <c r="A30" s="189"/>
      <c r="B30" s="164" t="s">
        <v>145</v>
      </c>
      <c r="C30" s="166"/>
    </row>
    <row r="31" spans="1:75" s="37" customFormat="1" ht="18" x14ac:dyDescent="0.55000000000000004">
      <c r="A31" s="188" t="s">
        <v>382</v>
      </c>
      <c r="B31" s="163"/>
    </row>
    <row r="32" spans="1:75" s="37" customFormat="1" ht="18" x14ac:dyDescent="0.55000000000000004">
      <c r="A32" s="188" t="s">
        <v>146</v>
      </c>
      <c r="B32" s="206" t="s">
        <v>350</v>
      </c>
      <c r="AK32" s="37">
        <v>-1000</v>
      </c>
      <c r="AL32" s="37">
        <v>-1000</v>
      </c>
      <c r="AM32" s="37">
        <v>-1000</v>
      </c>
      <c r="AN32" s="37">
        <v>-1000</v>
      </c>
      <c r="AO32" s="37">
        <v>-1000</v>
      </c>
      <c r="AP32" s="37">
        <v>-1000</v>
      </c>
      <c r="AQ32" s="37">
        <v>-1000</v>
      </c>
      <c r="AR32" s="37">
        <v>-1000</v>
      </c>
      <c r="AS32" s="37">
        <v>-1000</v>
      </c>
      <c r="AT32" s="37">
        <v>-1000</v>
      </c>
      <c r="AU32" s="37">
        <v>-1000</v>
      </c>
      <c r="AV32" s="37">
        <v>-1000</v>
      </c>
      <c r="AW32" s="37">
        <v>-1000</v>
      </c>
      <c r="AX32" s="37">
        <v>-1000</v>
      </c>
      <c r="AY32" s="37">
        <v>-1000</v>
      </c>
      <c r="AZ32" s="37">
        <v>-1000</v>
      </c>
      <c r="BA32" s="37">
        <v>-1000</v>
      </c>
      <c r="BB32" s="37">
        <v>-1000</v>
      </c>
      <c r="BC32" s="37">
        <v>-1000</v>
      </c>
      <c r="BD32" s="37">
        <v>-1000</v>
      </c>
      <c r="BE32" s="37">
        <v>-1000</v>
      </c>
      <c r="BF32" s="37">
        <v>-1000</v>
      </c>
      <c r="BG32" s="37">
        <v>-1000</v>
      </c>
      <c r="BH32" s="37">
        <v>-1000</v>
      </c>
      <c r="BI32" s="37">
        <v>-1000</v>
      </c>
      <c r="BJ32" s="37">
        <v>-1000</v>
      </c>
      <c r="BK32" s="37">
        <v>-1000</v>
      </c>
      <c r="BL32" s="37">
        <v>-1000</v>
      </c>
      <c r="BM32" s="37">
        <v>-1000</v>
      </c>
      <c r="BN32" s="37">
        <v>-1000</v>
      </c>
      <c r="BO32" s="37">
        <v>-1000</v>
      </c>
      <c r="BP32" s="37">
        <v>-1000</v>
      </c>
      <c r="BQ32" s="37">
        <v>-1000</v>
      </c>
      <c r="BR32" s="37">
        <v>-1000</v>
      </c>
      <c r="BS32" s="37">
        <v>-1000</v>
      </c>
      <c r="BT32" s="37">
        <v>-1000</v>
      </c>
      <c r="BU32" s="37">
        <v>-1000</v>
      </c>
      <c r="BV32" s="37">
        <v>-1000</v>
      </c>
      <c r="BW32" s="37">
        <v>-1000</v>
      </c>
    </row>
    <row r="33" spans="1:75" s="37" customFormat="1" ht="18" x14ac:dyDescent="0.55000000000000004">
      <c r="A33" s="188" t="s">
        <v>146</v>
      </c>
      <c r="B33" s="206" t="s">
        <v>383</v>
      </c>
      <c r="AK33" s="37">
        <v>-800</v>
      </c>
      <c r="AL33" s="37">
        <v>-800</v>
      </c>
      <c r="AM33" s="37">
        <v>-800</v>
      </c>
      <c r="AN33" s="37">
        <v>-800</v>
      </c>
      <c r="AO33" s="37">
        <v>-800</v>
      </c>
      <c r="AP33" s="37">
        <v>-800</v>
      </c>
      <c r="AQ33" s="37">
        <v>-800</v>
      </c>
      <c r="AR33" s="37">
        <v>-800</v>
      </c>
      <c r="AS33" s="37">
        <v>-800</v>
      </c>
      <c r="AT33" s="37">
        <v>-800</v>
      </c>
      <c r="AU33" s="37">
        <v>-800</v>
      </c>
      <c r="AV33" s="37">
        <v>-800</v>
      </c>
      <c r="AW33" s="37">
        <v>-800</v>
      </c>
      <c r="AX33" s="37">
        <v>-800</v>
      </c>
      <c r="AY33" s="37">
        <v>-800</v>
      </c>
      <c r="AZ33" s="37">
        <v>-800</v>
      </c>
      <c r="BA33" s="37">
        <v>-800</v>
      </c>
      <c r="BB33" s="37">
        <v>-800</v>
      </c>
      <c r="BC33" s="37">
        <v>-800</v>
      </c>
      <c r="BD33" s="37">
        <v>-800</v>
      </c>
      <c r="BE33" s="37">
        <v>-800</v>
      </c>
      <c r="BF33" s="37">
        <v>-800</v>
      </c>
      <c r="BG33" s="37">
        <v>-800</v>
      </c>
      <c r="BH33" s="37">
        <v>-800</v>
      </c>
      <c r="BI33" s="37">
        <v>-800</v>
      </c>
      <c r="BJ33" s="37">
        <v>-800</v>
      </c>
      <c r="BK33" s="37">
        <v>-800</v>
      </c>
      <c r="BL33" s="37">
        <v>-800</v>
      </c>
      <c r="BM33" s="37">
        <v>-800</v>
      </c>
      <c r="BN33" s="37">
        <v>-800</v>
      </c>
      <c r="BO33" s="37">
        <v>-800</v>
      </c>
      <c r="BP33" s="37">
        <v>-800</v>
      </c>
      <c r="BQ33" s="37">
        <v>-800</v>
      </c>
      <c r="BR33" s="37">
        <v>-800</v>
      </c>
      <c r="BS33" s="37">
        <v>-800</v>
      </c>
      <c r="BT33" s="37">
        <v>-800</v>
      </c>
      <c r="BU33" s="37">
        <v>-800</v>
      </c>
      <c r="BV33" s="37">
        <v>-800</v>
      </c>
      <c r="BW33" s="37">
        <v>-800</v>
      </c>
    </row>
    <row r="34" spans="1:75" s="37" customFormat="1" ht="18" x14ac:dyDescent="0.55000000000000004">
      <c r="A34" s="188" t="s">
        <v>146</v>
      </c>
      <c r="B34" s="206" t="s">
        <v>384</v>
      </c>
      <c r="AK34" s="37">
        <v>-700</v>
      </c>
      <c r="AL34" s="37">
        <v>-700</v>
      </c>
      <c r="AM34" s="37">
        <v>-700</v>
      </c>
      <c r="AN34" s="37">
        <v>-700</v>
      </c>
      <c r="AO34" s="37">
        <v>-700</v>
      </c>
      <c r="AP34" s="37">
        <v>-700</v>
      </c>
      <c r="AQ34" s="37">
        <v>-700</v>
      </c>
      <c r="AR34" s="37">
        <v>-700</v>
      </c>
      <c r="AS34" s="37">
        <v>-700</v>
      </c>
      <c r="AT34" s="37">
        <v>-700</v>
      </c>
      <c r="AU34" s="37">
        <v>-700</v>
      </c>
      <c r="AV34" s="37">
        <v>-700</v>
      </c>
      <c r="AW34" s="37">
        <v>-700</v>
      </c>
      <c r="AX34" s="37">
        <v>-700</v>
      </c>
      <c r="AY34" s="37">
        <v>-700</v>
      </c>
      <c r="AZ34" s="37">
        <v>-700</v>
      </c>
      <c r="BA34" s="37">
        <v>-700</v>
      </c>
      <c r="BB34" s="37">
        <v>-700</v>
      </c>
      <c r="BC34" s="37">
        <v>-700</v>
      </c>
      <c r="BD34" s="37">
        <v>-700</v>
      </c>
      <c r="BE34" s="37">
        <v>-700</v>
      </c>
      <c r="BF34" s="37">
        <v>-700</v>
      </c>
      <c r="BG34" s="37">
        <v>-700</v>
      </c>
      <c r="BH34" s="37">
        <v>-700</v>
      </c>
      <c r="BI34" s="37">
        <v>-700</v>
      </c>
      <c r="BJ34" s="37">
        <v>-700</v>
      </c>
      <c r="BK34" s="37">
        <v>-700</v>
      </c>
      <c r="BL34" s="37">
        <v>-700</v>
      </c>
      <c r="BM34" s="37">
        <v>-700</v>
      </c>
      <c r="BN34" s="37">
        <v>-700</v>
      </c>
      <c r="BO34" s="37">
        <v>-700</v>
      </c>
      <c r="BP34" s="37">
        <v>-700</v>
      </c>
      <c r="BQ34" s="37">
        <v>-700</v>
      </c>
      <c r="BR34" s="37">
        <v>-700</v>
      </c>
      <c r="BS34" s="37">
        <v>-700</v>
      </c>
      <c r="BT34" s="37">
        <v>-700</v>
      </c>
      <c r="BU34" s="37">
        <v>-700</v>
      </c>
      <c r="BV34" s="37">
        <v>-700</v>
      </c>
      <c r="BW34" s="37">
        <v>-700</v>
      </c>
    </row>
    <row r="35" spans="1:75" s="37" customFormat="1" ht="18" x14ac:dyDescent="0.55000000000000004">
      <c r="A35" s="188"/>
      <c r="B35" s="163" t="s">
        <v>393</v>
      </c>
      <c r="AG35" s="37" t="s">
        <v>361</v>
      </c>
      <c r="AH35" s="37">
        <v>-6000</v>
      </c>
      <c r="AJ35" s="37" t="s">
        <v>392</v>
      </c>
      <c r="AK35" s="37">
        <v>-2500</v>
      </c>
    </row>
    <row r="36" spans="1:75" s="37" customFormat="1" ht="18" x14ac:dyDescent="0.55000000000000004">
      <c r="A36" s="188"/>
      <c r="B36" s="163" t="s">
        <v>386</v>
      </c>
      <c r="AJ36" s="37" t="s">
        <v>374</v>
      </c>
      <c r="AK36" s="37">
        <v>2100</v>
      </c>
      <c r="AL36" s="37">
        <v>2100</v>
      </c>
      <c r="AM36" s="37">
        <v>2100</v>
      </c>
      <c r="AN36" s="37">
        <v>2100</v>
      </c>
      <c r="AO36" s="37">
        <v>2100</v>
      </c>
      <c r="AP36" s="37">
        <v>2100</v>
      </c>
      <c r="AQ36" s="37">
        <v>2100</v>
      </c>
      <c r="AR36" s="37">
        <v>2100</v>
      </c>
      <c r="AS36" s="37">
        <v>2100</v>
      </c>
      <c r="AT36" s="37">
        <v>2100</v>
      </c>
      <c r="AU36" s="37">
        <v>2100</v>
      </c>
      <c r="AV36" s="37">
        <v>2100</v>
      </c>
      <c r="AW36" s="37">
        <v>2100</v>
      </c>
      <c r="AX36" s="37">
        <v>2100</v>
      </c>
      <c r="AY36" s="37">
        <v>2100</v>
      </c>
      <c r="AZ36" s="37">
        <v>2100</v>
      </c>
      <c r="BA36" s="37">
        <v>2100</v>
      </c>
      <c r="BB36" s="37">
        <v>2100</v>
      </c>
      <c r="BC36" s="37">
        <v>2100</v>
      </c>
      <c r="BD36" s="37">
        <v>2100</v>
      </c>
      <c r="BE36" s="37">
        <v>2100</v>
      </c>
      <c r="BF36" s="37">
        <v>2100</v>
      </c>
      <c r="BG36" s="37">
        <v>2100</v>
      </c>
      <c r="BH36" s="37">
        <v>2100</v>
      </c>
      <c r="BI36" s="37">
        <v>2100</v>
      </c>
      <c r="BJ36" s="37">
        <v>2100</v>
      </c>
      <c r="BK36" s="37">
        <v>2100</v>
      </c>
      <c r="BL36" s="37">
        <v>2100</v>
      </c>
      <c r="BM36" s="37">
        <v>2100</v>
      </c>
      <c r="BN36" s="37">
        <v>2100</v>
      </c>
      <c r="BO36" s="37">
        <v>2100</v>
      </c>
      <c r="BP36" s="37">
        <v>2100</v>
      </c>
      <c r="BQ36" s="37">
        <v>2100</v>
      </c>
      <c r="BR36" s="37">
        <v>2100</v>
      </c>
      <c r="BS36" s="37">
        <v>2100</v>
      </c>
      <c r="BT36" s="37">
        <v>2100</v>
      </c>
      <c r="BU36" s="37">
        <v>2100</v>
      </c>
      <c r="BV36" s="37">
        <v>2100</v>
      </c>
      <c r="BW36" s="37">
        <v>2100</v>
      </c>
    </row>
    <row r="37" spans="1:75" s="52" customFormat="1" ht="18" x14ac:dyDescent="0.55000000000000004">
      <c r="A37" s="189"/>
      <c r="B37" s="164" t="s">
        <v>385</v>
      </c>
      <c r="AJ37" s="52" t="s">
        <v>380</v>
      </c>
      <c r="AK37" s="52">
        <f>ABS(SUM(AK32:AK34))*0.5</f>
        <v>1250</v>
      </c>
      <c r="AL37" s="52">
        <f>ABS(SUM(AL32:AL34))*0.5</f>
        <v>1250</v>
      </c>
      <c r="AM37" s="52">
        <f>ABS(SUM(AM32:AM34))*0.5</f>
        <v>1250</v>
      </c>
      <c r="AN37" s="52">
        <f t="shared" ref="AN37:AP37" si="197">ABS(SUM(AN32:AN34))*0.5</f>
        <v>1250</v>
      </c>
      <c r="AO37" s="52">
        <f t="shared" si="197"/>
        <v>1250</v>
      </c>
      <c r="AP37" s="52">
        <f t="shared" si="197"/>
        <v>1250</v>
      </c>
      <c r="AQ37" s="52">
        <f t="shared" ref="AQ37:BW37" si="198">ABS(SUM(AQ32:AQ34))*0.5</f>
        <v>1250</v>
      </c>
      <c r="AR37" s="52">
        <f t="shared" si="198"/>
        <v>1250</v>
      </c>
      <c r="AS37" s="52">
        <f t="shared" si="198"/>
        <v>1250</v>
      </c>
      <c r="AT37" s="52">
        <f t="shared" si="198"/>
        <v>1250</v>
      </c>
      <c r="AU37" s="52">
        <f t="shared" si="198"/>
        <v>1250</v>
      </c>
      <c r="AV37" s="52">
        <f t="shared" si="198"/>
        <v>1250</v>
      </c>
      <c r="AW37" s="52">
        <f t="shared" si="198"/>
        <v>1250</v>
      </c>
      <c r="AX37" s="52">
        <f t="shared" si="198"/>
        <v>1250</v>
      </c>
      <c r="AY37" s="52">
        <f t="shared" si="198"/>
        <v>1250</v>
      </c>
      <c r="AZ37" s="52">
        <f t="shared" si="198"/>
        <v>1250</v>
      </c>
      <c r="BA37" s="52">
        <f t="shared" si="198"/>
        <v>1250</v>
      </c>
      <c r="BB37" s="52">
        <f t="shared" si="198"/>
        <v>1250</v>
      </c>
      <c r="BC37" s="52">
        <f t="shared" si="198"/>
        <v>1250</v>
      </c>
      <c r="BD37" s="52">
        <f t="shared" si="198"/>
        <v>1250</v>
      </c>
      <c r="BE37" s="52">
        <f t="shared" si="198"/>
        <v>1250</v>
      </c>
      <c r="BF37" s="52">
        <f t="shared" si="198"/>
        <v>1250</v>
      </c>
      <c r="BG37" s="52">
        <f t="shared" si="198"/>
        <v>1250</v>
      </c>
      <c r="BH37" s="52">
        <f t="shared" si="198"/>
        <v>1250</v>
      </c>
      <c r="BI37" s="52">
        <f t="shared" si="198"/>
        <v>1250</v>
      </c>
      <c r="BJ37" s="52">
        <f t="shared" si="198"/>
        <v>1250</v>
      </c>
      <c r="BK37" s="52">
        <f t="shared" si="198"/>
        <v>1250</v>
      </c>
      <c r="BL37" s="52">
        <f t="shared" si="198"/>
        <v>1250</v>
      </c>
      <c r="BM37" s="52">
        <f t="shared" si="198"/>
        <v>1250</v>
      </c>
      <c r="BN37" s="52">
        <f t="shared" si="198"/>
        <v>1250</v>
      </c>
      <c r="BO37" s="52">
        <f t="shared" si="198"/>
        <v>1250</v>
      </c>
      <c r="BP37" s="52">
        <f t="shared" si="198"/>
        <v>1250</v>
      </c>
      <c r="BQ37" s="52">
        <f t="shared" si="198"/>
        <v>1250</v>
      </c>
      <c r="BR37" s="52">
        <f t="shared" si="198"/>
        <v>1250</v>
      </c>
      <c r="BS37" s="52">
        <f t="shared" si="198"/>
        <v>1250</v>
      </c>
      <c r="BT37" s="52">
        <f t="shared" si="198"/>
        <v>1250</v>
      </c>
      <c r="BU37" s="52">
        <f t="shared" si="198"/>
        <v>1250</v>
      </c>
      <c r="BV37" s="52">
        <f t="shared" si="198"/>
        <v>1250</v>
      </c>
      <c r="BW37" s="52">
        <f t="shared" si="198"/>
        <v>1250</v>
      </c>
    </row>
    <row r="38" spans="1:75" ht="18" x14ac:dyDescent="0.55000000000000004">
      <c r="A38" s="188" t="s">
        <v>376</v>
      </c>
      <c r="B38" s="163"/>
    </row>
    <row r="39" spans="1:75" ht="18" x14ac:dyDescent="0.55000000000000004">
      <c r="A39" s="188"/>
      <c r="B39" s="163" t="s">
        <v>180</v>
      </c>
      <c r="U39" s="24" t="s">
        <v>391</v>
      </c>
      <c r="V39" s="24">
        <v>50</v>
      </c>
    </row>
    <row r="40" spans="1:75" s="145" customFormat="1" ht="18" x14ac:dyDescent="0.55000000000000004">
      <c r="A40" s="189" t="s">
        <v>147</v>
      </c>
      <c r="B40" s="164" t="s">
        <v>271</v>
      </c>
      <c r="C40" s="166"/>
    </row>
    <row r="41" spans="1:75" ht="14.65" thickBot="1" x14ac:dyDescent="0.5">
      <c r="A41" s="23"/>
      <c r="B41" s="154"/>
    </row>
    <row r="42" spans="1:75" ht="29.65" thickBot="1" x14ac:dyDescent="0.6">
      <c r="A42" s="191" t="str" cm="1">
        <f t="array" ref="A42">SUM(COUNTIF(A23:A40, {"📜","👤"})) &amp; "/10 Permessi"</f>
        <v>3/10 Permessi</v>
      </c>
      <c r="C42" s="25" t="s">
        <v>119</v>
      </c>
      <c r="P42" s="24" t="s">
        <v>217</v>
      </c>
      <c r="S42" s="24" t="s">
        <v>242</v>
      </c>
      <c r="X42" s="24" t="s">
        <v>270</v>
      </c>
      <c r="Y42" s="109">
        <f>-Y9*40</f>
        <v>-2000</v>
      </c>
      <c r="AD42" s="24" t="s">
        <v>244</v>
      </c>
      <c r="AE42" s="24">
        <v>400</v>
      </c>
      <c r="AG42" s="24" t="s">
        <v>395</v>
      </c>
      <c r="AH42" s="24">
        <v>4000</v>
      </c>
      <c r="AJ42" s="24" t="s">
        <v>395</v>
      </c>
      <c r="AK42" s="24">
        <f>-AK18</f>
        <v>1000</v>
      </c>
    </row>
    <row r="43" spans="1:75" x14ac:dyDescent="0.45">
      <c r="C43" s="24">
        <v>5000</v>
      </c>
      <c r="P43" s="109">
        <v>-700</v>
      </c>
      <c r="S43" s="24">
        <f>400</f>
        <v>400</v>
      </c>
      <c r="V43" s="24" t="s">
        <v>243</v>
      </c>
      <c r="X43" s="115" t="s">
        <v>360</v>
      </c>
      <c r="Y43" s="109">
        <f>-$A$64*Y13</f>
        <v>-4000</v>
      </c>
    </row>
    <row r="44" spans="1:75" x14ac:dyDescent="0.45">
      <c r="V44" s="109">
        <v>-2100</v>
      </c>
      <c r="X44" s="115" t="s">
        <v>267</v>
      </c>
      <c r="Y44" s="109">
        <v>-650</v>
      </c>
    </row>
    <row r="45" spans="1:75" x14ac:dyDescent="0.45">
      <c r="B45" s="156"/>
      <c r="S45" s="24" t="s">
        <v>244</v>
      </c>
      <c r="X45" s="115" t="s">
        <v>266</v>
      </c>
      <c r="Y45" s="109">
        <v>-200</v>
      </c>
    </row>
    <row r="46" spans="1:75" x14ac:dyDescent="0.45">
      <c r="S46" s="24">
        <v>50</v>
      </c>
      <c r="X46" s="115"/>
    </row>
    <row r="47" spans="1:75" x14ac:dyDescent="0.45">
      <c r="X47" s="115" t="s">
        <v>269</v>
      </c>
      <c r="Y47" s="24">
        <v>-10</v>
      </c>
    </row>
    <row r="55" spans="1:2" s="205" customFormat="1" ht="14.65" thickBot="1" x14ac:dyDescent="0.5">
      <c r="A55" s="202"/>
      <c r="B55" s="204"/>
    </row>
    <row r="56" spans="1:2" ht="14.65" thickTop="1" x14ac:dyDescent="0.45"/>
    <row r="57" spans="1:2" x14ac:dyDescent="0.45">
      <c r="B57" s="156" t="s">
        <v>187</v>
      </c>
    </row>
    <row r="58" spans="1:2" x14ac:dyDescent="0.45">
      <c r="A58" s="23">
        <v>0.5</v>
      </c>
      <c r="B58" s="155" t="s">
        <v>179</v>
      </c>
    </row>
    <row r="59" spans="1:2" x14ac:dyDescent="0.45">
      <c r="A59" s="23">
        <v>180</v>
      </c>
      <c r="B59" s="155" t="s">
        <v>151</v>
      </c>
    </row>
    <row r="60" spans="1:2" x14ac:dyDescent="0.45">
      <c r="A60" s="23">
        <v>90</v>
      </c>
      <c r="B60" s="155" t="s">
        <v>152</v>
      </c>
    </row>
    <row r="62" spans="1:2" x14ac:dyDescent="0.45">
      <c r="A62" s="36">
        <v>6000</v>
      </c>
      <c r="B62" s="155" t="s">
        <v>286</v>
      </c>
    </row>
    <row r="63" spans="1:2" x14ac:dyDescent="0.45">
      <c r="A63" s="36">
        <v>3000</v>
      </c>
      <c r="B63" s="155" t="s">
        <v>285</v>
      </c>
    </row>
    <row r="64" spans="1:2" x14ac:dyDescent="0.45">
      <c r="A64" s="36">
        <v>1000</v>
      </c>
      <c r="B64" s="155" t="s">
        <v>284</v>
      </c>
    </row>
    <row r="65" spans="1:2" x14ac:dyDescent="0.45">
      <c r="A65" s="36">
        <f>A66*2</f>
        <v>150</v>
      </c>
      <c r="B65" s="155" t="s">
        <v>280</v>
      </c>
    </row>
    <row r="66" spans="1:2" x14ac:dyDescent="0.45">
      <c r="A66" s="36">
        <f>A67*3</f>
        <v>75</v>
      </c>
      <c r="B66" s="155" t="s">
        <v>281</v>
      </c>
    </row>
    <row r="67" spans="1:2" x14ac:dyDescent="0.45">
      <c r="A67" s="36">
        <v>25</v>
      </c>
      <c r="B67" s="155" t="s">
        <v>279</v>
      </c>
    </row>
    <row r="69" spans="1:2" x14ac:dyDescent="0.45">
      <c r="A69" s="47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ACF6-59E3-41D1-80AD-913CE0E8C693}">
  <sheetPr>
    <tabColor rgb="FFFFFF00"/>
  </sheetPr>
  <dimension ref="A1:CR47"/>
  <sheetViews>
    <sheetView topLeftCell="BN1" workbookViewId="0">
      <selection activeCell="AP26" sqref="AO6:BW26"/>
    </sheetView>
  </sheetViews>
  <sheetFormatPr defaultColWidth="11.06640625" defaultRowHeight="14.25" x14ac:dyDescent="0.45"/>
  <cols>
    <col min="1" max="1" width="22.46484375" style="216" customWidth="1"/>
    <col min="2" max="2" width="27.265625" style="155" bestFit="1" customWidth="1"/>
    <col min="3" max="16384" width="11.06640625" style="24"/>
  </cols>
  <sheetData>
    <row r="1" spans="1:96" s="48" customFormat="1" ht="21" x14ac:dyDescent="0.65">
      <c r="A1" s="228"/>
      <c r="B1" s="219" t="s">
        <v>124</v>
      </c>
      <c r="C1" s="171"/>
      <c r="D1" s="172" t="s">
        <v>98</v>
      </c>
      <c r="E1" s="172" t="s">
        <v>99</v>
      </c>
      <c r="F1" s="172" t="s">
        <v>100</v>
      </c>
      <c r="G1" s="173" t="s">
        <v>101</v>
      </c>
      <c r="H1" s="173" t="s">
        <v>102</v>
      </c>
      <c r="I1" s="173" t="s">
        <v>103</v>
      </c>
      <c r="J1" s="174" t="s">
        <v>104</v>
      </c>
      <c r="K1" s="174" t="s">
        <v>105</v>
      </c>
      <c r="L1" s="174" t="s">
        <v>106</v>
      </c>
      <c r="M1" s="175" t="s">
        <v>107</v>
      </c>
      <c r="N1" s="175" t="s">
        <v>108</v>
      </c>
      <c r="O1" s="175" t="s">
        <v>109</v>
      </c>
      <c r="P1" s="172" t="s">
        <v>98</v>
      </c>
      <c r="Q1" s="172" t="s">
        <v>99</v>
      </c>
      <c r="R1" s="172" t="s">
        <v>100</v>
      </c>
      <c r="S1" s="173" t="s">
        <v>101</v>
      </c>
      <c r="T1" s="173" t="s">
        <v>102</v>
      </c>
      <c r="U1" s="173" t="s">
        <v>103</v>
      </c>
      <c r="V1" s="174" t="s">
        <v>104</v>
      </c>
      <c r="W1" s="174" t="s">
        <v>105</v>
      </c>
      <c r="X1" s="174" t="s">
        <v>106</v>
      </c>
      <c r="Y1" s="175" t="s">
        <v>107</v>
      </c>
      <c r="Z1" s="175" t="s">
        <v>108</v>
      </c>
      <c r="AA1" s="175" t="s">
        <v>109</v>
      </c>
      <c r="AB1" s="172" t="s">
        <v>98</v>
      </c>
      <c r="AC1" s="172" t="s">
        <v>99</v>
      </c>
      <c r="AD1" s="172" t="s">
        <v>100</v>
      </c>
      <c r="AE1" s="173" t="s">
        <v>101</v>
      </c>
      <c r="AF1" s="173" t="s">
        <v>102</v>
      </c>
      <c r="AG1" s="173" t="s">
        <v>103</v>
      </c>
      <c r="AH1" s="174" t="s">
        <v>104</v>
      </c>
      <c r="AI1" s="174" t="s">
        <v>105</v>
      </c>
      <c r="AJ1" s="174" t="s">
        <v>106</v>
      </c>
      <c r="AK1" s="175" t="s">
        <v>107</v>
      </c>
      <c r="AL1" s="175" t="s">
        <v>108</v>
      </c>
      <c r="AM1" s="175" t="s">
        <v>109</v>
      </c>
      <c r="AN1" s="172" t="s">
        <v>98</v>
      </c>
      <c r="AO1" s="172" t="s">
        <v>99</v>
      </c>
      <c r="AP1" s="172" t="s">
        <v>100</v>
      </c>
      <c r="AQ1" s="173" t="s">
        <v>101</v>
      </c>
      <c r="AR1" s="173" t="s">
        <v>102</v>
      </c>
      <c r="AS1" s="173" t="s">
        <v>103</v>
      </c>
      <c r="AT1" s="174" t="s">
        <v>104</v>
      </c>
      <c r="AU1" s="174" t="s">
        <v>105</v>
      </c>
      <c r="AV1" s="174" t="s">
        <v>106</v>
      </c>
      <c r="AW1" s="175" t="s">
        <v>107</v>
      </c>
      <c r="AX1" s="175" t="s">
        <v>108</v>
      </c>
      <c r="AY1" s="175" t="s">
        <v>109</v>
      </c>
      <c r="AZ1" s="172" t="s">
        <v>98</v>
      </c>
      <c r="BA1" s="172" t="s">
        <v>99</v>
      </c>
      <c r="BB1" s="172" t="s">
        <v>100</v>
      </c>
      <c r="BC1" s="173" t="s">
        <v>101</v>
      </c>
      <c r="BD1" s="173" t="s">
        <v>102</v>
      </c>
      <c r="BE1" s="173" t="s">
        <v>103</v>
      </c>
      <c r="BF1" s="174" t="s">
        <v>104</v>
      </c>
      <c r="BG1" s="174" t="s">
        <v>105</v>
      </c>
      <c r="BH1" s="174" t="s">
        <v>106</v>
      </c>
      <c r="BI1" s="175" t="s">
        <v>107</v>
      </c>
      <c r="BJ1" s="175" t="s">
        <v>108</v>
      </c>
      <c r="BK1" s="175" t="s">
        <v>109</v>
      </c>
      <c r="BL1" s="172" t="s">
        <v>98</v>
      </c>
      <c r="BM1" s="172" t="s">
        <v>99</v>
      </c>
      <c r="BN1" s="172" t="s">
        <v>100</v>
      </c>
      <c r="BO1" s="173" t="s">
        <v>101</v>
      </c>
      <c r="BP1" s="173" t="s">
        <v>102</v>
      </c>
      <c r="BQ1" s="173" t="s">
        <v>103</v>
      </c>
      <c r="BR1" s="174" t="s">
        <v>104</v>
      </c>
      <c r="BS1" s="174" t="s">
        <v>105</v>
      </c>
      <c r="BT1" s="174" t="s">
        <v>106</v>
      </c>
      <c r="BU1" s="175" t="s">
        <v>107</v>
      </c>
      <c r="BV1" s="175" t="s">
        <v>108</v>
      </c>
      <c r="BW1" s="175" t="s">
        <v>109</v>
      </c>
      <c r="BX1" s="172" t="s">
        <v>98</v>
      </c>
      <c r="BY1" s="172" t="s">
        <v>99</v>
      </c>
      <c r="BZ1" s="172" t="s">
        <v>100</v>
      </c>
      <c r="CA1" s="173" t="s">
        <v>101</v>
      </c>
      <c r="CB1" s="173" t="s">
        <v>102</v>
      </c>
      <c r="CC1" s="173" t="s">
        <v>103</v>
      </c>
      <c r="CD1" s="174" t="s">
        <v>104</v>
      </c>
      <c r="CE1" s="174" t="s">
        <v>105</v>
      </c>
      <c r="CF1" s="174" t="s">
        <v>106</v>
      </c>
      <c r="CG1" s="175" t="s">
        <v>107</v>
      </c>
      <c r="CH1" s="175" t="s">
        <v>108</v>
      </c>
      <c r="CI1" s="175" t="s">
        <v>109</v>
      </c>
      <c r="CJ1" s="172" t="s">
        <v>98</v>
      </c>
      <c r="CK1" s="172" t="s">
        <v>99</v>
      </c>
      <c r="CL1" s="172" t="s">
        <v>100</v>
      </c>
      <c r="CM1" s="173" t="s">
        <v>101</v>
      </c>
      <c r="CN1" s="173" t="s">
        <v>102</v>
      </c>
      <c r="CO1" s="173" t="s">
        <v>103</v>
      </c>
      <c r="CP1" s="174" t="s">
        <v>104</v>
      </c>
      <c r="CQ1" s="174" t="s">
        <v>105</v>
      </c>
      <c r="CR1" s="174" t="s">
        <v>106</v>
      </c>
    </row>
    <row r="2" spans="1:96" s="83" customFormat="1" x14ac:dyDescent="0.45">
      <c r="A2" s="216"/>
      <c r="B2" s="147" t="s">
        <v>1</v>
      </c>
      <c r="D2" s="83">
        <v>1532</v>
      </c>
      <c r="E2" s="83">
        <f t="shared" ref="E2:AJ2" si="0">D2+IF(E1="Gennaio",1,0)</f>
        <v>1532</v>
      </c>
      <c r="F2" s="83">
        <f t="shared" si="0"/>
        <v>1532</v>
      </c>
      <c r="G2" s="83">
        <f t="shared" si="0"/>
        <v>1532</v>
      </c>
      <c r="H2" s="83">
        <f t="shared" si="0"/>
        <v>1532</v>
      </c>
      <c r="I2" s="83">
        <f t="shared" si="0"/>
        <v>1532</v>
      </c>
      <c r="J2" s="83">
        <f t="shared" si="0"/>
        <v>1532</v>
      </c>
      <c r="K2" s="83">
        <f t="shared" si="0"/>
        <v>1532</v>
      </c>
      <c r="L2" s="83">
        <f t="shared" si="0"/>
        <v>1532</v>
      </c>
      <c r="M2" s="83">
        <f t="shared" si="0"/>
        <v>1533</v>
      </c>
      <c r="N2" s="83">
        <f t="shared" si="0"/>
        <v>1533</v>
      </c>
      <c r="O2" s="83">
        <f t="shared" si="0"/>
        <v>1533</v>
      </c>
      <c r="P2" s="83">
        <f t="shared" si="0"/>
        <v>1533</v>
      </c>
      <c r="Q2" s="83">
        <f t="shared" si="0"/>
        <v>1533</v>
      </c>
      <c r="R2" s="83">
        <f t="shared" si="0"/>
        <v>1533</v>
      </c>
      <c r="S2" s="83">
        <f t="shared" si="0"/>
        <v>1533</v>
      </c>
      <c r="T2" s="83">
        <f t="shared" si="0"/>
        <v>1533</v>
      </c>
      <c r="U2" s="83">
        <f t="shared" si="0"/>
        <v>1533</v>
      </c>
      <c r="V2" s="83">
        <f t="shared" si="0"/>
        <v>1533</v>
      </c>
      <c r="W2" s="83">
        <f t="shared" si="0"/>
        <v>1533</v>
      </c>
      <c r="X2" s="83">
        <f t="shared" si="0"/>
        <v>1533</v>
      </c>
      <c r="Y2" s="83">
        <f t="shared" si="0"/>
        <v>1534</v>
      </c>
      <c r="Z2" s="83">
        <f t="shared" si="0"/>
        <v>1534</v>
      </c>
      <c r="AA2" s="83">
        <f t="shared" si="0"/>
        <v>1534</v>
      </c>
      <c r="AB2" s="83">
        <f t="shared" si="0"/>
        <v>1534</v>
      </c>
      <c r="AC2" s="83">
        <f t="shared" si="0"/>
        <v>1534</v>
      </c>
      <c r="AD2" s="83">
        <f t="shared" si="0"/>
        <v>1534</v>
      </c>
      <c r="AE2" s="83">
        <f t="shared" si="0"/>
        <v>1534</v>
      </c>
      <c r="AF2" s="83">
        <f t="shared" si="0"/>
        <v>1534</v>
      </c>
      <c r="AG2" s="83">
        <f t="shared" si="0"/>
        <v>1534</v>
      </c>
      <c r="AH2" s="83">
        <f t="shared" si="0"/>
        <v>1534</v>
      </c>
      <c r="AI2" s="83">
        <f t="shared" si="0"/>
        <v>1534</v>
      </c>
      <c r="AJ2" s="83">
        <f t="shared" si="0"/>
        <v>1534</v>
      </c>
      <c r="AK2" s="83">
        <f t="shared" ref="AK2:BP2" si="1">AJ2+IF(AK1="Gennaio",1,0)</f>
        <v>1535</v>
      </c>
      <c r="AL2" s="83">
        <f t="shared" si="1"/>
        <v>1535</v>
      </c>
      <c r="AM2" s="83">
        <f t="shared" si="1"/>
        <v>1535</v>
      </c>
      <c r="AN2" s="83">
        <f t="shared" si="1"/>
        <v>1535</v>
      </c>
      <c r="AO2" s="83">
        <f t="shared" si="1"/>
        <v>1535</v>
      </c>
      <c r="AP2" s="83">
        <f t="shared" si="1"/>
        <v>1535</v>
      </c>
      <c r="AQ2" s="83">
        <f t="shared" si="1"/>
        <v>1535</v>
      </c>
      <c r="AR2" s="83">
        <f t="shared" si="1"/>
        <v>1535</v>
      </c>
      <c r="AS2" s="83">
        <f t="shared" si="1"/>
        <v>1535</v>
      </c>
      <c r="AT2" s="83">
        <f t="shared" si="1"/>
        <v>1535</v>
      </c>
      <c r="AU2" s="83">
        <f t="shared" si="1"/>
        <v>1535</v>
      </c>
      <c r="AV2" s="83">
        <f t="shared" si="1"/>
        <v>1535</v>
      </c>
      <c r="AW2" s="83">
        <f t="shared" si="1"/>
        <v>1536</v>
      </c>
      <c r="AX2" s="83">
        <f t="shared" si="1"/>
        <v>1536</v>
      </c>
      <c r="AY2" s="83">
        <f t="shared" si="1"/>
        <v>1536</v>
      </c>
      <c r="AZ2" s="83">
        <f t="shared" si="1"/>
        <v>1536</v>
      </c>
      <c r="BA2" s="83">
        <f t="shared" si="1"/>
        <v>1536</v>
      </c>
      <c r="BB2" s="83">
        <f t="shared" si="1"/>
        <v>1536</v>
      </c>
      <c r="BC2" s="83">
        <f t="shared" si="1"/>
        <v>1536</v>
      </c>
      <c r="BD2" s="83">
        <f t="shared" si="1"/>
        <v>1536</v>
      </c>
      <c r="BE2" s="83">
        <f t="shared" si="1"/>
        <v>1536</v>
      </c>
      <c r="BF2" s="83">
        <f t="shared" si="1"/>
        <v>1536</v>
      </c>
      <c r="BG2" s="83">
        <f t="shared" si="1"/>
        <v>1536</v>
      </c>
      <c r="BH2" s="83">
        <f t="shared" si="1"/>
        <v>1536</v>
      </c>
      <c r="BI2" s="83">
        <f t="shared" si="1"/>
        <v>1537</v>
      </c>
      <c r="BJ2" s="83">
        <f t="shared" si="1"/>
        <v>1537</v>
      </c>
      <c r="BK2" s="83">
        <f t="shared" si="1"/>
        <v>1537</v>
      </c>
      <c r="BL2" s="83">
        <f t="shared" si="1"/>
        <v>1537</v>
      </c>
      <c r="BM2" s="83">
        <f t="shared" si="1"/>
        <v>1537</v>
      </c>
      <c r="BN2" s="83">
        <f t="shared" si="1"/>
        <v>1537</v>
      </c>
      <c r="BO2" s="83">
        <f t="shared" si="1"/>
        <v>1537</v>
      </c>
      <c r="BP2" s="83">
        <f t="shared" si="1"/>
        <v>1537</v>
      </c>
      <c r="BQ2" s="83">
        <f t="shared" ref="BQ2:CR2" si="2">BP2+IF(BQ1="Gennaio",1,0)</f>
        <v>1537</v>
      </c>
      <c r="BR2" s="83">
        <f t="shared" si="2"/>
        <v>1537</v>
      </c>
      <c r="BS2" s="83">
        <f t="shared" si="2"/>
        <v>1537</v>
      </c>
      <c r="BT2" s="83">
        <f t="shared" si="2"/>
        <v>1537</v>
      </c>
      <c r="BU2" s="83">
        <f t="shared" si="2"/>
        <v>1538</v>
      </c>
      <c r="BV2" s="83">
        <f t="shared" si="2"/>
        <v>1538</v>
      </c>
      <c r="BW2" s="83">
        <f t="shared" si="2"/>
        <v>1538</v>
      </c>
      <c r="BX2" s="83">
        <f t="shared" si="2"/>
        <v>1538</v>
      </c>
      <c r="BY2" s="83">
        <f t="shared" si="2"/>
        <v>1538</v>
      </c>
      <c r="BZ2" s="83">
        <f t="shared" si="2"/>
        <v>1538</v>
      </c>
      <c r="CA2" s="83">
        <f t="shared" si="2"/>
        <v>1538</v>
      </c>
      <c r="CB2" s="83">
        <f t="shared" si="2"/>
        <v>1538</v>
      </c>
      <c r="CC2" s="83">
        <f t="shared" si="2"/>
        <v>1538</v>
      </c>
      <c r="CD2" s="83">
        <f t="shared" si="2"/>
        <v>1538</v>
      </c>
      <c r="CE2" s="83">
        <f t="shared" si="2"/>
        <v>1538</v>
      </c>
      <c r="CF2" s="83">
        <f t="shared" si="2"/>
        <v>1538</v>
      </c>
      <c r="CG2" s="83">
        <f t="shared" si="2"/>
        <v>1539</v>
      </c>
      <c r="CH2" s="83">
        <f t="shared" si="2"/>
        <v>1539</v>
      </c>
      <c r="CI2" s="83">
        <f t="shared" si="2"/>
        <v>1539</v>
      </c>
      <c r="CJ2" s="83">
        <f t="shared" si="2"/>
        <v>1539</v>
      </c>
      <c r="CK2" s="83">
        <f t="shared" si="2"/>
        <v>1539</v>
      </c>
      <c r="CL2" s="83">
        <f t="shared" si="2"/>
        <v>1539</v>
      </c>
      <c r="CM2" s="83">
        <f t="shared" si="2"/>
        <v>1539</v>
      </c>
      <c r="CN2" s="83">
        <f t="shared" si="2"/>
        <v>1539</v>
      </c>
      <c r="CO2" s="83">
        <f t="shared" si="2"/>
        <v>1539</v>
      </c>
      <c r="CP2" s="83">
        <f t="shared" si="2"/>
        <v>1539</v>
      </c>
      <c r="CQ2" s="83">
        <f t="shared" si="2"/>
        <v>1539</v>
      </c>
      <c r="CR2" s="83">
        <f t="shared" si="2"/>
        <v>1539</v>
      </c>
    </row>
    <row r="3" spans="1:96" s="146" customFormat="1" x14ac:dyDescent="0.45">
      <c r="A3" s="229"/>
      <c r="B3" s="148" t="s">
        <v>94</v>
      </c>
      <c r="D3" s="146">
        <f>C3+1</f>
        <v>1</v>
      </c>
      <c r="E3" s="146">
        <f t="shared" ref="E3:BP3" si="3">D3+1</f>
        <v>2</v>
      </c>
      <c r="F3" s="146">
        <f t="shared" si="3"/>
        <v>3</v>
      </c>
      <c r="G3" s="146">
        <f t="shared" si="3"/>
        <v>4</v>
      </c>
      <c r="H3" s="146">
        <f t="shared" si="3"/>
        <v>5</v>
      </c>
      <c r="I3" s="146">
        <f t="shared" si="3"/>
        <v>6</v>
      </c>
      <c r="J3" s="146">
        <f t="shared" si="3"/>
        <v>7</v>
      </c>
      <c r="K3" s="146">
        <f t="shared" si="3"/>
        <v>8</v>
      </c>
      <c r="L3" s="146">
        <f t="shared" si="3"/>
        <v>9</v>
      </c>
      <c r="M3" s="146">
        <f t="shared" si="3"/>
        <v>10</v>
      </c>
      <c r="N3" s="146">
        <f t="shared" si="3"/>
        <v>11</v>
      </c>
      <c r="O3" s="146">
        <f t="shared" si="3"/>
        <v>12</v>
      </c>
      <c r="P3" s="146">
        <f t="shared" si="3"/>
        <v>13</v>
      </c>
      <c r="Q3" s="146">
        <f t="shared" si="3"/>
        <v>14</v>
      </c>
      <c r="R3" s="146">
        <f t="shared" si="3"/>
        <v>15</v>
      </c>
      <c r="S3" s="146">
        <f t="shared" si="3"/>
        <v>16</v>
      </c>
      <c r="T3" s="146">
        <f t="shared" si="3"/>
        <v>17</v>
      </c>
      <c r="U3" s="146">
        <f>T3+1</f>
        <v>18</v>
      </c>
      <c r="V3" s="146">
        <f t="shared" si="3"/>
        <v>19</v>
      </c>
      <c r="W3" s="146">
        <f t="shared" si="3"/>
        <v>20</v>
      </c>
      <c r="X3" s="146">
        <f t="shared" si="3"/>
        <v>21</v>
      </c>
      <c r="Y3" s="146">
        <f t="shared" si="3"/>
        <v>22</v>
      </c>
      <c r="Z3" s="146">
        <f t="shared" si="3"/>
        <v>23</v>
      </c>
      <c r="AA3" s="146">
        <f t="shared" si="3"/>
        <v>24</v>
      </c>
      <c r="AB3" s="146">
        <f t="shared" si="3"/>
        <v>25</v>
      </c>
      <c r="AC3" s="146">
        <f t="shared" si="3"/>
        <v>26</v>
      </c>
      <c r="AD3" s="146">
        <f t="shared" si="3"/>
        <v>27</v>
      </c>
      <c r="AE3" s="146">
        <f t="shared" si="3"/>
        <v>28</v>
      </c>
      <c r="AF3" s="146">
        <f t="shared" si="3"/>
        <v>29</v>
      </c>
      <c r="AG3" s="146">
        <f t="shared" si="3"/>
        <v>30</v>
      </c>
      <c r="AH3" s="146">
        <f t="shared" si="3"/>
        <v>31</v>
      </c>
      <c r="AI3" s="146">
        <f t="shared" si="3"/>
        <v>32</v>
      </c>
      <c r="AJ3" s="146">
        <f t="shared" si="3"/>
        <v>33</v>
      </c>
      <c r="AK3" s="146">
        <f t="shared" si="3"/>
        <v>34</v>
      </c>
      <c r="AL3" s="146">
        <f t="shared" si="3"/>
        <v>35</v>
      </c>
      <c r="AM3" s="146">
        <f t="shared" si="3"/>
        <v>36</v>
      </c>
      <c r="AN3" s="146">
        <f t="shared" si="3"/>
        <v>37</v>
      </c>
      <c r="AO3" s="146">
        <f t="shared" si="3"/>
        <v>38</v>
      </c>
      <c r="AP3" s="146">
        <f t="shared" si="3"/>
        <v>39</v>
      </c>
      <c r="AQ3" s="146">
        <f t="shared" si="3"/>
        <v>40</v>
      </c>
      <c r="AR3" s="146">
        <f t="shared" si="3"/>
        <v>41</v>
      </c>
      <c r="AS3" s="146">
        <f t="shared" si="3"/>
        <v>42</v>
      </c>
      <c r="AT3" s="146">
        <f t="shared" si="3"/>
        <v>43</v>
      </c>
      <c r="AU3" s="146">
        <f t="shared" si="3"/>
        <v>44</v>
      </c>
      <c r="AV3" s="146">
        <f t="shared" si="3"/>
        <v>45</v>
      </c>
      <c r="AW3" s="146">
        <f t="shared" si="3"/>
        <v>46</v>
      </c>
      <c r="AX3" s="146">
        <f t="shared" si="3"/>
        <v>47</v>
      </c>
      <c r="AY3" s="146">
        <f t="shared" si="3"/>
        <v>48</v>
      </c>
      <c r="AZ3" s="146">
        <f t="shared" si="3"/>
        <v>49</v>
      </c>
      <c r="BA3" s="146">
        <f t="shared" si="3"/>
        <v>50</v>
      </c>
      <c r="BB3" s="146">
        <f t="shared" si="3"/>
        <v>51</v>
      </c>
      <c r="BC3" s="146">
        <f t="shared" si="3"/>
        <v>52</v>
      </c>
      <c r="BD3" s="146">
        <f t="shared" si="3"/>
        <v>53</v>
      </c>
      <c r="BE3" s="146">
        <f t="shared" si="3"/>
        <v>54</v>
      </c>
      <c r="BF3" s="146">
        <f t="shared" si="3"/>
        <v>55</v>
      </c>
      <c r="BG3" s="146">
        <f t="shared" si="3"/>
        <v>56</v>
      </c>
      <c r="BH3" s="146">
        <f t="shared" si="3"/>
        <v>57</v>
      </c>
      <c r="BI3" s="146">
        <f t="shared" si="3"/>
        <v>58</v>
      </c>
      <c r="BJ3" s="146">
        <f t="shared" si="3"/>
        <v>59</v>
      </c>
      <c r="BK3" s="146">
        <f t="shared" si="3"/>
        <v>60</v>
      </c>
      <c r="BL3" s="146">
        <f t="shared" si="3"/>
        <v>61</v>
      </c>
      <c r="BM3" s="146">
        <f t="shared" si="3"/>
        <v>62</v>
      </c>
      <c r="BN3" s="146">
        <f t="shared" si="3"/>
        <v>63</v>
      </c>
      <c r="BO3" s="146">
        <f t="shared" si="3"/>
        <v>64</v>
      </c>
      <c r="BP3" s="146">
        <f t="shared" si="3"/>
        <v>65</v>
      </c>
      <c r="BQ3" s="146">
        <f t="shared" ref="BQ3:CR3" si="4">BP3+1</f>
        <v>66</v>
      </c>
      <c r="BR3" s="146">
        <f t="shared" si="4"/>
        <v>67</v>
      </c>
      <c r="BS3" s="146">
        <f t="shared" si="4"/>
        <v>68</v>
      </c>
      <c r="BT3" s="146">
        <f t="shared" si="4"/>
        <v>69</v>
      </c>
      <c r="BU3" s="146">
        <f t="shared" si="4"/>
        <v>70</v>
      </c>
      <c r="BV3" s="146">
        <f t="shared" si="4"/>
        <v>71</v>
      </c>
      <c r="BW3" s="146">
        <f t="shared" si="4"/>
        <v>72</v>
      </c>
      <c r="BX3" s="146">
        <f t="shared" si="4"/>
        <v>73</v>
      </c>
      <c r="BY3" s="146">
        <f t="shared" si="4"/>
        <v>74</v>
      </c>
      <c r="BZ3" s="146">
        <f t="shared" si="4"/>
        <v>75</v>
      </c>
      <c r="CA3" s="146">
        <f t="shared" si="4"/>
        <v>76</v>
      </c>
      <c r="CB3" s="146">
        <f t="shared" si="4"/>
        <v>77</v>
      </c>
      <c r="CC3" s="146">
        <f t="shared" si="4"/>
        <v>78</v>
      </c>
      <c r="CD3" s="146">
        <f t="shared" si="4"/>
        <v>79</v>
      </c>
      <c r="CE3" s="146">
        <f t="shared" si="4"/>
        <v>80</v>
      </c>
      <c r="CF3" s="146">
        <f t="shared" si="4"/>
        <v>81</v>
      </c>
      <c r="CG3" s="146">
        <f t="shared" si="4"/>
        <v>82</v>
      </c>
      <c r="CH3" s="146">
        <f t="shared" si="4"/>
        <v>83</v>
      </c>
      <c r="CI3" s="146">
        <f t="shared" si="4"/>
        <v>84</v>
      </c>
      <c r="CJ3" s="146">
        <f t="shared" si="4"/>
        <v>85</v>
      </c>
      <c r="CK3" s="146">
        <f t="shared" si="4"/>
        <v>86</v>
      </c>
      <c r="CL3" s="146">
        <f t="shared" si="4"/>
        <v>87</v>
      </c>
      <c r="CM3" s="146">
        <f t="shared" si="4"/>
        <v>88</v>
      </c>
      <c r="CN3" s="146">
        <f t="shared" si="4"/>
        <v>89</v>
      </c>
      <c r="CO3" s="146">
        <f t="shared" si="4"/>
        <v>90</v>
      </c>
      <c r="CP3" s="146">
        <f t="shared" si="4"/>
        <v>91</v>
      </c>
      <c r="CQ3" s="146">
        <f t="shared" si="4"/>
        <v>92</v>
      </c>
      <c r="CR3" s="146">
        <f t="shared" si="4"/>
        <v>93</v>
      </c>
    </row>
    <row r="4" spans="1:96" s="36" customFormat="1" x14ac:dyDescent="0.45">
      <c r="A4" s="230"/>
      <c r="B4" s="149"/>
      <c r="AK4" s="39"/>
    </row>
    <row r="5" spans="1:96" s="36" customFormat="1" x14ac:dyDescent="0.45">
      <c r="A5" s="230"/>
      <c r="B5" s="150" t="s">
        <v>249</v>
      </c>
      <c r="C5" s="36">
        <f>ABS(C34)</f>
        <v>700</v>
      </c>
      <c r="D5" s="36">
        <f>ABS(D23)</f>
        <v>35</v>
      </c>
      <c r="E5" s="36">
        <f>ABS(E18+E19)</f>
        <v>1020</v>
      </c>
      <c r="AB5" s="36">
        <f>ABS(AB33+AB34+AB31)</f>
        <v>8350</v>
      </c>
      <c r="AE5" s="36">
        <f>-AE31</f>
        <v>500</v>
      </c>
    </row>
    <row r="6" spans="1:96" s="48" customFormat="1" x14ac:dyDescent="0.45">
      <c r="A6" s="231"/>
      <c r="B6" s="151" t="s">
        <v>256</v>
      </c>
      <c r="D6" s="142">
        <f>SUM($C5:D5)+D7</f>
        <v>4235</v>
      </c>
      <c r="E6" s="142">
        <f>SUM($C5:E5)+E7</f>
        <v>4514</v>
      </c>
      <c r="F6" s="142">
        <f>SUM($C5:F5)+F7</f>
        <v>4803</v>
      </c>
      <c r="G6" s="142">
        <f>SUM($C5:G5)+G7</f>
        <v>5156</v>
      </c>
      <c r="H6" s="142">
        <f>SUM($C5:H5)+H7</f>
        <v>5492</v>
      </c>
      <c r="I6" s="142">
        <f>SUM($C5:I5)+I7</f>
        <v>5833</v>
      </c>
      <c r="J6" s="142">
        <f>SUM($C5:J5)+J7</f>
        <v>6147</v>
      </c>
      <c r="K6" s="142">
        <f>SUM($C5:K5)+K7</f>
        <v>6465</v>
      </c>
      <c r="L6" s="142">
        <f>SUM($C5:L5)+L7</f>
        <v>6782</v>
      </c>
      <c r="M6" s="142">
        <f>SUM($C5:M5)+M7</f>
        <v>7012</v>
      </c>
      <c r="N6" s="142">
        <f>SUM($C5:N5)+N7</f>
        <v>7242</v>
      </c>
      <c r="O6" s="142">
        <f>SUM($C5:O5)+O7</f>
        <v>10772</v>
      </c>
      <c r="P6" s="142">
        <f>SUM($C5:P5)+P7</f>
        <v>11002</v>
      </c>
      <c r="Q6" s="142">
        <f>SUM($C5:Q5)+Q7</f>
        <v>11232</v>
      </c>
      <c r="R6" s="142">
        <f>SUM($C5:R5)+R7</f>
        <v>11462</v>
      </c>
      <c r="S6" s="142">
        <f>SUM($C5:S5)+S7</f>
        <v>11692</v>
      </c>
      <c r="T6" s="142">
        <f>SUM($C5:T5)+T7</f>
        <v>11922</v>
      </c>
      <c r="U6" s="142">
        <f>SUM($C5:U5)+U7</f>
        <v>12152</v>
      </c>
      <c r="V6" s="142">
        <f>SUM($C5:V5)+V7</f>
        <v>12382</v>
      </c>
      <c r="W6" s="142">
        <f>SUM($C5:W5)+W7</f>
        <v>12612</v>
      </c>
      <c r="X6" s="142">
        <f>SUM($C5:X5)+X7</f>
        <v>12842</v>
      </c>
      <c r="Y6" s="142">
        <f>SUM($C5:Y5)+Y7</f>
        <v>13422</v>
      </c>
      <c r="Z6" s="142">
        <f>SUM($C5:Z5)+Z7</f>
        <v>14002</v>
      </c>
      <c r="AA6" s="142">
        <f>SUM($C5:AA5)+AA7</f>
        <v>14582</v>
      </c>
      <c r="AB6" s="142">
        <f>SUM($C5:AB5)+AB7</f>
        <v>15162</v>
      </c>
      <c r="AC6" s="142">
        <f>SUM($C5:AC5)+AC7</f>
        <v>15742</v>
      </c>
      <c r="AD6" s="142">
        <f>SUM($C5:AD5)+AD7</f>
        <v>16322</v>
      </c>
      <c r="AE6" s="142">
        <f>SUM($C5:AE5)+AE7</f>
        <v>20932</v>
      </c>
      <c r="AF6" s="142">
        <f>SUM($C5:AF5)+AF7</f>
        <v>21712</v>
      </c>
      <c r="AG6" s="142">
        <f>SUM($C5:AG5)+AG7</f>
        <v>22492</v>
      </c>
      <c r="AH6" s="142">
        <f>SUM($C5:AH5)+AH7</f>
        <v>23272</v>
      </c>
      <c r="AI6" s="142">
        <f>SUM($C5:AI5)+AI7</f>
        <v>24052</v>
      </c>
      <c r="AJ6" s="142">
        <f>SUM($C5:AJ5)+AJ7</f>
        <v>24832</v>
      </c>
      <c r="AK6" s="142">
        <f>SUM($C5:AK5)+AK7</f>
        <v>25762</v>
      </c>
      <c r="AL6" s="142">
        <f>SUM($C5:AL5)+AL7</f>
        <v>26542</v>
      </c>
      <c r="AM6" s="142">
        <f>SUM($C5:AM5)+AM7</f>
        <v>27322</v>
      </c>
      <c r="AN6" s="142">
        <f>SUM($C5:AN5)+AN7</f>
        <v>28102</v>
      </c>
      <c r="AO6" s="142">
        <f>SUM($C5:AO5)+AO7</f>
        <v>28882</v>
      </c>
      <c r="AP6" s="142">
        <f>SUM($C5:AP5)+AP7</f>
        <v>29662</v>
      </c>
      <c r="AQ6" s="142">
        <f>SUM($C5:AQ5)+AQ7</f>
        <v>30442</v>
      </c>
      <c r="AR6" s="142">
        <f>SUM($C5:AR5)+AR7</f>
        <v>31222</v>
      </c>
      <c r="AS6" s="142">
        <f>SUM($C5:AS5)+AS7</f>
        <v>32002</v>
      </c>
      <c r="AT6" s="142">
        <f>SUM($C5:AT5)+AT7</f>
        <v>32782</v>
      </c>
      <c r="AU6" s="142">
        <f>SUM($C5:AU5)+AU7</f>
        <v>33562</v>
      </c>
      <c r="AV6" s="142">
        <f>SUM($C5:AV5)+AV7</f>
        <v>34342</v>
      </c>
      <c r="AW6" s="142">
        <f>SUM($C5:AW5)+AW7</f>
        <v>35122</v>
      </c>
      <c r="AX6" s="142">
        <f>SUM($C5:AX5)+AX7</f>
        <v>35902</v>
      </c>
      <c r="AY6" s="142">
        <f>SUM($C5:AY5)+AY7</f>
        <v>36682</v>
      </c>
      <c r="AZ6" s="142">
        <f>SUM($C5:AZ5)+AZ7</f>
        <v>37462</v>
      </c>
      <c r="BA6" s="142">
        <f>SUM($C5:BA5)+BA7</f>
        <v>38242</v>
      </c>
      <c r="BB6" s="142">
        <f>SUM($C5:BB5)+BB7</f>
        <v>39022</v>
      </c>
      <c r="BC6" s="142">
        <f>SUM($C5:BC5)+BC7</f>
        <v>39802</v>
      </c>
      <c r="BD6" s="142">
        <f>SUM($C5:BD5)+BD7</f>
        <v>40582</v>
      </c>
      <c r="BE6" s="142">
        <f>SUM($C5:BE5)+BE7</f>
        <v>41362</v>
      </c>
      <c r="BF6" s="142">
        <f>SUM($C5:BF5)+BF7</f>
        <v>42142</v>
      </c>
      <c r="BG6" s="142">
        <f>SUM($C5:BG5)+BG7</f>
        <v>42922</v>
      </c>
      <c r="BH6" s="142">
        <f>SUM($C5:BH5)+BH7</f>
        <v>43702</v>
      </c>
      <c r="BI6" s="142">
        <f>SUM($C5:BI5)+BI7</f>
        <v>44482</v>
      </c>
      <c r="BJ6" s="142">
        <f>SUM($C5:BJ5)+BJ7</f>
        <v>45262</v>
      </c>
      <c r="BK6" s="142">
        <f>SUM($C5:BK5)+BK7</f>
        <v>46042</v>
      </c>
      <c r="BL6" s="142">
        <f>SUM($C5:BL5)+BL7</f>
        <v>46822</v>
      </c>
      <c r="BM6" s="142">
        <f>SUM($C5:BM5)+BM7</f>
        <v>47602</v>
      </c>
      <c r="BN6" s="142">
        <f>SUM($C5:BN5)+BN7</f>
        <v>48382</v>
      </c>
      <c r="BO6" s="142">
        <f>SUM($C5:BO5)+BO7</f>
        <v>49162</v>
      </c>
      <c r="BP6" s="142">
        <f>SUM($C5:BP5)+BP7</f>
        <v>49942</v>
      </c>
      <c r="BQ6" s="142">
        <f>SUM($C5:BQ5)+BQ7</f>
        <v>50722</v>
      </c>
      <c r="BR6" s="142">
        <f>SUM($C5:BR5)+BR7</f>
        <v>51502</v>
      </c>
      <c r="BS6" s="142">
        <f>SUM($C5:BS5)+BS7</f>
        <v>52282</v>
      </c>
      <c r="BT6" s="142">
        <f>SUM($C5:BT5)+BT7</f>
        <v>53062</v>
      </c>
      <c r="BU6" s="142">
        <f>SUM($C5:BU5)+BU7</f>
        <v>53842</v>
      </c>
      <c r="BV6" s="142">
        <f>SUM($C5:BV5)+BV7</f>
        <v>54622</v>
      </c>
      <c r="BW6" s="142">
        <f>SUM($C5:BW5)+BW7</f>
        <v>55402</v>
      </c>
    </row>
    <row r="7" spans="1:96" x14ac:dyDescent="0.45">
      <c r="B7" s="152" t="s">
        <v>121</v>
      </c>
      <c r="C7" s="24">
        <f>SUM(C11:C1048576)</f>
        <v>4300</v>
      </c>
      <c r="D7" s="24">
        <f>C7+SUM(D11:D40)</f>
        <v>3500</v>
      </c>
      <c r="E7" s="24">
        <f t="shared" ref="E7:AM7" si="5">D7+SUM(E11:E40)</f>
        <v>2759</v>
      </c>
      <c r="F7" s="24">
        <f t="shared" si="5"/>
        <v>3048</v>
      </c>
      <c r="G7" s="24">
        <f t="shared" si="5"/>
        <v>3401</v>
      </c>
      <c r="H7" s="24">
        <f t="shared" si="5"/>
        <v>3737</v>
      </c>
      <c r="I7" s="24">
        <f t="shared" si="5"/>
        <v>4078</v>
      </c>
      <c r="J7" s="24">
        <f t="shared" si="5"/>
        <v>4392</v>
      </c>
      <c r="K7" s="24">
        <f t="shared" si="5"/>
        <v>4710</v>
      </c>
      <c r="L7" s="24">
        <f t="shared" si="5"/>
        <v>5027</v>
      </c>
      <c r="M7" s="24">
        <f t="shared" si="5"/>
        <v>5257</v>
      </c>
      <c r="N7" s="24">
        <f t="shared" si="5"/>
        <v>5487</v>
      </c>
      <c r="O7" s="24">
        <f t="shared" si="5"/>
        <v>9017</v>
      </c>
      <c r="P7" s="24">
        <f t="shared" si="5"/>
        <v>9247</v>
      </c>
      <c r="Q7" s="24">
        <f t="shared" si="5"/>
        <v>9477</v>
      </c>
      <c r="R7" s="24">
        <f t="shared" si="5"/>
        <v>9707</v>
      </c>
      <c r="S7" s="24">
        <f t="shared" si="5"/>
        <v>9937</v>
      </c>
      <c r="T7" s="24">
        <f t="shared" si="5"/>
        <v>10167</v>
      </c>
      <c r="U7" s="24">
        <f t="shared" si="5"/>
        <v>10397</v>
      </c>
      <c r="V7" s="24">
        <f t="shared" si="5"/>
        <v>10627</v>
      </c>
      <c r="W7" s="24">
        <f t="shared" si="5"/>
        <v>10857</v>
      </c>
      <c r="X7" s="24">
        <f t="shared" si="5"/>
        <v>11087</v>
      </c>
      <c r="Y7" s="24">
        <f t="shared" si="5"/>
        <v>11667</v>
      </c>
      <c r="Z7" s="24">
        <f t="shared" si="5"/>
        <v>12247</v>
      </c>
      <c r="AA7" s="24">
        <f t="shared" si="5"/>
        <v>12827</v>
      </c>
      <c r="AB7" s="24">
        <f t="shared" si="5"/>
        <v>5057</v>
      </c>
      <c r="AC7" s="24">
        <f t="shared" si="5"/>
        <v>5637</v>
      </c>
      <c r="AD7" s="24">
        <f t="shared" si="5"/>
        <v>6217</v>
      </c>
      <c r="AE7" s="24">
        <f t="shared" si="5"/>
        <v>10327</v>
      </c>
      <c r="AF7" s="24">
        <f t="shared" si="5"/>
        <v>11107</v>
      </c>
      <c r="AG7" s="24">
        <f t="shared" si="5"/>
        <v>11887</v>
      </c>
      <c r="AH7" s="24">
        <f t="shared" si="5"/>
        <v>12667</v>
      </c>
      <c r="AI7" s="24">
        <f t="shared" si="5"/>
        <v>13447</v>
      </c>
      <c r="AJ7" s="24">
        <f t="shared" si="5"/>
        <v>14227</v>
      </c>
      <c r="AK7" s="24">
        <f t="shared" si="5"/>
        <v>15157</v>
      </c>
      <c r="AL7" s="24">
        <f t="shared" si="5"/>
        <v>15937</v>
      </c>
      <c r="AM7" s="24">
        <f t="shared" si="5"/>
        <v>16717</v>
      </c>
      <c r="AN7" s="24">
        <f t="shared" ref="AN7" si="6">AM7+SUM(AN11:AN40)</f>
        <v>17497</v>
      </c>
      <c r="AO7" s="24">
        <f>AN7+SUM(AO11:AO40)</f>
        <v>18277</v>
      </c>
      <c r="AP7" s="24">
        <f>AO7+SUM(AP11:AP40)</f>
        <v>19057</v>
      </c>
      <c r="AQ7" s="24">
        <f t="shared" ref="AQ7:BQ7" si="7">AP7+SUM(AQ11:AQ40)</f>
        <v>19837</v>
      </c>
      <c r="AR7" s="24">
        <f t="shared" si="7"/>
        <v>20617</v>
      </c>
      <c r="AS7" s="24">
        <f t="shared" si="7"/>
        <v>21397</v>
      </c>
      <c r="AT7" s="24">
        <f t="shared" si="7"/>
        <v>22177</v>
      </c>
      <c r="AU7" s="24">
        <f t="shared" si="7"/>
        <v>22957</v>
      </c>
      <c r="AV7" s="24">
        <f t="shared" si="7"/>
        <v>23737</v>
      </c>
      <c r="AW7" s="24">
        <f t="shared" si="7"/>
        <v>24517</v>
      </c>
      <c r="AX7" s="24">
        <f t="shared" si="7"/>
        <v>25297</v>
      </c>
      <c r="AY7" s="24">
        <f t="shared" si="7"/>
        <v>26077</v>
      </c>
      <c r="AZ7" s="24">
        <f t="shared" si="7"/>
        <v>26857</v>
      </c>
      <c r="BA7" s="24">
        <f t="shared" si="7"/>
        <v>27637</v>
      </c>
      <c r="BB7" s="24">
        <f t="shared" si="7"/>
        <v>28417</v>
      </c>
      <c r="BC7" s="24">
        <f t="shared" si="7"/>
        <v>29197</v>
      </c>
      <c r="BD7" s="24">
        <f t="shared" si="7"/>
        <v>29977</v>
      </c>
      <c r="BE7" s="24">
        <f t="shared" si="7"/>
        <v>30757</v>
      </c>
      <c r="BF7" s="24">
        <f t="shared" si="7"/>
        <v>31537</v>
      </c>
      <c r="BG7" s="24">
        <f t="shared" si="7"/>
        <v>32317</v>
      </c>
      <c r="BH7" s="24">
        <f t="shared" si="7"/>
        <v>33097</v>
      </c>
      <c r="BI7" s="24">
        <f t="shared" si="7"/>
        <v>33877</v>
      </c>
      <c r="BJ7" s="24">
        <f t="shared" si="7"/>
        <v>34657</v>
      </c>
      <c r="BK7" s="24">
        <f t="shared" si="7"/>
        <v>35437</v>
      </c>
      <c r="BL7" s="24">
        <f t="shared" si="7"/>
        <v>36217</v>
      </c>
      <c r="BM7" s="24">
        <f t="shared" si="7"/>
        <v>36997</v>
      </c>
      <c r="BN7" s="24">
        <f t="shared" si="7"/>
        <v>37777</v>
      </c>
      <c r="BO7" s="24">
        <f t="shared" si="7"/>
        <v>38557</v>
      </c>
      <c r="BP7" s="24">
        <f t="shared" si="7"/>
        <v>39337</v>
      </c>
      <c r="BQ7" s="24">
        <f t="shared" si="7"/>
        <v>40117</v>
      </c>
      <c r="BR7" s="24">
        <f>BQ7+SUM(BR11:BR40)</f>
        <v>40897</v>
      </c>
      <c r="BS7" s="24">
        <f>BR7+SUM(BS11:BS40)</f>
        <v>41677</v>
      </c>
      <c r="BT7" s="24">
        <f t="shared" ref="BT7:BW7" si="8">BS7+SUM(BT11:BT40)</f>
        <v>42457</v>
      </c>
      <c r="BU7" s="24">
        <f t="shared" si="8"/>
        <v>43237</v>
      </c>
      <c r="BV7" s="24">
        <f t="shared" si="8"/>
        <v>44017</v>
      </c>
      <c r="BW7" s="24">
        <f t="shared" si="8"/>
        <v>44797</v>
      </c>
    </row>
    <row r="8" spans="1:96" s="145" customFormat="1" x14ac:dyDescent="0.45">
      <c r="A8" s="229"/>
      <c r="B8" s="153" t="s">
        <v>122</v>
      </c>
      <c r="C8" s="143"/>
      <c r="D8" s="144">
        <f t="shared" ref="D8:H8" si="9">D7-C7</f>
        <v>-800</v>
      </c>
      <c r="E8" s="144">
        <f t="shared" si="9"/>
        <v>-741</v>
      </c>
      <c r="F8" s="144">
        <f t="shared" si="9"/>
        <v>289</v>
      </c>
      <c r="G8" s="144">
        <f t="shared" si="9"/>
        <v>353</v>
      </c>
      <c r="H8" s="144">
        <f t="shared" si="9"/>
        <v>336</v>
      </c>
      <c r="I8" s="144">
        <f>I7-H7</f>
        <v>341</v>
      </c>
      <c r="J8" s="144">
        <f t="shared" ref="J8:K8" si="10">J7-I7</f>
        <v>314</v>
      </c>
      <c r="K8" s="144">
        <f t="shared" si="10"/>
        <v>318</v>
      </c>
      <c r="L8" s="144">
        <f t="shared" ref="L8" si="11">L7-K7</f>
        <v>317</v>
      </c>
      <c r="M8" s="144">
        <f t="shared" ref="M8" si="12">M7-L7</f>
        <v>230</v>
      </c>
      <c r="N8" s="144">
        <f t="shared" ref="N8" si="13">N7-M7</f>
        <v>230</v>
      </c>
      <c r="O8" s="144">
        <f t="shared" ref="O8" si="14">O7-N7</f>
        <v>3530</v>
      </c>
      <c r="P8" s="144">
        <f t="shared" ref="P8" si="15">P7-O7</f>
        <v>230</v>
      </c>
      <c r="Q8" s="144">
        <f t="shared" ref="Q8" si="16">Q7-P7</f>
        <v>230</v>
      </c>
      <c r="R8" s="144">
        <f t="shared" ref="R8" si="17">R7-Q7</f>
        <v>230</v>
      </c>
      <c r="S8" s="144">
        <f t="shared" ref="S8" si="18">S7-R7</f>
        <v>230</v>
      </c>
      <c r="T8" s="144">
        <f t="shared" ref="T8" si="19">T7-S7</f>
        <v>230</v>
      </c>
      <c r="U8" s="144">
        <f t="shared" ref="U8" si="20">U7-T7</f>
        <v>230</v>
      </c>
      <c r="V8" s="144">
        <f t="shared" ref="V8" si="21">V7-U7</f>
        <v>230</v>
      </c>
      <c r="W8" s="144">
        <f t="shared" ref="W8" si="22">W7-V7</f>
        <v>230</v>
      </c>
      <c r="X8" s="144">
        <f t="shared" ref="X8" si="23">X7-W7</f>
        <v>230</v>
      </c>
      <c r="Y8" s="144">
        <f t="shared" ref="Y8" si="24">Y7-X7</f>
        <v>580</v>
      </c>
      <c r="Z8" s="144">
        <f t="shared" ref="Z8" si="25">Z7-Y7</f>
        <v>580</v>
      </c>
      <c r="AA8" s="144">
        <f t="shared" ref="AA8" si="26">AA7-Z7</f>
        <v>580</v>
      </c>
      <c r="AB8" s="144">
        <f t="shared" ref="AB8" si="27">AB7-AA7</f>
        <v>-7770</v>
      </c>
      <c r="AC8" s="144">
        <f t="shared" ref="AC8" si="28">AC7-AB7</f>
        <v>580</v>
      </c>
      <c r="AD8" s="144">
        <f t="shared" ref="AD8" si="29">AD7-AC7</f>
        <v>580</v>
      </c>
      <c r="AE8" s="144">
        <f t="shared" ref="AE8" si="30">AE7-AD7</f>
        <v>4110</v>
      </c>
      <c r="AF8" s="144">
        <f t="shared" ref="AF8" si="31">AF7-AE7</f>
        <v>780</v>
      </c>
      <c r="AG8" s="144">
        <f t="shared" ref="AG8" si="32">AG7-AF7</f>
        <v>780</v>
      </c>
      <c r="AH8" s="144">
        <f t="shared" ref="AH8" si="33">AH7-AG7</f>
        <v>780</v>
      </c>
      <c r="AI8" s="144">
        <f t="shared" ref="AI8" si="34">AI7-AH7</f>
        <v>780</v>
      </c>
      <c r="AJ8" s="144">
        <f t="shared" ref="AJ8" si="35">AJ7-AI7</f>
        <v>780</v>
      </c>
      <c r="AK8" s="144">
        <f t="shared" ref="AK8" si="36">AK7-AJ7</f>
        <v>930</v>
      </c>
      <c r="AL8" s="144">
        <f t="shared" ref="AL8" si="37">AL7-AK7</f>
        <v>780</v>
      </c>
      <c r="AM8" s="144">
        <f t="shared" ref="AM8" si="38">AM7-AL7</f>
        <v>780</v>
      </c>
      <c r="AN8" s="144">
        <f t="shared" ref="AN8" si="39">AN7-AM7</f>
        <v>780</v>
      </c>
      <c r="AO8" s="144">
        <f>AO7-AN7</f>
        <v>780</v>
      </c>
      <c r="AP8" s="144">
        <f t="shared" ref="AP8:AQ8" si="40">AP7-AO7</f>
        <v>780</v>
      </c>
      <c r="AQ8" s="144">
        <f t="shared" si="40"/>
        <v>780</v>
      </c>
      <c r="AR8" s="144">
        <f t="shared" ref="AR8:AS8" si="41">AR7-AQ7</f>
        <v>780</v>
      </c>
      <c r="AS8" s="144">
        <f t="shared" si="41"/>
        <v>780</v>
      </c>
      <c r="AT8" s="144">
        <f t="shared" ref="AT8:AU8" si="42">AT7-AS7</f>
        <v>780</v>
      </c>
      <c r="AU8" s="144">
        <f t="shared" si="42"/>
        <v>780</v>
      </c>
      <c r="AV8" s="144">
        <f t="shared" ref="AV8:AW8" si="43">AV7-AU7</f>
        <v>780</v>
      </c>
      <c r="AW8" s="144">
        <f t="shared" si="43"/>
        <v>780</v>
      </c>
      <c r="AX8" s="144">
        <f t="shared" ref="AX8:AY8" si="44">AX7-AW7</f>
        <v>780</v>
      </c>
      <c r="AY8" s="144">
        <f t="shared" si="44"/>
        <v>780</v>
      </c>
      <c r="AZ8" s="144">
        <f t="shared" ref="AZ8:BA8" si="45">AZ7-AY7</f>
        <v>780</v>
      </c>
      <c r="BA8" s="144">
        <f t="shared" si="45"/>
        <v>780</v>
      </c>
      <c r="BB8" s="144">
        <f t="shared" ref="BB8:BC8" si="46">BB7-BA7</f>
        <v>780</v>
      </c>
      <c r="BC8" s="144">
        <f t="shared" si="46"/>
        <v>780</v>
      </c>
      <c r="BD8" s="144">
        <f t="shared" ref="BD8:BE8" si="47">BD7-BC7</f>
        <v>780</v>
      </c>
      <c r="BE8" s="144">
        <f t="shared" si="47"/>
        <v>780</v>
      </c>
      <c r="BF8" s="144">
        <f t="shared" ref="BF8:BG8" si="48">BF7-BE7</f>
        <v>780</v>
      </c>
      <c r="BG8" s="144">
        <f t="shared" si="48"/>
        <v>780</v>
      </c>
      <c r="BH8" s="144">
        <f t="shared" ref="BH8:BI8" si="49">BH7-BG7</f>
        <v>780</v>
      </c>
      <c r="BI8" s="144">
        <f t="shared" si="49"/>
        <v>780</v>
      </c>
      <c r="BJ8" s="144">
        <f t="shared" ref="BJ8:BK8" si="50">BJ7-BI7</f>
        <v>780</v>
      </c>
      <c r="BK8" s="144">
        <f t="shared" si="50"/>
        <v>780</v>
      </c>
      <c r="BL8" s="144">
        <f t="shared" ref="BL8:BM8" si="51">BL7-BK7</f>
        <v>780</v>
      </c>
      <c r="BM8" s="144">
        <f t="shared" si="51"/>
        <v>780</v>
      </c>
      <c r="BN8" s="144">
        <f t="shared" ref="BN8:BO8" si="52">BN7-BM7</f>
        <v>780</v>
      </c>
      <c r="BO8" s="144">
        <f t="shared" si="52"/>
        <v>780</v>
      </c>
      <c r="BP8" s="144">
        <f t="shared" ref="BP8:BQ8" si="53">BP7-BO7</f>
        <v>780</v>
      </c>
      <c r="BQ8" s="144">
        <f t="shared" si="53"/>
        <v>780</v>
      </c>
      <c r="BR8" s="144">
        <f>BR7-BQ7</f>
        <v>780</v>
      </c>
      <c r="BS8" s="144">
        <f t="shared" ref="BS8" si="54">BS7-BR7</f>
        <v>780</v>
      </c>
      <c r="BT8" s="144">
        <f t="shared" ref="BT8" si="55">BT7-BS7</f>
        <v>780</v>
      </c>
      <c r="BU8" s="144">
        <f t="shared" ref="BU8" si="56">BU7-BT7</f>
        <v>780</v>
      </c>
      <c r="BV8" s="144">
        <f t="shared" ref="BV8" si="57">BV7-BU7</f>
        <v>780</v>
      </c>
      <c r="BW8" s="144">
        <f t="shared" ref="BW8" si="58">BW7-BV7</f>
        <v>780</v>
      </c>
    </row>
    <row r="9" spans="1:96" s="36" customFormat="1" ht="28.5" x14ac:dyDescent="0.45">
      <c r="A9" s="207" t="s">
        <v>162</v>
      </c>
      <c r="B9" s="227" t="s">
        <v>120</v>
      </c>
      <c r="C9" s="36">
        <v>100</v>
      </c>
      <c r="D9" s="36">
        <v>100</v>
      </c>
      <c r="E9" s="36">
        <f>D9</f>
        <v>100</v>
      </c>
      <c r="F9" s="36">
        <f>E9</f>
        <v>100</v>
      </c>
      <c r="G9" s="36">
        <f>F9</f>
        <v>100</v>
      </c>
      <c r="H9" s="36">
        <f t="shared" ref="H9:I9" si="59">G9</f>
        <v>100</v>
      </c>
      <c r="I9" s="36">
        <f t="shared" si="59"/>
        <v>100</v>
      </c>
      <c r="J9" s="36">
        <f>I9</f>
        <v>100</v>
      </c>
      <c r="K9" s="36">
        <f t="shared" ref="K9" si="60">J9</f>
        <v>100</v>
      </c>
      <c r="L9" s="36">
        <f t="shared" ref="L9" si="61">K9</f>
        <v>100</v>
      </c>
      <c r="M9" s="36">
        <f>L9</f>
        <v>100</v>
      </c>
      <c r="N9" s="36">
        <f t="shared" ref="N9" si="62">M9</f>
        <v>100</v>
      </c>
      <c r="O9" s="36">
        <f t="shared" ref="O9" si="63">N9</f>
        <v>100</v>
      </c>
      <c r="P9" s="36">
        <f>O9</f>
        <v>100</v>
      </c>
      <c r="Q9" s="36">
        <f t="shared" ref="Q9" si="64">P9</f>
        <v>100</v>
      </c>
      <c r="R9" s="36">
        <f t="shared" ref="R9" si="65">Q9</f>
        <v>100</v>
      </c>
      <c r="S9" s="36">
        <f>R9</f>
        <v>100</v>
      </c>
      <c r="T9" s="36">
        <f t="shared" ref="T9" si="66">S9</f>
        <v>100</v>
      </c>
      <c r="U9" s="36">
        <f t="shared" ref="U9" si="67">T9</f>
        <v>100</v>
      </c>
      <c r="V9" s="36">
        <f>U9</f>
        <v>100</v>
      </c>
      <c r="W9" s="36">
        <f t="shared" ref="W9" si="68">V9</f>
        <v>100</v>
      </c>
      <c r="X9" s="36">
        <f t="shared" ref="X9" si="69">W9</f>
        <v>100</v>
      </c>
      <c r="Y9" s="36">
        <f>X9</f>
        <v>100</v>
      </c>
      <c r="Z9" s="36">
        <f t="shared" ref="Z9" si="70">Y9</f>
        <v>100</v>
      </c>
      <c r="AA9" s="36">
        <f t="shared" ref="AA9" si="71">Z9</f>
        <v>100</v>
      </c>
      <c r="AB9" s="36">
        <f>AA9</f>
        <v>100</v>
      </c>
      <c r="AC9" s="36">
        <f t="shared" ref="AC9" si="72">AB9</f>
        <v>100</v>
      </c>
      <c r="AD9" s="36">
        <f t="shared" ref="AD9" si="73">AC9</f>
        <v>100</v>
      </c>
      <c r="AE9" s="36">
        <f>AD9</f>
        <v>100</v>
      </c>
      <c r="AF9" s="36">
        <f t="shared" ref="AF9" si="74">AE9</f>
        <v>100</v>
      </c>
      <c r="AG9" s="36">
        <f t="shared" ref="AG9" si="75">AF9</f>
        <v>100</v>
      </c>
      <c r="AH9" s="36">
        <f>AG9</f>
        <v>100</v>
      </c>
      <c r="AI9" s="36">
        <f t="shared" ref="AI9" si="76">AH9</f>
        <v>100</v>
      </c>
      <c r="AJ9" s="36">
        <f t="shared" ref="AJ9" si="77">AI9</f>
        <v>100</v>
      </c>
      <c r="AK9" s="36">
        <f t="shared" ref="AK9" si="78">AJ9</f>
        <v>100</v>
      </c>
      <c r="AL9" s="36">
        <f t="shared" ref="AL9" si="79">AK9</f>
        <v>100</v>
      </c>
      <c r="AM9" s="36">
        <f t="shared" ref="AM9" si="80">AL9</f>
        <v>100</v>
      </c>
      <c r="AN9" s="36">
        <f t="shared" ref="AN9" si="81">AM9</f>
        <v>100</v>
      </c>
      <c r="AO9" s="36">
        <f>AN9</f>
        <v>100</v>
      </c>
      <c r="AP9" s="36">
        <f t="shared" ref="AP9:AQ9" si="82">AO9</f>
        <v>100</v>
      </c>
      <c r="AQ9" s="36">
        <f t="shared" si="82"/>
        <v>100</v>
      </c>
      <c r="AR9" s="36">
        <f t="shared" ref="AR9:AS9" si="83">AQ9</f>
        <v>100</v>
      </c>
      <c r="AS9" s="36">
        <f t="shared" si="83"/>
        <v>100</v>
      </c>
      <c r="AT9" s="36">
        <f t="shared" ref="AT9:AU9" si="84">AS9</f>
        <v>100</v>
      </c>
      <c r="AU9" s="36">
        <f t="shared" si="84"/>
        <v>100</v>
      </c>
      <c r="AV9" s="36">
        <f t="shared" ref="AV9:AW9" si="85">AU9</f>
        <v>100</v>
      </c>
      <c r="AW9" s="36">
        <f t="shared" si="85"/>
        <v>100</v>
      </c>
      <c r="AX9" s="36">
        <f t="shared" ref="AX9:AY9" si="86">AW9</f>
        <v>100</v>
      </c>
      <c r="AY9" s="36">
        <f t="shared" si="86"/>
        <v>100</v>
      </c>
      <c r="AZ9" s="36">
        <f t="shared" ref="AZ9:BA9" si="87">AY9</f>
        <v>100</v>
      </c>
      <c r="BA9" s="36">
        <f t="shared" si="87"/>
        <v>100</v>
      </c>
      <c r="BB9" s="36">
        <f t="shared" ref="BB9:BC9" si="88">BA9</f>
        <v>100</v>
      </c>
      <c r="BC9" s="36">
        <f t="shared" si="88"/>
        <v>100</v>
      </c>
      <c r="BD9" s="36">
        <f t="shared" ref="BD9:BE9" si="89">BC9</f>
        <v>100</v>
      </c>
      <c r="BE9" s="36">
        <f t="shared" si="89"/>
        <v>100</v>
      </c>
      <c r="BF9" s="36">
        <f t="shared" ref="BF9:BG9" si="90">BE9</f>
        <v>100</v>
      </c>
      <c r="BG9" s="36">
        <f t="shared" si="90"/>
        <v>100</v>
      </c>
      <c r="BH9" s="36">
        <f t="shared" ref="BH9:BI9" si="91">BG9</f>
        <v>100</v>
      </c>
      <c r="BI9" s="36">
        <f t="shared" si="91"/>
        <v>100</v>
      </c>
      <c r="BJ9" s="36">
        <f t="shared" ref="BJ9:BK9" si="92">BI9</f>
        <v>100</v>
      </c>
      <c r="BK9" s="36">
        <f t="shared" si="92"/>
        <v>100</v>
      </c>
      <c r="BL9" s="36">
        <f t="shared" ref="BL9:BM9" si="93">BK9</f>
        <v>100</v>
      </c>
      <c r="BM9" s="36">
        <f t="shared" si="93"/>
        <v>100</v>
      </c>
      <c r="BN9" s="36">
        <f t="shared" ref="BN9:BO9" si="94">BM9</f>
        <v>100</v>
      </c>
      <c r="BO9" s="36">
        <f t="shared" si="94"/>
        <v>100</v>
      </c>
      <c r="BP9" s="36">
        <f t="shared" ref="BP9:BQ9" si="95">BO9</f>
        <v>100</v>
      </c>
      <c r="BQ9" s="36">
        <f t="shared" si="95"/>
        <v>100</v>
      </c>
      <c r="BR9" s="36">
        <f>BQ9</f>
        <v>100</v>
      </c>
      <c r="BS9" s="36">
        <f t="shared" ref="BS9" si="96">BR9</f>
        <v>100</v>
      </c>
      <c r="BT9" s="36">
        <f t="shared" ref="BT9" si="97">BS9</f>
        <v>100</v>
      </c>
      <c r="BU9" s="36">
        <f t="shared" ref="BU9" si="98">BT9</f>
        <v>100</v>
      </c>
      <c r="BV9" s="36">
        <f t="shared" ref="BV9" si="99">BU9</f>
        <v>100</v>
      </c>
      <c r="BW9" s="36">
        <f t="shared" ref="BW9" si="100">BV9</f>
        <v>100</v>
      </c>
    </row>
    <row r="10" spans="1:96" s="48" customFormat="1" x14ac:dyDescent="0.45">
      <c r="A10" s="218" t="s">
        <v>276</v>
      </c>
      <c r="B10" s="220" t="s">
        <v>278</v>
      </c>
      <c r="C10" s="48">
        <v>1</v>
      </c>
      <c r="D10" s="48">
        <v>1</v>
      </c>
      <c r="E10" s="48">
        <v>1</v>
      </c>
      <c r="F10" s="48">
        <v>1</v>
      </c>
      <c r="G10" s="48">
        <v>1</v>
      </c>
      <c r="H10" s="48">
        <v>1</v>
      </c>
      <c r="I10" s="48">
        <v>1</v>
      </c>
      <c r="J10" s="48">
        <v>1</v>
      </c>
      <c r="K10" s="48">
        <v>1</v>
      </c>
      <c r="L10" s="48">
        <v>1</v>
      </c>
      <c r="M10" s="48">
        <v>1</v>
      </c>
      <c r="N10" s="48">
        <v>1</v>
      </c>
      <c r="O10" s="48">
        <v>1</v>
      </c>
      <c r="P10" s="48">
        <v>1</v>
      </c>
      <c r="Q10" s="48">
        <v>1</v>
      </c>
      <c r="R10" s="48">
        <v>1</v>
      </c>
      <c r="S10" s="48">
        <v>1</v>
      </c>
      <c r="T10" s="48">
        <v>1</v>
      </c>
      <c r="U10" s="48">
        <v>1</v>
      </c>
      <c r="V10" s="48">
        <v>1</v>
      </c>
      <c r="W10" s="48">
        <v>1</v>
      </c>
      <c r="X10" s="48">
        <v>1</v>
      </c>
      <c r="Y10" s="48">
        <v>1</v>
      </c>
      <c r="Z10" s="48">
        <v>1</v>
      </c>
      <c r="AA10" s="48">
        <v>1</v>
      </c>
      <c r="AB10" s="48">
        <v>1</v>
      </c>
      <c r="AC10" s="48">
        <v>1</v>
      </c>
      <c r="AD10" s="48">
        <v>1</v>
      </c>
      <c r="AE10" s="48">
        <v>1</v>
      </c>
      <c r="AF10" s="48">
        <v>1</v>
      </c>
      <c r="AG10" s="48">
        <v>1</v>
      </c>
      <c r="AH10" s="48">
        <v>1</v>
      </c>
      <c r="AI10" s="48">
        <v>1</v>
      </c>
      <c r="AJ10" s="48">
        <v>1</v>
      </c>
      <c r="AK10" s="48">
        <v>1</v>
      </c>
      <c r="AL10" s="48">
        <v>1</v>
      </c>
      <c r="AM10" s="48">
        <v>1</v>
      </c>
      <c r="AN10" s="48">
        <v>1</v>
      </c>
      <c r="AO10" s="48">
        <v>1</v>
      </c>
      <c r="AP10" s="48">
        <v>1</v>
      </c>
      <c r="AQ10" s="48">
        <v>1</v>
      </c>
      <c r="AR10" s="48">
        <v>1</v>
      </c>
      <c r="AS10" s="48">
        <v>1</v>
      </c>
      <c r="AT10" s="48">
        <v>1</v>
      </c>
      <c r="AU10" s="48">
        <v>1</v>
      </c>
      <c r="AV10" s="48">
        <v>1</v>
      </c>
      <c r="AW10" s="48">
        <v>1</v>
      </c>
      <c r="AX10" s="48">
        <v>1</v>
      </c>
      <c r="AY10" s="48">
        <v>1</v>
      </c>
      <c r="AZ10" s="48">
        <v>1</v>
      </c>
      <c r="BA10" s="48">
        <v>1</v>
      </c>
      <c r="BB10" s="48">
        <v>1</v>
      </c>
      <c r="BC10" s="48">
        <v>1</v>
      </c>
      <c r="BD10" s="48">
        <v>1</v>
      </c>
      <c r="BE10" s="48">
        <v>1</v>
      </c>
      <c r="BF10" s="48">
        <v>1</v>
      </c>
      <c r="BG10" s="48">
        <v>1</v>
      </c>
      <c r="BH10" s="48">
        <v>1</v>
      </c>
      <c r="BI10" s="48">
        <v>1</v>
      </c>
      <c r="BJ10" s="48">
        <v>1</v>
      </c>
      <c r="BK10" s="48">
        <v>1</v>
      </c>
      <c r="BL10" s="48">
        <v>1</v>
      </c>
      <c r="BM10" s="48">
        <v>1</v>
      </c>
      <c r="BN10" s="48">
        <v>1</v>
      </c>
      <c r="BO10" s="48">
        <v>1</v>
      </c>
      <c r="BP10" s="48">
        <v>1</v>
      </c>
      <c r="BQ10" s="48">
        <v>1</v>
      </c>
      <c r="BR10" s="48">
        <v>1</v>
      </c>
      <c r="BS10" s="48">
        <v>1</v>
      </c>
      <c r="BT10" s="48">
        <v>1</v>
      </c>
      <c r="BU10" s="48">
        <v>1</v>
      </c>
      <c r="BV10" s="48">
        <v>1</v>
      </c>
      <c r="BW10" s="48">
        <v>1</v>
      </c>
    </row>
    <row r="11" spans="1:96" x14ac:dyDescent="0.45">
      <c r="B11" s="152" t="s">
        <v>95</v>
      </c>
      <c r="D11" s="24">
        <v>-250</v>
      </c>
      <c r="E11" s="24">
        <v>-250</v>
      </c>
      <c r="F11" s="24">
        <v>-250</v>
      </c>
      <c r="G11" s="24">
        <v>-250</v>
      </c>
      <c r="H11" s="24">
        <v>-250</v>
      </c>
      <c r="I11" s="24">
        <v>-250</v>
      </c>
      <c r="J11" s="24">
        <v>-250</v>
      </c>
      <c r="K11" s="24">
        <v>-250</v>
      </c>
      <c r="L11" s="24">
        <v>-250</v>
      </c>
      <c r="M11" s="24">
        <v>-250</v>
      </c>
      <c r="N11" s="24">
        <v>-250</v>
      </c>
      <c r="O11" s="24">
        <v>-250</v>
      </c>
      <c r="P11" s="24">
        <v>-250</v>
      </c>
      <c r="Q11" s="24">
        <v>-250</v>
      </c>
      <c r="R11" s="24">
        <v>-250</v>
      </c>
      <c r="S11" s="24">
        <v>-250</v>
      </c>
      <c r="T11" s="24">
        <v>-250</v>
      </c>
      <c r="U11" s="24">
        <v>-250</v>
      </c>
      <c r="V11" s="24">
        <v>-250</v>
      </c>
      <c r="W11" s="24">
        <v>-250</v>
      </c>
      <c r="X11" s="24">
        <v>-250</v>
      </c>
      <c r="Y11" s="24">
        <v>-250</v>
      </c>
      <c r="Z11" s="24">
        <v>-250</v>
      </c>
      <c r="AA11" s="24">
        <v>-250</v>
      </c>
      <c r="AB11" s="24">
        <v>-250</v>
      </c>
      <c r="AC11" s="24">
        <v>-250</v>
      </c>
      <c r="AD11" s="24">
        <v>-250</v>
      </c>
      <c r="AE11" s="24">
        <v>-250</v>
      </c>
      <c r="AF11" s="24">
        <v>-250</v>
      </c>
      <c r="AG11" s="24">
        <v>-250</v>
      </c>
      <c r="AH11" s="24">
        <v>-250</v>
      </c>
      <c r="AI11" s="24">
        <v>-250</v>
      </c>
      <c r="AJ11" s="24">
        <v>-250</v>
      </c>
      <c r="AK11" s="24">
        <v>-250</v>
      </c>
      <c r="AL11" s="24">
        <v>-250</v>
      </c>
      <c r="AM11" s="24">
        <v>-250</v>
      </c>
      <c r="AN11" s="24">
        <v>-250</v>
      </c>
      <c r="AO11" s="24">
        <v>-250</v>
      </c>
      <c r="AP11" s="24">
        <v>-250</v>
      </c>
      <c r="AQ11" s="24">
        <v>-250</v>
      </c>
      <c r="AR11" s="24">
        <v>-250</v>
      </c>
      <c r="AS11" s="24">
        <v>-250</v>
      </c>
      <c r="AT11" s="24">
        <v>-250</v>
      </c>
      <c r="AU11" s="24">
        <v>-250</v>
      </c>
      <c r="AV11" s="24">
        <v>-250</v>
      </c>
      <c r="AW11" s="24">
        <v>-250</v>
      </c>
      <c r="AX11" s="24">
        <v>-250</v>
      </c>
      <c r="AY11" s="24">
        <v>-250</v>
      </c>
      <c r="AZ11" s="24">
        <v>-250</v>
      </c>
      <c r="BA11" s="24">
        <v>-250</v>
      </c>
      <c r="BB11" s="24">
        <v>-250</v>
      </c>
      <c r="BC11" s="24">
        <v>-250</v>
      </c>
      <c r="BD11" s="24">
        <v>-250</v>
      </c>
      <c r="BE11" s="24">
        <v>-250</v>
      </c>
      <c r="BF11" s="24">
        <v>-250</v>
      </c>
      <c r="BG11" s="24">
        <v>-250</v>
      </c>
      <c r="BH11" s="24">
        <v>-250</v>
      </c>
      <c r="BI11" s="24">
        <v>-250</v>
      </c>
      <c r="BJ11" s="24">
        <v>-250</v>
      </c>
      <c r="BK11" s="24">
        <v>-250</v>
      </c>
      <c r="BL11" s="24">
        <v>-250</v>
      </c>
      <c r="BM11" s="24">
        <v>-250</v>
      </c>
      <c r="BN11" s="24">
        <v>-250</v>
      </c>
      <c r="BO11" s="24">
        <v>-250</v>
      </c>
      <c r="BP11" s="24">
        <v>-250</v>
      </c>
      <c r="BQ11" s="24">
        <v>-250</v>
      </c>
      <c r="BR11" s="24">
        <v>-250</v>
      </c>
      <c r="BS11" s="24">
        <v>-250</v>
      </c>
      <c r="BT11" s="24">
        <v>-250</v>
      </c>
      <c r="BU11" s="24">
        <v>-250</v>
      </c>
      <c r="BV11" s="24">
        <v>-250</v>
      </c>
      <c r="BW11" s="24">
        <v>-250</v>
      </c>
    </row>
    <row r="12" spans="1:96" s="145" customFormat="1" x14ac:dyDescent="0.45">
      <c r="A12" s="229"/>
      <c r="B12" s="153" t="s">
        <v>96</v>
      </c>
      <c r="D12" s="145">
        <v>-50</v>
      </c>
      <c r="E12" s="145">
        <v>-50</v>
      </c>
    </row>
    <row r="13" spans="1:96" s="37" customFormat="1" ht="18" x14ac:dyDescent="0.55000000000000004">
      <c r="A13" s="228" t="s">
        <v>4</v>
      </c>
      <c r="B13" s="221"/>
    </row>
    <row r="14" spans="1:96" s="37" customFormat="1" ht="18" x14ac:dyDescent="0.55000000000000004">
      <c r="A14" s="228"/>
      <c r="B14" s="221" t="s">
        <v>154</v>
      </c>
      <c r="E14" s="37">
        <f t="shared" ref="E14:L14" si="101">$A$41</f>
        <v>425</v>
      </c>
      <c r="F14" s="37">
        <f t="shared" si="101"/>
        <v>425</v>
      </c>
      <c r="G14" s="37">
        <f t="shared" si="101"/>
        <v>425</v>
      </c>
      <c r="H14" s="37">
        <f t="shared" si="101"/>
        <v>425</v>
      </c>
      <c r="I14" s="37">
        <f t="shared" si="101"/>
        <v>425</v>
      </c>
      <c r="J14" s="37">
        <f t="shared" si="101"/>
        <v>425</v>
      </c>
      <c r="K14" s="37">
        <f t="shared" si="101"/>
        <v>425</v>
      </c>
      <c r="L14" s="37">
        <f t="shared" si="101"/>
        <v>425</v>
      </c>
      <c r="M14" s="37">
        <f t="shared" ref="M14:X14" si="102">$A$43</f>
        <v>575</v>
      </c>
      <c r="N14" s="37">
        <f t="shared" si="102"/>
        <v>575</v>
      </c>
      <c r="O14" s="37">
        <f t="shared" si="102"/>
        <v>575</v>
      </c>
      <c r="P14" s="37">
        <f t="shared" si="102"/>
        <v>575</v>
      </c>
      <c r="Q14" s="37">
        <f t="shared" si="102"/>
        <v>575</v>
      </c>
      <c r="R14" s="37">
        <f t="shared" si="102"/>
        <v>575</v>
      </c>
      <c r="S14" s="37">
        <f t="shared" si="102"/>
        <v>575</v>
      </c>
      <c r="T14" s="37">
        <f t="shared" si="102"/>
        <v>575</v>
      </c>
      <c r="U14" s="37">
        <f t="shared" si="102"/>
        <v>575</v>
      </c>
      <c r="V14" s="37">
        <f t="shared" si="102"/>
        <v>575</v>
      </c>
      <c r="W14" s="37">
        <f t="shared" si="102"/>
        <v>575</v>
      </c>
      <c r="X14" s="37">
        <f t="shared" si="102"/>
        <v>575</v>
      </c>
    </row>
    <row r="15" spans="1:96" s="37" customFormat="1" ht="18" x14ac:dyDescent="0.55000000000000004">
      <c r="A15" s="228"/>
      <c r="B15" s="221" t="s">
        <v>156</v>
      </c>
      <c r="D15" s="37">
        <f t="shared" ref="D15:AQ16" si="103">-$A$46</f>
        <v>-20</v>
      </c>
      <c r="E15" s="37">
        <f t="shared" si="103"/>
        <v>-20</v>
      </c>
      <c r="F15" s="37">
        <f t="shared" si="103"/>
        <v>-20</v>
      </c>
      <c r="G15" s="37">
        <f t="shared" si="103"/>
        <v>-20</v>
      </c>
      <c r="H15" s="37">
        <f t="shared" si="103"/>
        <v>-20</v>
      </c>
      <c r="I15" s="37">
        <f t="shared" si="103"/>
        <v>-20</v>
      </c>
      <c r="J15" s="37">
        <f t="shared" si="103"/>
        <v>-20</v>
      </c>
      <c r="K15" s="37">
        <f t="shared" si="103"/>
        <v>-20</v>
      </c>
      <c r="L15" s="37">
        <f t="shared" si="103"/>
        <v>-20</v>
      </c>
      <c r="M15" s="37">
        <f t="shared" si="103"/>
        <v>-20</v>
      </c>
      <c r="N15" s="37">
        <f t="shared" si="103"/>
        <v>-20</v>
      </c>
      <c r="O15" s="37">
        <f t="shared" si="103"/>
        <v>-20</v>
      </c>
      <c r="P15" s="37">
        <f t="shared" si="103"/>
        <v>-20</v>
      </c>
      <c r="Q15" s="37">
        <f t="shared" si="103"/>
        <v>-20</v>
      </c>
      <c r="R15" s="37">
        <f t="shared" si="103"/>
        <v>-20</v>
      </c>
      <c r="S15" s="37">
        <f t="shared" si="103"/>
        <v>-20</v>
      </c>
      <c r="T15" s="37">
        <f t="shared" si="103"/>
        <v>-20</v>
      </c>
      <c r="U15" s="37">
        <f t="shared" si="103"/>
        <v>-20</v>
      </c>
      <c r="V15" s="37">
        <f t="shared" si="103"/>
        <v>-20</v>
      </c>
      <c r="W15" s="37">
        <f t="shared" si="103"/>
        <v>-20</v>
      </c>
      <c r="X15" s="37">
        <f t="shared" si="103"/>
        <v>-20</v>
      </c>
      <c r="Y15" s="37">
        <f t="shared" si="103"/>
        <v>-20</v>
      </c>
      <c r="Z15" s="37">
        <f t="shared" si="103"/>
        <v>-20</v>
      </c>
      <c r="AA15" s="37">
        <f t="shared" si="103"/>
        <v>-20</v>
      </c>
      <c r="AB15" s="37">
        <f t="shared" si="103"/>
        <v>-20</v>
      </c>
      <c r="AC15" s="37">
        <f t="shared" si="103"/>
        <v>-20</v>
      </c>
      <c r="AD15" s="37">
        <f t="shared" si="103"/>
        <v>-20</v>
      </c>
      <c r="AE15" s="37">
        <f t="shared" si="103"/>
        <v>-20</v>
      </c>
      <c r="AF15" s="37">
        <f t="shared" si="103"/>
        <v>-20</v>
      </c>
      <c r="AG15" s="37">
        <f t="shared" si="103"/>
        <v>-20</v>
      </c>
      <c r="AH15" s="37">
        <f t="shared" si="103"/>
        <v>-20</v>
      </c>
      <c r="AI15" s="37">
        <f t="shared" si="103"/>
        <v>-20</v>
      </c>
      <c r="AJ15" s="37">
        <f t="shared" si="103"/>
        <v>-20</v>
      </c>
      <c r="AK15" s="37">
        <f t="shared" si="103"/>
        <v>-20</v>
      </c>
      <c r="AL15" s="37">
        <f t="shared" si="103"/>
        <v>-20</v>
      </c>
      <c r="AM15" s="37">
        <f t="shared" si="103"/>
        <v>-20</v>
      </c>
      <c r="AN15" s="37">
        <f t="shared" si="103"/>
        <v>-20</v>
      </c>
      <c r="AO15" s="37">
        <f t="shared" si="103"/>
        <v>-20</v>
      </c>
      <c r="AP15" s="37">
        <f t="shared" si="103"/>
        <v>-20</v>
      </c>
      <c r="AQ15" s="37">
        <f t="shared" si="103"/>
        <v>-20</v>
      </c>
      <c r="AR15" s="37">
        <f t="shared" ref="AR15:BW15" si="104">-$A$46</f>
        <v>-20</v>
      </c>
      <c r="AS15" s="37">
        <f t="shared" si="104"/>
        <v>-20</v>
      </c>
      <c r="AT15" s="37">
        <f t="shared" si="104"/>
        <v>-20</v>
      </c>
      <c r="AU15" s="37">
        <f t="shared" si="104"/>
        <v>-20</v>
      </c>
      <c r="AV15" s="37">
        <f t="shared" si="104"/>
        <v>-20</v>
      </c>
      <c r="AW15" s="37">
        <f t="shared" si="104"/>
        <v>-20</v>
      </c>
      <c r="AX15" s="37">
        <f t="shared" si="104"/>
        <v>-20</v>
      </c>
      <c r="AY15" s="37">
        <f t="shared" si="104"/>
        <v>-20</v>
      </c>
      <c r="AZ15" s="37">
        <f t="shared" si="104"/>
        <v>-20</v>
      </c>
      <c r="BA15" s="37">
        <f t="shared" si="104"/>
        <v>-20</v>
      </c>
      <c r="BB15" s="37">
        <f t="shared" si="104"/>
        <v>-20</v>
      </c>
      <c r="BC15" s="37">
        <f t="shared" si="104"/>
        <v>-20</v>
      </c>
      <c r="BD15" s="37">
        <f t="shared" si="104"/>
        <v>-20</v>
      </c>
      <c r="BE15" s="37">
        <f t="shared" si="104"/>
        <v>-20</v>
      </c>
      <c r="BF15" s="37">
        <f t="shared" si="104"/>
        <v>-20</v>
      </c>
      <c r="BG15" s="37">
        <f t="shared" si="104"/>
        <v>-20</v>
      </c>
      <c r="BH15" s="37">
        <f t="shared" si="104"/>
        <v>-20</v>
      </c>
      <c r="BI15" s="37">
        <f t="shared" si="104"/>
        <v>-20</v>
      </c>
      <c r="BJ15" s="37">
        <f t="shared" si="104"/>
        <v>-20</v>
      </c>
      <c r="BK15" s="37">
        <f t="shared" si="104"/>
        <v>-20</v>
      </c>
      <c r="BL15" s="37">
        <f t="shared" si="104"/>
        <v>-20</v>
      </c>
      <c r="BM15" s="37">
        <f t="shared" si="104"/>
        <v>-20</v>
      </c>
      <c r="BN15" s="37">
        <f t="shared" si="104"/>
        <v>-20</v>
      </c>
      <c r="BO15" s="37">
        <f t="shared" si="104"/>
        <v>-20</v>
      </c>
      <c r="BP15" s="37">
        <f t="shared" si="104"/>
        <v>-20</v>
      </c>
      <c r="BQ15" s="37">
        <f t="shared" si="104"/>
        <v>-20</v>
      </c>
      <c r="BR15" s="37">
        <f t="shared" si="104"/>
        <v>-20</v>
      </c>
      <c r="BS15" s="37">
        <f t="shared" si="104"/>
        <v>-20</v>
      </c>
      <c r="BT15" s="37">
        <f t="shared" si="104"/>
        <v>-20</v>
      </c>
      <c r="BU15" s="37">
        <f t="shared" si="104"/>
        <v>-20</v>
      </c>
      <c r="BV15" s="37">
        <f t="shared" si="104"/>
        <v>-20</v>
      </c>
      <c r="BW15" s="37">
        <f t="shared" si="104"/>
        <v>-20</v>
      </c>
    </row>
    <row r="16" spans="1:96" s="37" customFormat="1" ht="18" x14ac:dyDescent="0.55000000000000004">
      <c r="A16" s="228"/>
      <c r="B16" s="221" t="s">
        <v>158</v>
      </c>
    </row>
    <row r="17" spans="1:75" s="37" customFormat="1" ht="18" x14ac:dyDescent="0.55000000000000004">
      <c r="A17" s="228" t="s">
        <v>185</v>
      </c>
      <c r="B17" s="221" t="s">
        <v>157</v>
      </c>
      <c r="D17" s="37">
        <f t="shared" ref="D17:X17" si="105">-$A$47</f>
        <v>-25</v>
      </c>
      <c r="E17" s="37">
        <f t="shared" si="105"/>
        <v>-25</v>
      </c>
      <c r="F17" s="37">
        <f t="shared" si="105"/>
        <v>-25</v>
      </c>
      <c r="G17" s="37">
        <f t="shared" si="105"/>
        <v>-25</v>
      </c>
      <c r="H17" s="37">
        <f t="shared" si="105"/>
        <v>-25</v>
      </c>
      <c r="I17" s="37">
        <f t="shared" si="105"/>
        <v>-25</v>
      </c>
      <c r="J17" s="37">
        <f t="shared" si="105"/>
        <v>-25</v>
      </c>
      <c r="K17" s="37">
        <f t="shared" si="105"/>
        <v>-25</v>
      </c>
      <c r="L17" s="37">
        <f t="shared" si="105"/>
        <v>-25</v>
      </c>
      <c r="M17" s="37">
        <f t="shared" si="105"/>
        <v>-25</v>
      </c>
      <c r="N17" s="37">
        <f t="shared" si="105"/>
        <v>-25</v>
      </c>
      <c r="O17" s="37">
        <f t="shared" si="105"/>
        <v>-25</v>
      </c>
      <c r="P17" s="37">
        <f t="shared" si="105"/>
        <v>-25</v>
      </c>
      <c r="Q17" s="37">
        <f t="shared" si="105"/>
        <v>-25</v>
      </c>
      <c r="R17" s="37">
        <f t="shared" si="105"/>
        <v>-25</v>
      </c>
      <c r="S17" s="37">
        <f t="shared" si="105"/>
        <v>-25</v>
      </c>
      <c r="T17" s="37">
        <f t="shared" si="105"/>
        <v>-25</v>
      </c>
      <c r="U17" s="37">
        <f t="shared" si="105"/>
        <v>-25</v>
      </c>
      <c r="V17" s="37">
        <f t="shared" si="105"/>
        <v>-25</v>
      </c>
      <c r="W17" s="37">
        <f t="shared" si="105"/>
        <v>-25</v>
      </c>
      <c r="X17" s="37">
        <f t="shared" si="105"/>
        <v>-25</v>
      </c>
    </row>
    <row r="18" spans="1:75" s="37" customFormat="1" ht="18" x14ac:dyDescent="0.55000000000000004">
      <c r="A18" s="228"/>
      <c r="B18" s="221" t="s">
        <v>111</v>
      </c>
      <c r="E18" s="37">
        <v>-20</v>
      </c>
    </row>
    <row r="19" spans="1:75" s="52" customFormat="1" ht="18" x14ac:dyDescent="0.55000000000000004">
      <c r="A19" s="232" t="s">
        <v>185</v>
      </c>
      <c r="B19" s="222" t="s">
        <v>159</v>
      </c>
      <c r="D19" s="52" t="s">
        <v>272</v>
      </c>
      <c r="E19" s="52">
        <v>-1000</v>
      </c>
    </row>
    <row r="20" spans="1:75" ht="18" x14ac:dyDescent="0.55000000000000004">
      <c r="A20" s="228" t="s">
        <v>153</v>
      </c>
      <c r="B20" s="221"/>
    </row>
    <row r="21" spans="1:75" ht="18" x14ac:dyDescent="0.55000000000000004">
      <c r="A21" s="228"/>
      <c r="B21" s="221" t="s">
        <v>153</v>
      </c>
      <c r="E21" s="24">
        <v>249</v>
      </c>
      <c r="F21" s="24">
        <v>209</v>
      </c>
      <c r="G21" s="24">
        <v>243</v>
      </c>
      <c r="H21" s="24">
        <v>256</v>
      </c>
      <c r="I21" s="24">
        <v>261</v>
      </c>
      <c r="J21" s="24">
        <v>234</v>
      </c>
      <c r="K21" s="24">
        <v>238</v>
      </c>
      <c r="L21" s="24">
        <v>237</v>
      </c>
    </row>
    <row r="22" spans="1:75" ht="18" x14ac:dyDescent="0.55000000000000004">
      <c r="A22" s="228"/>
      <c r="B22" s="221" t="s">
        <v>155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</row>
    <row r="23" spans="1:75" s="145" customFormat="1" ht="18" x14ac:dyDescent="0.55000000000000004">
      <c r="A23" s="232"/>
      <c r="B23" s="222" t="s">
        <v>160</v>
      </c>
      <c r="D23" s="145">
        <v>-35</v>
      </c>
    </row>
    <row r="24" spans="1:75" s="37" customFormat="1" ht="18" x14ac:dyDescent="0.55000000000000004">
      <c r="A24" s="228" t="s">
        <v>303</v>
      </c>
      <c r="B24" s="221"/>
    </row>
    <row r="25" spans="1:75" s="37" customFormat="1" ht="29.25" x14ac:dyDescent="0.55000000000000004">
      <c r="A25" s="228" t="s">
        <v>147</v>
      </c>
      <c r="B25" s="226" t="s">
        <v>396</v>
      </c>
      <c r="Y25" s="37">
        <v>900</v>
      </c>
      <c r="Z25" s="37">
        <v>900</v>
      </c>
      <c r="AA25" s="37">
        <v>900</v>
      </c>
      <c r="AB25" s="37">
        <v>900</v>
      </c>
      <c r="AC25" s="37">
        <v>900</v>
      </c>
      <c r="AD25" s="37">
        <v>900</v>
      </c>
      <c r="AE25" s="37">
        <v>1100</v>
      </c>
      <c r="AF25" s="37">
        <v>1100</v>
      </c>
      <c r="AG25" s="37">
        <v>1100</v>
      </c>
      <c r="AH25" s="37">
        <v>1100</v>
      </c>
      <c r="AI25" s="37">
        <v>1100</v>
      </c>
      <c r="AJ25" s="37">
        <v>1100</v>
      </c>
      <c r="AK25" s="37">
        <v>1100</v>
      </c>
      <c r="AL25" s="37">
        <v>1100</v>
      </c>
      <c r="AM25" s="37">
        <v>1100</v>
      </c>
      <c r="AN25" s="37">
        <v>1100</v>
      </c>
      <c r="AO25" s="37">
        <v>1100</v>
      </c>
      <c r="AP25" s="37">
        <v>1100</v>
      </c>
      <c r="AQ25" s="37">
        <v>1100</v>
      </c>
      <c r="AR25" s="37">
        <v>1100</v>
      </c>
      <c r="AS25" s="37">
        <v>1100</v>
      </c>
      <c r="AT25" s="37">
        <v>1100</v>
      </c>
      <c r="AU25" s="37">
        <v>1100</v>
      </c>
      <c r="AV25" s="37">
        <v>1100</v>
      </c>
      <c r="AW25" s="37">
        <v>1100</v>
      </c>
      <c r="AX25" s="37">
        <v>1100</v>
      </c>
      <c r="AY25" s="37">
        <v>1100</v>
      </c>
      <c r="AZ25" s="37">
        <v>1100</v>
      </c>
      <c r="BA25" s="37">
        <v>1100</v>
      </c>
      <c r="BB25" s="37">
        <v>1100</v>
      </c>
      <c r="BC25" s="37">
        <v>1100</v>
      </c>
      <c r="BD25" s="37">
        <v>1100</v>
      </c>
      <c r="BE25" s="37">
        <v>1100</v>
      </c>
      <c r="BF25" s="37">
        <v>1100</v>
      </c>
      <c r="BG25" s="37">
        <v>1100</v>
      </c>
      <c r="BH25" s="37">
        <v>1100</v>
      </c>
      <c r="BI25" s="37">
        <v>1100</v>
      </c>
      <c r="BJ25" s="37">
        <v>1100</v>
      </c>
      <c r="BK25" s="37">
        <v>1100</v>
      </c>
      <c r="BL25" s="37">
        <v>1100</v>
      </c>
      <c r="BM25" s="37">
        <v>1100</v>
      </c>
      <c r="BN25" s="37">
        <v>1100</v>
      </c>
      <c r="BO25" s="37">
        <v>1100</v>
      </c>
      <c r="BP25" s="37">
        <v>1100</v>
      </c>
      <c r="BQ25" s="37">
        <v>1100</v>
      </c>
      <c r="BR25" s="37">
        <v>1100</v>
      </c>
      <c r="BS25" s="37">
        <v>1100</v>
      </c>
      <c r="BT25" s="37">
        <v>1100</v>
      </c>
      <c r="BU25" s="37">
        <v>1100</v>
      </c>
      <c r="BV25" s="37">
        <v>1100</v>
      </c>
      <c r="BW25" s="37">
        <v>1100</v>
      </c>
    </row>
    <row r="26" spans="1:75" s="225" customFormat="1" x14ac:dyDescent="0.45">
      <c r="A26" s="223" t="s">
        <v>178</v>
      </c>
      <c r="B26" s="224" t="s">
        <v>177</v>
      </c>
      <c r="E26" s="225">
        <f t="shared" ref="E26:AM26" si="106">-$A$45*E9</f>
        <v>-50</v>
      </c>
      <c r="F26" s="225">
        <f t="shared" si="106"/>
        <v>-50</v>
      </c>
      <c r="G26" s="225">
        <f t="shared" si="106"/>
        <v>-50</v>
      </c>
      <c r="H26" s="225">
        <f t="shared" si="106"/>
        <v>-50</v>
      </c>
      <c r="I26" s="225">
        <f t="shared" si="106"/>
        <v>-50</v>
      </c>
      <c r="J26" s="225">
        <f t="shared" si="106"/>
        <v>-50</v>
      </c>
      <c r="K26" s="225">
        <f t="shared" si="106"/>
        <v>-50</v>
      </c>
      <c r="L26" s="225">
        <f t="shared" si="106"/>
        <v>-50</v>
      </c>
      <c r="M26" s="225">
        <f t="shared" si="106"/>
        <v>-50</v>
      </c>
      <c r="N26" s="225">
        <f t="shared" si="106"/>
        <v>-50</v>
      </c>
      <c r="O26" s="225">
        <f t="shared" si="106"/>
        <v>-50</v>
      </c>
      <c r="P26" s="225">
        <f t="shared" si="106"/>
        <v>-50</v>
      </c>
      <c r="Q26" s="225">
        <f t="shared" si="106"/>
        <v>-50</v>
      </c>
      <c r="R26" s="225">
        <f t="shared" si="106"/>
        <v>-50</v>
      </c>
      <c r="S26" s="225">
        <f t="shared" si="106"/>
        <v>-50</v>
      </c>
      <c r="T26" s="225">
        <f t="shared" si="106"/>
        <v>-50</v>
      </c>
      <c r="U26" s="225">
        <f t="shared" si="106"/>
        <v>-50</v>
      </c>
      <c r="V26" s="225">
        <f t="shared" si="106"/>
        <v>-50</v>
      </c>
      <c r="W26" s="225">
        <f t="shared" si="106"/>
        <v>-50</v>
      </c>
      <c r="X26" s="225">
        <f t="shared" si="106"/>
        <v>-50</v>
      </c>
      <c r="Y26" s="225">
        <f t="shared" si="106"/>
        <v>-50</v>
      </c>
      <c r="Z26" s="225">
        <f t="shared" si="106"/>
        <v>-50</v>
      </c>
      <c r="AA26" s="225">
        <f t="shared" si="106"/>
        <v>-50</v>
      </c>
      <c r="AB26" s="225">
        <f t="shared" si="106"/>
        <v>-50</v>
      </c>
      <c r="AC26" s="225">
        <f t="shared" si="106"/>
        <v>-50</v>
      </c>
      <c r="AD26" s="225">
        <f t="shared" si="106"/>
        <v>-50</v>
      </c>
      <c r="AE26" s="225">
        <f t="shared" si="106"/>
        <v>-50</v>
      </c>
      <c r="AF26" s="225">
        <f t="shared" si="106"/>
        <v>-50</v>
      </c>
      <c r="AG26" s="225">
        <f t="shared" si="106"/>
        <v>-50</v>
      </c>
      <c r="AH26" s="225">
        <f t="shared" si="106"/>
        <v>-50</v>
      </c>
      <c r="AI26" s="225">
        <f t="shared" si="106"/>
        <v>-50</v>
      </c>
      <c r="AJ26" s="225">
        <f t="shared" si="106"/>
        <v>-50</v>
      </c>
      <c r="AK26" s="225">
        <f t="shared" si="106"/>
        <v>-50</v>
      </c>
      <c r="AL26" s="225">
        <f t="shared" si="106"/>
        <v>-50</v>
      </c>
      <c r="AM26" s="225">
        <f t="shared" si="106"/>
        <v>-50</v>
      </c>
      <c r="AN26" s="225">
        <f t="shared" ref="AN26" si="107">-$A$45*AN9</f>
        <v>-50</v>
      </c>
      <c r="AO26" s="225">
        <f>-$A$45*AO9</f>
        <v>-50</v>
      </c>
      <c r="AP26" s="225">
        <f>-$A$45*AP9</f>
        <v>-50</v>
      </c>
      <c r="AQ26" s="225">
        <f t="shared" ref="AQ26:BQ26" si="108">-$A$45*AQ9</f>
        <v>-50</v>
      </c>
      <c r="AR26" s="225">
        <f t="shared" si="108"/>
        <v>-50</v>
      </c>
      <c r="AS26" s="225">
        <f t="shared" si="108"/>
        <v>-50</v>
      </c>
      <c r="AT26" s="225">
        <f t="shared" si="108"/>
        <v>-50</v>
      </c>
      <c r="AU26" s="225">
        <f t="shared" si="108"/>
        <v>-50</v>
      </c>
      <c r="AV26" s="225">
        <f t="shared" si="108"/>
        <v>-50</v>
      </c>
      <c r="AW26" s="225">
        <f t="shared" si="108"/>
        <v>-50</v>
      </c>
      <c r="AX26" s="225">
        <f t="shared" si="108"/>
        <v>-50</v>
      </c>
      <c r="AY26" s="225">
        <f t="shared" si="108"/>
        <v>-50</v>
      </c>
      <c r="AZ26" s="225">
        <f t="shared" si="108"/>
        <v>-50</v>
      </c>
      <c r="BA26" s="225">
        <f t="shared" si="108"/>
        <v>-50</v>
      </c>
      <c r="BB26" s="225">
        <f t="shared" si="108"/>
        <v>-50</v>
      </c>
      <c r="BC26" s="225">
        <f t="shared" si="108"/>
        <v>-50</v>
      </c>
      <c r="BD26" s="225">
        <f t="shared" si="108"/>
        <v>-50</v>
      </c>
      <c r="BE26" s="225">
        <f t="shared" si="108"/>
        <v>-50</v>
      </c>
      <c r="BF26" s="225">
        <f t="shared" si="108"/>
        <v>-50</v>
      </c>
      <c r="BG26" s="225">
        <f t="shared" si="108"/>
        <v>-50</v>
      </c>
      <c r="BH26" s="225">
        <f t="shared" si="108"/>
        <v>-50</v>
      </c>
      <c r="BI26" s="225">
        <f t="shared" si="108"/>
        <v>-50</v>
      </c>
      <c r="BJ26" s="225">
        <f t="shared" si="108"/>
        <v>-50</v>
      </c>
      <c r="BK26" s="225">
        <f t="shared" si="108"/>
        <v>-50</v>
      </c>
      <c r="BL26" s="225">
        <f t="shared" si="108"/>
        <v>-50</v>
      </c>
      <c r="BM26" s="225">
        <f t="shared" si="108"/>
        <v>-50</v>
      </c>
      <c r="BN26" s="225">
        <f t="shared" si="108"/>
        <v>-50</v>
      </c>
      <c r="BO26" s="225">
        <f t="shared" si="108"/>
        <v>-50</v>
      </c>
      <c r="BP26" s="225">
        <f t="shared" si="108"/>
        <v>-50</v>
      </c>
      <c r="BQ26" s="225">
        <f t="shared" si="108"/>
        <v>-50</v>
      </c>
      <c r="BR26" s="225">
        <f>-$A$45*BR9</f>
        <v>-50</v>
      </c>
      <c r="BS26" s="225">
        <f>-$A$45*BS9</f>
        <v>-50</v>
      </c>
      <c r="BT26" s="225">
        <f t="shared" ref="BT26:BW26" si="109">-$A$45*BT9</f>
        <v>-50</v>
      </c>
      <c r="BU26" s="225">
        <f t="shared" si="109"/>
        <v>-50</v>
      </c>
      <c r="BV26" s="225">
        <f t="shared" si="109"/>
        <v>-50</v>
      </c>
      <c r="BW26" s="225">
        <f t="shared" si="109"/>
        <v>-50</v>
      </c>
    </row>
    <row r="28" spans="1:75" ht="14.65" thickBot="1" x14ac:dyDescent="0.5"/>
    <row r="29" spans="1:75" ht="18.399999999999999" thickBot="1" x14ac:dyDescent="0.6">
      <c r="A29" s="234" t="str" cm="1">
        <f t="array" ref="A29">SUM(COUNTIF(A13:A25, {"📜","👤"})) &amp; "/10 Permessi"</f>
        <v>2/10 Permessi</v>
      </c>
    </row>
    <row r="30" spans="1:75" ht="28.5" x14ac:dyDescent="0.45">
      <c r="B30" s="154"/>
      <c r="C30" s="25" t="s">
        <v>119</v>
      </c>
      <c r="AJ30" s="24" t="s">
        <v>403</v>
      </c>
      <c r="AK30" s="24">
        <v>150</v>
      </c>
    </row>
    <row r="31" spans="1:75" x14ac:dyDescent="0.45">
      <c r="C31" s="24">
        <v>5000</v>
      </c>
      <c r="E31" s="25"/>
      <c r="AA31" s="24" t="s">
        <v>340</v>
      </c>
      <c r="AB31" s="109">
        <f>-6000-1500-500</f>
        <v>-8000</v>
      </c>
      <c r="AD31" s="24" t="s">
        <v>356</v>
      </c>
      <c r="AE31" s="109">
        <v>-500</v>
      </c>
    </row>
    <row r="32" spans="1:75" x14ac:dyDescent="0.45">
      <c r="F32" s="25"/>
    </row>
    <row r="33" spans="1:31" ht="71.25" x14ac:dyDescent="0.45">
      <c r="C33" s="25" t="s">
        <v>112</v>
      </c>
      <c r="D33" s="25" t="s">
        <v>161</v>
      </c>
      <c r="G33" s="24" t="s">
        <v>191</v>
      </c>
      <c r="O33" s="24" t="s">
        <v>218</v>
      </c>
      <c r="X33" s="115" t="s">
        <v>315</v>
      </c>
      <c r="AA33" s="24" t="s">
        <v>338</v>
      </c>
      <c r="AB33" s="109">
        <v>-300</v>
      </c>
      <c r="AD33" s="115" t="s">
        <v>357</v>
      </c>
      <c r="AE33" s="24">
        <v>300</v>
      </c>
    </row>
    <row r="34" spans="1:31" x14ac:dyDescent="0.45">
      <c r="C34" s="109">
        <f>-700</f>
        <v>-700</v>
      </c>
      <c r="D34" s="24">
        <v>-400</v>
      </c>
      <c r="E34" s="217"/>
      <c r="G34" s="24">
        <v>30</v>
      </c>
      <c r="O34" s="24">
        <v>300</v>
      </c>
      <c r="X34" s="115" t="s">
        <v>313</v>
      </c>
      <c r="AA34" s="24" t="s">
        <v>339</v>
      </c>
      <c r="AB34" s="109">
        <v>-50</v>
      </c>
      <c r="AD34" s="115" t="s">
        <v>358</v>
      </c>
      <c r="AE34" s="24">
        <v>3500</v>
      </c>
    </row>
    <row r="35" spans="1:31" x14ac:dyDescent="0.45">
      <c r="X35" s="115" t="s">
        <v>314</v>
      </c>
    </row>
    <row r="36" spans="1:31" ht="28.5" x14ac:dyDescent="0.45">
      <c r="D36" s="25" t="s">
        <v>113</v>
      </c>
      <c r="O36" s="24" t="s">
        <v>219</v>
      </c>
      <c r="AD36" s="24" t="s">
        <v>359</v>
      </c>
      <c r="AE36" s="24">
        <v>30</v>
      </c>
    </row>
    <row r="37" spans="1:31" x14ac:dyDescent="0.45">
      <c r="D37" s="24">
        <v>-20</v>
      </c>
      <c r="O37" s="24">
        <f>100 * 5 * 6</f>
        <v>3000</v>
      </c>
    </row>
    <row r="40" spans="1:31" s="205" customFormat="1" ht="14.65" thickBot="1" x14ac:dyDescent="0.5">
      <c r="A40" s="233"/>
      <c r="B40" s="204"/>
    </row>
    <row r="41" spans="1:31" ht="14.65" thickTop="1" x14ac:dyDescent="0.45">
      <c r="A41" s="216">
        <v>425</v>
      </c>
      <c r="B41" s="155" t="s">
        <v>273</v>
      </c>
    </row>
    <row r="42" spans="1:31" x14ac:dyDescent="0.45">
      <c r="A42" s="216">
        <v>500</v>
      </c>
      <c r="B42" s="155" t="s">
        <v>274</v>
      </c>
    </row>
    <row r="43" spans="1:31" x14ac:dyDescent="0.45">
      <c r="A43" s="216">
        <v>575</v>
      </c>
      <c r="B43" s="155" t="s">
        <v>275</v>
      </c>
    </row>
    <row r="44" spans="1:31" x14ac:dyDescent="0.45">
      <c r="A44" s="216">
        <v>240</v>
      </c>
      <c r="B44" s="155" t="s">
        <v>153</v>
      </c>
    </row>
    <row r="45" spans="1:31" x14ac:dyDescent="0.45">
      <c r="A45" s="23">
        <v>0.5</v>
      </c>
      <c r="B45" s="155" t="s">
        <v>179</v>
      </c>
    </row>
    <row r="46" spans="1:31" x14ac:dyDescent="0.45">
      <c r="A46" s="23">
        <v>20</v>
      </c>
      <c r="B46" s="155" t="s">
        <v>156</v>
      </c>
    </row>
    <row r="47" spans="1:31" x14ac:dyDescent="0.45">
      <c r="A47" s="23">
        <v>25</v>
      </c>
      <c r="B47" s="155" t="s">
        <v>157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B72F-D0DB-4F28-A2F1-6E7313A243E9}">
  <sheetPr>
    <tabColor rgb="FF00B050"/>
  </sheetPr>
  <dimension ref="A1:CR67"/>
  <sheetViews>
    <sheetView topLeftCell="BK26" workbookViewId="0">
      <selection activeCell="BQ20" sqref="BQ20"/>
    </sheetView>
  </sheetViews>
  <sheetFormatPr defaultColWidth="11.59765625" defaultRowHeight="14.25" x14ac:dyDescent="0.45"/>
  <cols>
    <col min="1" max="1" width="30.53125" style="57" bestFit="1" customWidth="1"/>
    <col min="2" max="2" width="31.33203125" style="155" bestFit="1" customWidth="1"/>
    <col min="3" max="16384" width="11.59765625" style="24"/>
  </cols>
  <sheetData>
    <row r="1" spans="1:96" s="48" customFormat="1" ht="21" x14ac:dyDescent="0.65">
      <c r="A1" s="181"/>
      <c r="B1" s="182" t="s">
        <v>125</v>
      </c>
      <c r="C1" s="171"/>
      <c r="D1" s="172" t="s">
        <v>98</v>
      </c>
      <c r="E1" s="172" t="s">
        <v>99</v>
      </c>
      <c r="F1" s="172" t="s">
        <v>100</v>
      </c>
      <c r="G1" s="173" t="s">
        <v>101</v>
      </c>
      <c r="H1" s="173" t="s">
        <v>102</v>
      </c>
      <c r="I1" s="173" t="s">
        <v>103</v>
      </c>
      <c r="J1" s="174" t="s">
        <v>104</v>
      </c>
      <c r="K1" s="174" t="s">
        <v>105</v>
      </c>
      <c r="L1" s="174" t="s">
        <v>106</v>
      </c>
      <c r="M1" s="175" t="s">
        <v>107</v>
      </c>
      <c r="N1" s="175" t="s">
        <v>108</v>
      </c>
      <c r="O1" s="175" t="s">
        <v>109</v>
      </c>
      <c r="P1" s="172" t="s">
        <v>98</v>
      </c>
      <c r="Q1" s="172" t="s">
        <v>99</v>
      </c>
      <c r="R1" s="172" t="s">
        <v>100</v>
      </c>
      <c r="S1" s="173" t="s">
        <v>101</v>
      </c>
      <c r="T1" s="173" t="s">
        <v>102</v>
      </c>
      <c r="U1" s="173" t="s">
        <v>103</v>
      </c>
      <c r="V1" s="174" t="s">
        <v>104</v>
      </c>
      <c r="W1" s="174" t="s">
        <v>105</v>
      </c>
      <c r="X1" s="174" t="s">
        <v>106</v>
      </c>
      <c r="Y1" s="175" t="s">
        <v>107</v>
      </c>
      <c r="Z1" s="175" t="s">
        <v>108</v>
      </c>
      <c r="AA1" s="175" t="s">
        <v>109</v>
      </c>
      <c r="AB1" s="172" t="s">
        <v>98</v>
      </c>
      <c r="AC1" s="172" t="s">
        <v>99</v>
      </c>
      <c r="AD1" s="172" t="s">
        <v>100</v>
      </c>
      <c r="AE1" s="173" t="s">
        <v>101</v>
      </c>
      <c r="AF1" s="173" t="s">
        <v>102</v>
      </c>
      <c r="AG1" s="173" t="s">
        <v>103</v>
      </c>
      <c r="AH1" s="174" t="s">
        <v>104</v>
      </c>
      <c r="AI1" s="174" t="s">
        <v>105</v>
      </c>
      <c r="AJ1" s="174" t="s">
        <v>106</v>
      </c>
      <c r="AK1" s="175" t="s">
        <v>107</v>
      </c>
      <c r="AL1" s="175" t="s">
        <v>108</v>
      </c>
      <c r="AM1" s="175" t="s">
        <v>109</v>
      </c>
      <c r="AN1" s="172" t="s">
        <v>98</v>
      </c>
      <c r="AO1" s="172" t="s">
        <v>99</v>
      </c>
      <c r="AP1" s="172" t="s">
        <v>100</v>
      </c>
      <c r="AQ1" s="173" t="s">
        <v>101</v>
      </c>
      <c r="AR1" s="173" t="s">
        <v>102</v>
      </c>
      <c r="AS1" s="173" t="s">
        <v>103</v>
      </c>
      <c r="AT1" s="174" t="s">
        <v>104</v>
      </c>
      <c r="AU1" s="174" t="s">
        <v>105</v>
      </c>
      <c r="AV1" s="174" t="s">
        <v>106</v>
      </c>
      <c r="AW1" s="175" t="s">
        <v>107</v>
      </c>
      <c r="AX1" s="175" t="s">
        <v>108</v>
      </c>
      <c r="AY1" s="175" t="s">
        <v>109</v>
      </c>
      <c r="AZ1" s="172" t="s">
        <v>98</v>
      </c>
      <c r="BA1" s="172" t="s">
        <v>99</v>
      </c>
      <c r="BB1" s="172" t="s">
        <v>100</v>
      </c>
      <c r="BC1" s="173" t="s">
        <v>101</v>
      </c>
      <c r="BD1" s="173" t="s">
        <v>102</v>
      </c>
      <c r="BE1" s="173" t="s">
        <v>103</v>
      </c>
      <c r="BF1" s="174" t="s">
        <v>104</v>
      </c>
      <c r="BG1" s="174" t="s">
        <v>105</v>
      </c>
      <c r="BH1" s="174" t="s">
        <v>106</v>
      </c>
      <c r="BI1" s="175" t="s">
        <v>107</v>
      </c>
      <c r="BJ1" s="175" t="s">
        <v>108</v>
      </c>
      <c r="BK1" s="175" t="s">
        <v>109</v>
      </c>
      <c r="BL1" s="172" t="s">
        <v>98</v>
      </c>
      <c r="BM1" s="172" t="s">
        <v>99</v>
      </c>
      <c r="BN1" s="172" t="s">
        <v>100</v>
      </c>
      <c r="BO1" s="173" t="s">
        <v>101</v>
      </c>
      <c r="BP1" s="173" t="s">
        <v>102</v>
      </c>
      <c r="BQ1" s="173" t="s">
        <v>103</v>
      </c>
      <c r="BR1" s="174" t="s">
        <v>104</v>
      </c>
      <c r="BS1" s="174" t="s">
        <v>105</v>
      </c>
      <c r="BT1" s="174" t="s">
        <v>106</v>
      </c>
      <c r="BU1" s="175" t="s">
        <v>107</v>
      </c>
      <c r="BV1" s="175" t="s">
        <v>108</v>
      </c>
      <c r="BW1" s="175" t="s">
        <v>109</v>
      </c>
      <c r="BX1" s="172" t="s">
        <v>98</v>
      </c>
      <c r="BY1" s="172" t="s">
        <v>99</v>
      </c>
      <c r="BZ1" s="172" t="s">
        <v>100</v>
      </c>
      <c r="CA1" s="173" t="s">
        <v>101</v>
      </c>
      <c r="CB1" s="173" t="s">
        <v>102</v>
      </c>
      <c r="CC1" s="173" t="s">
        <v>103</v>
      </c>
      <c r="CD1" s="174" t="s">
        <v>104</v>
      </c>
      <c r="CE1" s="174" t="s">
        <v>105</v>
      </c>
      <c r="CF1" s="174" t="s">
        <v>106</v>
      </c>
      <c r="CG1" s="175" t="s">
        <v>107</v>
      </c>
      <c r="CH1" s="175" t="s">
        <v>108</v>
      </c>
      <c r="CI1" s="175" t="s">
        <v>109</v>
      </c>
      <c r="CJ1" s="172" t="s">
        <v>98</v>
      </c>
      <c r="CK1" s="172" t="s">
        <v>99</v>
      </c>
      <c r="CL1" s="172" t="s">
        <v>100</v>
      </c>
      <c r="CM1" s="173" t="s">
        <v>101</v>
      </c>
      <c r="CN1" s="173" t="s">
        <v>102</v>
      </c>
      <c r="CO1" s="173" t="s">
        <v>103</v>
      </c>
      <c r="CP1" s="174" t="s">
        <v>104</v>
      </c>
      <c r="CQ1" s="174" t="s">
        <v>105</v>
      </c>
      <c r="CR1" s="174" t="s">
        <v>106</v>
      </c>
    </row>
    <row r="2" spans="1:96" s="83" customFormat="1" x14ac:dyDescent="0.45">
      <c r="A2" s="57"/>
      <c r="B2" s="147" t="s">
        <v>1</v>
      </c>
      <c r="D2" s="83">
        <v>1532</v>
      </c>
      <c r="E2" s="83">
        <f t="shared" ref="E2:AJ2" si="0">D2+IF(E1="Gennaio",1,0)</f>
        <v>1532</v>
      </c>
      <c r="F2" s="83">
        <f t="shared" si="0"/>
        <v>1532</v>
      </c>
      <c r="G2" s="83">
        <f t="shared" si="0"/>
        <v>1532</v>
      </c>
      <c r="H2" s="83">
        <f t="shared" si="0"/>
        <v>1532</v>
      </c>
      <c r="I2" s="83">
        <f t="shared" si="0"/>
        <v>1532</v>
      </c>
      <c r="J2" s="83">
        <f t="shared" si="0"/>
        <v>1532</v>
      </c>
      <c r="K2" s="83">
        <f t="shared" si="0"/>
        <v>1532</v>
      </c>
      <c r="L2" s="83">
        <f t="shared" si="0"/>
        <v>1532</v>
      </c>
      <c r="M2" s="83">
        <f t="shared" si="0"/>
        <v>1533</v>
      </c>
      <c r="N2" s="83">
        <f t="shared" si="0"/>
        <v>1533</v>
      </c>
      <c r="O2" s="83">
        <f t="shared" si="0"/>
        <v>1533</v>
      </c>
      <c r="P2" s="83">
        <f t="shared" si="0"/>
        <v>1533</v>
      </c>
      <c r="Q2" s="83">
        <f t="shared" si="0"/>
        <v>1533</v>
      </c>
      <c r="R2" s="83">
        <f t="shared" si="0"/>
        <v>1533</v>
      </c>
      <c r="S2" s="83">
        <f t="shared" si="0"/>
        <v>1533</v>
      </c>
      <c r="T2" s="83">
        <f t="shared" si="0"/>
        <v>1533</v>
      </c>
      <c r="U2" s="83">
        <f t="shared" si="0"/>
        <v>1533</v>
      </c>
      <c r="V2" s="83">
        <f t="shared" si="0"/>
        <v>1533</v>
      </c>
      <c r="W2" s="83">
        <f t="shared" si="0"/>
        <v>1533</v>
      </c>
      <c r="X2" s="83">
        <f t="shared" si="0"/>
        <v>1533</v>
      </c>
      <c r="Y2" s="83">
        <f t="shared" si="0"/>
        <v>1534</v>
      </c>
      <c r="Z2" s="83">
        <f t="shared" si="0"/>
        <v>1534</v>
      </c>
      <c r="AA2" s="83">
        <f t="shared" si="0"/>
        <v>1534</v>
      </c>
      <c r="AB2" s="83">
        <f t="shared" si="0"/>
        <v>1534</v>
      </c>
      <c r="AC2" s="83">
        <f t="shared" si="0"/>
        <v>1534</v>
      </c>
      <c r="AD2" s="83">
        <f t="shared" si="0"/>
        <v>1534</v>
      </c>
      <c r="AE2" s="83">
        <f t="shared" si="0"/>
        <v>1534</v>
      </c>
      <c r="AF2" s="83">
        <f t="shared" si="0"/>
        <v>1534</v>
      </c>
      <c r="AG2" s="83">
        <f t="shared" si="0"/>
        <v>1534</v>
      </c>
      <c r="AH2" s="83">
        <f t="shared" si="0"/>
        <v>1534</v>
      </c>
      <c r="AI2" s="83">
        <f t="shared" si="0"/>
        <v>1534</v>
      </c>
      <c r="AJ2" s="83">
        <f t="shared" si="0"/>
        <v>1534</v>
      </c>
      <c r="AK2" s="83">
        <f t="shared" ref="AK2:BP2" si="1">AJ2+IF(AK1="Gennaio",1,0)</f>
        <v>1535</v>
      </c>
      <c r="AL2" s="83">
        <f t="shared" si="1"/>
        <v>1535</v>
      </c>
      <c r="AM2" s="83">
        <f t="shared" si="1"/>
        <v>1535</v>
      </c>
      <c r="AN2" s="83">
        <f t="shared" si="1"/>
        <v>1535</v>
      </c>
      <c r="AO2" s="83">
        <f t="shared" si="1"/>
        <v>1535</v>
      </c>
      <c r="AP2" s="83">
        <f t="shared" si="1"/>
        <v>1535</v>
      </c>
      <c r="AQ2" s="83">
        <f t="shared" si="1"/>
        <v>1535</v>
      </c>
      <c r="AR2" s="83">
        <f t="shared" si="1"/>
        <v>1535</v>
      </c>
      <c r="AS2" s="83">
        <f t="shared" si="1"/>
        <v>1535</v>
      </c>
      <c r="AT2" s="83">
        <f t="shared" si="1"/>
        <v>1535</v>
      </c>
      <c r="AU2" s="83">
        <f t="shared" si="1"/>
        <v>1535</v>
      </c>
      <c r="AV2" s="83">
        <f t="shared" si="1"/>
        <v>1535</v>
      </c>
      <c r="AW2" s="83">
        <f t="shared" si="1"/>
        <v>1536</v>
      </c>
      <c r="AX2" s="83">
        <f t="shared" si="1"/>
        <v>1536</v>
      </c>
      <c r="AY2" s="83">
        <f t="shared" si="1"/>
        <v>1536</v>
      </c>
      <c r="AZ2" s="83">
        <f t="shared" si="1"/>
        <v>1536</v>
      </c>
      <c r="BA2" s="83">
        <f t="shared" si="1"/>
        <v>1536</v>
      </c>
      <c r="BB2" s="83">
        <f t="shared" si="1"/>
        <v>1536</v>
      </c>
      <c r="BC2" s="83">
        <f t="shared" si="1"/>
        <v>1536</v>
      </c>
      <c r="BD2" s="83">
        <f t="shared" si="1"/>
        <v>1536</v>
      </c>
      <c r="BE2" s="83">
        <f t="shared" si="1"/>
        <v>1536</v>
      </c>
      <c r="BF2" s="83">
        <f t="shared" si="1"/>
        <v>1536</v>
      </c>
      <c r="BG2" s="83">
        <f t="shared" si="1"/>
        <v>1536</v>
      </c>
      <c r="BH2" s="83">
        <f t="shared" si="1"/>
        <v>1536</v>
      </c>
      <c r="BI2" s="83">
        <f t="shared" si="1"/>
        <v>1537</v>
      </c>
      <c r="BJ2" s="83">
        <f t="shared" si="1"/>
        <v>1537</v>
      </c>
      <c r="BK2" s="83">
        <f t="shared" si="1"/>
        <v>1537</v>
      </c>
      <c r="BL2" s="83">
        <f t="shared" si="1"/>
        <v>1537</v>
      </c>
      <c r="BM2" s="83">
        <f t="shared" si="1"/>
        <v>1537</v>
      </c>
      <c r="BN2" s="83">
        <f t="shared" si="1"/>
        <v>1537</v>
      </c>
      <c r="BO2" s="83">
        <f t="shared" si="1"/>
        <v>1537</v>
      </c>
      <c r="BP2" s="83">
        <f t="shared" si="1"/>
        <v>1537</v>
      </c>
      <c r="BQ2" s="83">
        <f t="shared" ref="BQ2:CR2" si="2">BP2+IF(BQ1="Gennaio",1,0)</f>
        <v>1537</v>
      </c>
      <c r="BR2" s="83">
        <f t="shared" si="2"/>
        <v>1537</v>
      </c>
      <c r="BS2" s="83">
        <f t="shared" si="2"/>
        <v>1537</v>
      </c>
      <c r="BT2" s="83">
        <f t="shared" si="2"/>
        <v>1537</v>
      </c>
      <c r="BU2" s="83">
        <f t="shared" si="2"/>
        <v>1538</v>
      </c>
      <c r="BV2" s="83">
        <f t="shared" si="2"/>
        <v>1538</v>
      </c>
      <c r="BW2" s="83">
        <f t="shared" si="2"/>
        <v>1538</v>
      </c>
      <c r="BX2" s="83">
        <f t="shared" si="2"/>
        <v>1538</v>
      </c>
      <c r="BY2" s="83">
        <f t="shared" si="2"/>
        <v>1538</v>
      </c>
      <c r="BZ2" s="83">
        <f t="shared" si="2"/>
        <v>1538</v>
      </c>
      <c r="CA2" s="83">
        <f t="shared" si="2"/>
        <v>1538</v>
      </c>
      <c r="CB2" s="83">
        <f t="shared" si="2"/>
        <v>1538</v>
      </c>
      <c r="CC2" s="83">
        <f t="shared" si="2"/>
        <v>1538</v>
      </c>
      <c r="CD2" s="83">
        <f t="shared" si="2"/>
        <v>1538</v>
      </c>
      <c r="CE2" s="83">
        <f t="shared" si="2"/>
        <v>1538</v>
      </c>
      <c r="CF2" s="83">
        <f t="shared" si="2"/>
        <v>1538</v>
      </c>
      <c r="CG2" s="83">
        <f t="shared" si="2"/>
        <v>1539</v>
      </c>
      <c r="CH2" s="83">
        <f t="shared" si="2"/>
        <v>1539</v>
      </c>
      <c r="CI2" s="83">
        <f t="shared" si="2"/>
        <v>1539</v>
      </c>
      <c r="CJ2" s="83">
        <f t="shared" si="2"/>
        <v>1539</v>
      </c>
      <c r="CK2" s="83">
        <f t="shared" si="2"/>
        <v>1539</v>
      </c>
      <c r="CL2" s="83">
        <f t="shared" si="2"/>
        <v>1539</v>
      </c>
      <c r="CM2" s="83">
        <f t="shared" si="2"/>
        <v>1539</v>
      </c>
      <c r="CN2" s="83">
        <f t="shared" si="2"/>
        <v>1539</v>
      </c>
      <c r="CO2" s="83">
        <f t="shared" si="2"/>
        <v>1539</v>
      </c>
      <c r="CP2" s="83">
        <f t="shared" si="2"/>
        <v>1539</v>
      </c>
      <c r="CQ2" s="83">
        <f t="shared" si="2"/>
        <v>1539</v>
      </c>
      <c r="CR2" s="83">
        <f t="shared" si="2"/>
        <v>1539</v>
      </c>
    </row>
    <row r="3" spans="1:96" s="146" customFormat="1" x14ac:dyDescent="0.45">
      <c r="A3" s="65"/>
      <c r="B3" s="148" t="s">
        <v>94</v>
      </c>
      <c r="D3" s="146">
        <f>C3+1</f>
        <v>1</v>
      </c>
      <c r="E3" s="146">
        <f t="shared" ref="E3:BP3" si="3">D3+1</f>
        <v>2</v>
      </c>
      <c r="F3" s="146">
        <f t="shared" si="3"/>
        <v>3</v>
      </c>
      <c r="G3" s="146">
        <f t="shared" si="3"/>
        <v>4</v>
      </c>
      <c r="H3" s="146">
        <f t="shared" si="3"/>
        <v>5</v>
      </c>
      <c r="I3" s="146">
        <f t="shared" si="3"/>
        <v>6</v>
      </c>
      <c r="J3" s="146">
        <f t="shared" si="3"/>
        <v>7</v>
      </c>
      <c r="K3" s="146">
        <f t="shared" si="3"/>
        <v>8</v>
      </c>
      <c r="L3" s="146">
        <f t="shared" si="3"/>
        <v>9</v>
      </c>
      <c r="M3" s="146">
        <f t="shared" si="3"/>
        <v>10</v>
      </c>
      <c r="N3" s="146">
        <f t="shared" si="3"/>
        <v>11</v>
      </c>
      <c r="O3" s="146">
        <f t="shared" si="3"/>
        <v>12</v>
      </c>
      <c r="P3" s="146">
        <f t="shared" si="3"/>
        <v>13</v>
      </c>
      <c r="Q3" s="146">
        <f t="shared" si="3"/>
        <v>14</v>
      </c>
      <c r="R3" s="146">
        <f t="shared" si="3"/>
        <v>15</v>
      </c>
      <c r="S3" s="146">
        <f t="shared" si="3"/>
        <v>16</v>
      </c>
      <c r="T3" s="146">
        <f t="shared" si="3"/>
        <v>17</v>
      </c>
      <c r="U3" s="146">
        <f t="shared" si="3"/>
        <v>18</v>
      </c>
      <c r="V3" s="146">
        <f t="shared" si="3"/>
        <v>19</v>
      </c>
      <c r="W3" s="146">
        <f t="shared" si="3"/>
        <v>20</v>
      </c>
      <c r="X3" s="146">
        <f t="shared" si="3"/>
        <v>21</v>
      </c>
      <c r="Y3" s="146">
        <f t="shared" si="3"/>
        <v>22</v>
      </c>
      <c r="Z3" s="146">
        <f t="shared" si="3"/>
        <v>23</v>
      </c>
      <c r="AA3" s="146">
        <f t="shared" si="3"/>
        <v>24</v>
      </c>
      <c r="AB3" s="146">
        <f t="shared" si="3"/>
        <v>25</v>
      </c>
      <c r="AC3" s="146">
        <f t="shared" si="3"/>
        <v>26</v>
      </c>
      <c r="AD3" s="146">
        <f t="shared" si="3"/>
        <v>27</v>
      </c>
      <c r="AE3" s="146">
        <f t="shared" si="3"/>
        <v>28</v>
      </c>
      <c r="AF3" s="146">
        <f t="shared" si="3"/>
        <v>29</v>
      </c>
      <c r="AG3" s="146">
        <f t="shared" si="3"/>
        <v>30</v>
      </c>
      <c r="AH3" s="146">
        <f t="shared" si="3"/>
        <v>31</v>
      </c>
      <c r="AI3" s="146">
        <f t="shared" si="3"/>
        <v>32</v>
      </c>
      <c r="AJ3" s="146">
        <f t="shared" si="3"/>
        <v>33</v>
      </c>
      <c r="AK3" s="146">
        <f t="shared" si="3"/>
        <v>34</v>
      </c>
      <c r="AL3" s="146">
        <f t="shared" si="3"/>
        <v>35</v>
      </c>
      <c r="AM3" s="146">
        <f t="shared" si="3"/>
        <v>36</v>
      </c>
      <c r="AN3" s="146">
        <f t="shared" si="3"/>
        <v>37</v>
      </c>
      <c r="AO3" s="146">
        <f t="shared" si="3"/>
        <v>38</v>
      </c>
      <c r="AP3" s="146">
        <f t="shared" si="3"/>
        <v>39</v>
      </c>
      <c r="AQ3" s="146">
        <f t="shared" si="3"/>
        <v>40</v>
      </c>
      <c r="AR3" s="146">
        <f t="shared" si="3"/>
        <v>41</v>
      </c>
      <c r="AS3" s="146">
        <f t="shared" si="3"/>
        <v>42</v>
      </c>
      <c r="AT3" s="146">
        <f t="shared" si="3"/>
        <v>43</v>
      </c>
      <c r="AU3" s="146">
        <f t="shared" si="3"/>
        <v>44</v>
      </c>
      <c r="AV3" s="146">
        <f t="shared" si="3"/>
        <v>45</v>
      </c>
      <c r="AW3" s="146">
        <f t="shared" si="3"/>
        <v>46</v>
      </c>
      <c r="AX3" s="146">
        <f t="shared" si="3"/>
        <v>47</v>
      </c>
      <c r="AY3" s="146">
        <f t="shared" si="3"/>
        <v>48</v>
      </c>
      <c r="AZ3" s="146">
        <f t="shared" si="3"/>
        <v>49</v>
      </c>
      <c r="BA3" s="146">
        <f t="shared" si="3"/>
        <v>50</v>
      </c>
      <c r="BB3" s="146">
        <f t="shared" si="3"/>
        <v>51</v>
      </c>
      <c r="BC3" s="146">
        <f t="shared" si="3"/>
        <v>52</v>
      </c>
      <c r="BD3" s="146">
        <f t="shared" si="3"/>
        <v>53</v>
      </c>
      <c r="BE3" s="146">
        <f t="shared" si="3"/>
        <v>54</v>
      </c>
      <c r="BF3" s="146">
        <f t="shared" si="3"/>
        <v>55</v>
      </c>
      <c r="BG3" s="146">
        <f t="shared" si="3"/>
        <v>56</v>
      </c>
      <c r="BH3" s="146">
        <f t="shared" si="3"/>
        <v>57</v>
      </c>
      <c r="BI3" s="146">
        <f t="shared" si="3"/>
        <v>58</v>
      </c>
      <c r="BJ3" s="146">
        <f t="shared" si="3"/>
        <v>59</v>
      </c>
      <c r="BK3" s="146">
        <f t="shared" si="3"/>
        <v>60</v>
      </c>
      <c r="BL3" s="146">
        <f t="shared" si="3"/>
        <v>61</v>
      </c>
      <c r="BM3" s="146">
        <f t="shared" si="3"/>
        <v>62</v>
      </c>
      <c r="BN3" s="146">
        <f t="shared" si="3"/>
        <v>63</v>
      </c>
      <c r="BO3" s="146">
        <f t="shared" si="3"/>
        <v>64</v>
      </c>
      <c r="BP3" s="146">
        <f t="shared" si="3"/>
        <v>65</v>
      </c>
      <c r="BQ3" s="146">
        <f t="shared" ref="BQ3:CR3" si="4">BP3+1</f>
        <v>66</v>
      </c>
      <c r="BR3" s="146">
        <f t="shared" si="4"/>
        <v>67</v>
      </c>
      <c r="BS3" s="146">
        <f t="shared" si="4"/>
        <v>68</v>
      </c>
      <c r="BT3" s="146">
        <f t="shared" si="4"/>
        <v>69</v>
      </c>
      <c r="BU3" s="146">
        <f t="shared" si="4"/>
        <v>70</v>
      </c>
      <c r="BV3" s="146">
        <f t="shared" si="4"/>
        <v>71</v>
      </c>
      <c r="BW3" s="146">
        <f t="shared" si="4"/>
        <v>72</v>
      </c>
      <c r="BX3" s="146">
        <f t="shared" si="4"/>
        <v>73</v>
      </c>
      <c r="BY3" s="146">
        <f t="shared" si="4"/>
        <v>74</v>
      </c>
      <c r="BZ3" s="146">
        <f t="shared" si="4"/>
        <v>75</v>
      </c>
      <c r="CA3" s="146">
        <f t="shared" si="4"/>
        <v>76</v>
      </c>
      <c r="CB3" s="146">
        <f t="shared" si="4"/>
        <v>77</v>
      </c>
      <c r="CC3" s="146">
        <f t="shared" si="4"/>
        <v>78</v>
      </c>
      <c r="CD3" s="146">
        <f t="shared" si="4"/>
        <v>79</v>
      </c>
      <c r="CE3" s="146">
        <f t="shared" si="4"/>
        <v>80</v>
      </c>
      <c r="CF3" s="146">
        <f t="shared" si="4"/>
        <v>81</v>
      </c>
      <c r="CG3" s="146">
        <f t="shared" si="4"/>
        <v>82</v>
      </c>
      <c r="CH3" s="146">
        <f t="shared" si="4"/>
        <v>83</v>
      </c>
      <c r="CI3" s="146">
        <f t="shared" si="4"/>
        <v>84</v>
      </c>
      <c r="CJ3" s="146">
        <f t="shared" si="4"/>
        <v>85</v>
      </c>
      <c r="CK3" s="146">
        <f t="shared" si="4"/>
        <v>86</v>
      </c>
      <c r="CL3" s="146">
        <f t="shared" si="4"/>
        <v>87</v>
      </c>
      <c r="CM3" s="146">
        <f t="shared" si="4"/>
        <v>88</v>
      </c>
      <c r="CN3" s="146">
        <f t="shared" si="4"/>
        <v>89</v>
      </c>
      <c r="CO3" s="146">
        <f t="shared" si="4"/>
        <v>90</v>
      </c>
      <c r="CP3" s="146">
        <f t="shared" si="4"/>
        <v>91</v>
      </c>
      <c r="CQ3" s="146">
        <f t="shared" si="4"/>
        <v>92</v>
      </c>
      <c r="CR3" s="146">
        <f t="shared" si="4"/>
        <v>93</v>
      </c>
    </row>
    <row r="4" spans="1:96" s="36" customFormat="1" x14ac:dyDescent="0.45">
      <c r="A4" s="91"/>
      <c r="B4" s="149"/>
      <c r="AH4" s="37" t="s">
        <v>342</v>
      </c>
      <c r="AN4" s="36">
        <f>SUMIF(AN11:AN39, "&gt;=0")</f>
        <v>4334</v>
      </c>
    </row>
    <row r="5" spans="1:96" s="36" customFormat="1" x14ac:dyDescent="0.45">
      <c r="A5" s="91"/>
      <c r="B5" s="150" t="s">
        <v>249</v>
      </c>
      <c r="C5" s="36">
        <f>ABS(C46)</f>
        <v>230</v>
      </c>
      <c r="D5" s="36">
        <f>ABS(D16+D46)</f>
        <v>1400</v>
      </c>
      <c r="G5" s="36">
        <f>ABS(G20)</f>
        <v>900</v>
      </c>
      <c r="J5" s="36">
        <f>ABS(J24)</f>
        <v>900</v>
      </c>
      <c r="M5" s="36">
        <f>ABS(M32+M46)</f>
        <v>5120</v>
      </c>
      <c r="Y5" s="106">
        <f>-Y28</f>
        <v>2700</v>
      </c>
      <c r="AG5" s="36">
        <f>ABS(SUM(Y48:AG48))</f>
        <v>27499.999999999996</v>
      </c>
      <c r="AI5" s="106"/>
    </row>
    <row r="6" spans="1:96" s="48" customFormat="1" x14ac:dyDescent="0.45">
      <c r="A6" s="179"/>
      <c r="B6" s="151" t="s">
        <v>256</v>
      </c>
      <c r="D6" s="142">
        <f>SUM($C5:D5)+D7</f>
        <v>5427</v>
      </c>
      <c r="E6" s="142">
        <f>SUM($C5:E5)+E7</f>
        <v>5914</v>
      </c>
      <c r="F6" s="142">
        <f>SUM($C5:F5)+F7</f>
        <v>6401</v>
      </c>
      <c r="G6" s="142">
        <f>SUM($C5:G5)+G7</f>
        <v>7133.2</v>
      </c>
      <c r="H6" s="142">
        <f>SUM($C5:H5)+H7</f>
        <v>7865.4</v>
      </c>
      <c r="I6" s="142">
        <f>SUM($C5:I5)+I7</f>
        <v>8597.5999999999985</v>
      </c>
      <c r="J6" s="142">
        <f>SUM($C5:J5)+J7</f>
        <v>9600</v>
      </c>
      <c r="K6" s="142">
        <f>SUM($C5:K5)+K7</f>
        <v>11602.4</v>
      </c>
      <c r="L6" s="142">
        <f>SUM($C5:L5)+L7</f>
        <v>12204.8</v>
      </c>
      <c r="M6" s="142">
        <f>SUM($C5:M5)+M7</f>
        <v>13626.68</v>
      </c>
      <c r="N6" s="142">
        <f>SUM($C5:N5)+N7</f>
        <v>14748.56</v>
      </c>
      <c r="O6" s="142">
        <f>SUM($C5:O5)+O7</f>
        <v>15870.439999999999</v>
      </c>
      <c r="P6" s="142">
        <f>SUM($C5:P5)+P7</f>
        <v>16892.32</v>
      </c>
      <c r="Q6" s="142">
        <f>SUM($C5:Q5)+Q7</f>
        <v>18014.2</v>
      </c>
      <c r="R6" s="142">
        <f>SUM($C5:R5)+R7</f>
        <v>19136.080000000002</v>
      </c>
      <c r="S6" s="142">
        <f>SUM($C5:S5)+S7</f>
        <v>20128.160000000003</v>
      </c>
      <c r="T6" s="142">
        <f>SUM($C5:T5)+T7</f>
        <v>21620.240000000002</v>
      </c>
      <c r="U6" s="142">
        <f>SUM($C5:U5)+U7</f>
        <v>23112.32</v>
      </c>
      <c r="V6" s="142">
        <f>SUM($C5:V5)+V7</f>
        <v>24104.400000000001</v>
      </c>
      <c r="W6" s="142">
        <f>SUM($C5:W5)+W7</f>
        <v>25596.480000000003</v>
      </c>
      <c r="X6" s="142">
        <f>SUM($C5:X5)+X7</f>
        <v>27088.560000000005</v>
      </c>
      <c r="Y6" s="142">
        <f>SUM($C5:Y5)+Y7</f>
        <v>24804.084444444448</v>
      </c>
      <c r="Z6" s="142">
        <f>SUM($C5:Z5)+Z7</f>
        <v>22719.608888888892</v>
      </c>
      <c r="AA6" s="142">
        <f>SUM($C5:AA5)+AA7</f>
        <v>20635.133333333335</v>
      </c>
      <c r="AB6" s="142">
        <f>SUM($C5:AA5)+AB7</f>
        <v>19280.657777777778</v>
      </c>
      <c r="AC6" s="142">
        <f>SUM($C5:AC5)+AC7</f>
        <v>18026.182222222225</v>
      </c>
      <c r="AD6" s="142">
        <f>SUM($C5:AD5)+AD7</f>
        <v>16771.706666666669</v>
      </c>
      <c r="AE6" s="142">
        <f>SUM($C5:AD5)+AE7</f>
        <v>15115.131111111112</v>
      </c>
      <c r="AF6" s="142">
        <f>SUM($C5:AF5)+AF7</f>
        <v>13158.555555555557</v>
      </c>
      <c r="AG6" s="142">
        <f>SUM($C5:AG5)+AG7</f>
        <v>38751.980000000003</v>
      </c>
      <c r="AH6" s="142">
        <f>SUM($C5:AH5)+AH7</f>
        <v>39675.96</v>
      </c>
      <c r="AI6" s="142">
        <f>SUM($C5:AI5)+AI7</f>
        <v>40014.94</v>
      </c>
      <c r="AJ6" s="142">
        <f>SUM($C5:AJ5)+AJ7</f>
        <v>40623.919999999998</v>
      </c>
      <c r="AK6" s="142">
        <f>SUM($C5:AK5)+AK7</f>
        <v>41284.9</v>
      </c>
      <c r="AL6" s="142">
        <f>SUM($C5:AL5)+AL7</f>
        <v>41947.880000000005</v>
      </c>
      <c r="AM6" s="142">
        <f>SUM($C5:AM5)+AM7</f>
        <v>42662.86</v>
      </c>
      <c r="AN6" s="142">
        <f>SUM($C5:AN5)+AN7</f>
        <v>43379.840000000004</v>
      </c>
      <c r="AO6" s="142">
        <f>SUM($C5:AO5)+AO7</f>
        <v>44148.82</v>
      </c>
      <c r="AP6" s="142">
        <f>SUM($C5:AP5)+AP7</f>
        <v>44919.8</v>
      </c>
      <c r="AQ6" s="142">
        <f>SUM($C5:AQ5)+AQ7</f>
        <v>45692.78</v>
      </c>
      <c r="AR6" s="142">
        <f>SUM($C5:AR5)+AR7</f>
        <v>46467.76</v>
      </c>
      <c r="AS6" s="142">
        <f>SUM($C5:AS5)+AS7</f>
        <v>47244.74</v>
      </c>
      <c r="AT6" s="142">
        <f>SUM($C5:AT5)+AT7</f>
        <v>48023.72</v>
      </c>
      <c r="AU6" s="142">
        <f>SUM($C5:AU5)+AU7</f>
        <v>48804.7</v>
      </c>
      <c r="AV6" s="142">
        <f>SUM($C5:AV5)+AV7</f>
        <v>49587.68</v>
      </c>
      <c r="AW6" s="142">
        <f>SUM($C5:AW5)+AW7</f>
        <v>50372.659999999996</v>
      </c>
      <c r="AX6" s="142">
        <f>SUM($C5:AX5)+AX7</f>
        <v>51159.64</v>
      </c>
      <c r="AY6" s="142">
        <f>SUM($C5:AY5)+AY7</f>
        <v>51948.619999999995</v>
      </c>
      <c r="AZ6" s="142">
        <f>SUM($C5:AZ5)+AZ7</f>
        <v>52739.6</v>
      </c>
      <c r="BA6" s="142">
        <f>SUM($C5:BA5)+BA7</f>
        <v>53532.579999999994</v>
      </c>
      <c r="BB6" s="142">
        <f>SUM($C5:BB5)+BB7</f>
        <v>54327.56</v>
      </c>
      <c r="BC6" s="142">
        <f>SUM($C5:BC5)+BC7</f>
        <v>55124.539999999994</v>
      </c>
      <c r="BD6" s="142">
        <f>SUM($C5:BD5)+BD7</f>
        <v>55923.519999999997</v>
      </c>
      <c r="BE6" s="142">
        <f>SUM($C5:BE5)+BE7</f>
        <v>56724.5</v>
      </c>
      <c r="BF6" s="142">
        <f>SUM($C5:BF5)+BF7</f>
        <v>57527.479999999996</v>
      </c>
      <c r="BG6" s="142">
        <f>SUM($C5:BG5)+BG7</f>
        <v>58332.459999999992</v>
      </c>
      <c r="BH6" s="142">
        <f>SUM($C5:BH5)+BH7</f>
        <v>59139.439999999995</v>
      </c>
      <c r="BI6" s="142">
        <f>SUM($C5:BI5)+BI7</f>
        <v>59948.42</v>
      </c>
      <c r="BJ6" s="142">
        <f>SUM($C5:BJ5)+BJ7</f>
        <v>60759.399999999994</v>
      </c>
      <c r="BK6" s="142">
        <f>SUM($C5:BK5)+BK7</f>
        <v>61572.37999999999</v>
      </c>
      <c r="BL6" s="142">
        <f>SUM($C5:BL5)+BL7</f>
        <v>62387.359999999993</v>
      </c>
      <c r="BM6" s="142">
        <f>SUM($C5:BM5)+BM7</f>
        <v>63204.34</v>
      </c>
      <c r="BN6" s="142">
        <f>SUM($C5:BN5)+BN7</f>
        <v>64023.319999999992</v>
      </c>
      <c r="BO6" s="142">
        <f>SUM($C5:BO5)+BO7</f>
        <v>64844.299999999988</v>
      </c>
      <c r="BP6" s="142">
        <f>SUM($C5:BP5)+BP7</f>
        <v>65667.28</v>
      </c>
      <c r="BQ6" s="142">
        <f>SUM($C5:BQ5)+BQ7</f>
        <v>66492.259999999995</v>
      </c>
      <c r="BR6" s="142">
        <f>SUM($C5:BR5)+BR7</f>
        <v>67319.239999999991</v>
      </c>
      <c r="BS6" s="142">
        <f>SUM($C5:BS5)+BS7</f>
        <v>68148.219999999987</v>
      </c>
      <c r="BT6" s="142">
        <f>SUM($C5:BT5)+BT7</f>
        <v>68979.199999999983</v>
      </c>
      <c r="BU6" s="142">
        <f>SUM($C5:BU5)+BU7</f>
        <v>69812.179999999993</v>
      </c>
      <c r="BV6" s="142">
        <f>SUM($C5:BV5)+BV7</f>
        <v>70647.159999999989</v>
      </c>
      <c r="BW6" s="142">
        <f>SUM($C5:BW5)+BW7</f>
        <v>71484.139999999985</v>
      </c>
    </row>
    <row r="7" spans="1:96" x14ac:dyDescent="0.45">
      <c r="B7" s="152" t="s">
        <v>121</v>
      </c>
      <c r="C7" s="24">
        <f>SUM(C9:C1048576)</f>
        <v>4770</v>
      </c>
      <c r="D7" s="24">
        <f t="shared" ref="D7:AM7" si="5">C7+SUM(D9:D1048576)</f>
        <v>3797</v>
      </c>
      <c r="E7" s="24">
        <f t="shared" si="5"/>
        <v>4284</v>
      </c>
      <c r="F7" s="24">
        <f t="shared" si="5"/>
        <v>4771</v>
      </c>
      <c r="G7" s="24">
        <f t="shared" si="5"/>
        <v>4603.2</v>
      </c>
      <c r="H7" s="24">
        <f t="shared" si="5"/>
        <v>5335.4</v>
      </c>
      <c r="I7" s="24">
        <f t="shared" si="5"/>
        <v>6067.5999999999995</v>
      </c>
      <c r="J7" s="24">
        <f t="shared" si="5"/>
        <v>6169.9999999999991</v>
      </c>
      <c r="K7" s="24">
        <f t="shared" si="5"/>
        <v>8172.4</v>
      </c>
      <c r="L7" s="24">
        <f t="shared" si="5"/>
        <v>8774.7999999999993</v>
      </c>
      <c r="M7" s="24">
        <f t="shared" si="5"/>
        <v>5076.6799999999994</v>
      </c>
      <c r="N7" s="24">
        <f t="shared" si="5"/>
        <v>6198.5599999999995</v>
      </c>
      <c r="O7" s="24">
        <f t="shared" si="5"/>
        <v>7320.44</v>
      </c>
      <c r="P7" s="24">
        <f t="shared" si="5"/>
        <v>8342.32</v>
      </c>
      <c r="Q7" s="24">
        <f t="shared" si="5"/>
        <v>9464.2000000000007</v>
      </c>
      <c r="R7" s="24">
        <f t="shared" si="5"/>
        <v>10586.080000000002</v>
      </c>
      <c r="S7" s="24">
        <f t="shared" si="5"/>
        <v>11578.160000000002</v>
      </c>
      <c r="T7" s="24">
        <f t="shared" si="5"/>
        <v>13070.240000000002</v>
      </c>
      <c r="U7" s="24">
        <f t="shared" si="5"/>
        <v>14562.320000000002</v>
      </c>
      <c r="V7" s="24">
        <f t="shared" si="5"/>
        <v>15554.400000000001</v>
      </c>
      <c r="W7" s="24">
        <f t="shared" si="5"/>
        <v>17046.480000000003</v>
      </c>
      <c r="X7" s="24">
        <f t="shared" si="5"/>
        <v>18538.560000000005</v>
      </c>
      <c r="Y7" s="24">
        <f t="shared" si="5"/>
        <v>13554.084444444448</v>
      </c>
      <c r="Z7" s="24">
        <f t="shared" si="5"/>
        <v>11469.608888888892</v>
      </c>
      <c r="AA7" s="24">
        <f t="shared" si="5"/>
        <v>9385.133333333335</v>
      </c>
      <c r="AB7" s="24">
        <f t="shared" si="5"/>
        <v>8030.6577777777793</v>
      </c>
      <c r="AC7" s="24">
        <f t="shared" si="5"/>
        <v>6776.1822222222236</v>
      </c>
      <c r="AD7" s="24">
        <f t="shared" si="5"/>
        <v>5521.7066666666678</v>
      </c>
      <c r="AE7" s="24">
        <f t="shared" si="5"/>
        <v>3865.1311111111122</v>
      </c>
      <c r="AF7" s="24">
        <f t="shared" si="5"/>
        <v>1908.5555555555566</v>
      </c>
      <c r="AG7" s="24">
        <f t="shared" si="5"/>
        <v>1.9800000000009277</v>
      </c>
      <c r="AH7" s="24">
        <f t="shared" si="5"/>
        <v>925.96000000000095</v>
      </c>
      <c r="AI7" s="24">
        <f t="shared" si="5"/>
        <v>1264.940000000001</v>
      </c>
      <c r="AJ7" s="24">
        <f t="shared" si="5"/>
        <v>1873.920000000001</v>
      </c>
      <c r="AK7" s="24">
        <f t="shared" si="5"/>
        <v>2534.900000000001</v>
      </c>
      <c r="AL7" s="24">
        <f t="shared" si="5"/>
        <v>3197.880000000001</v>
      </c>
      <c r="AM7" s="24">
        <f t="shared" si="5"/>
        <v>3912.860000000001</v>
      </c>
      <c r="AN7" s="24">
        <f t="shared" ref="AN7" si="6">AM7+SUM(AN9:AN1048576)</f>
        <v>4629.8400000000011</v>
      </c>
      <c r="AO7" s="24">
        <f t="shared" ref="AO7" si="7">AN7+SUM(AO9:AO1048576)</f>
        <v>5398.8200000000015</v>
      </c>
      <c r="AP7" s="24">
        <f t="shared" ref="AP7" si="8">AO7+SUM(AP9:AP1048576)</f>
        <v>6169.8000000000011</v>
      </c>
      <c r="AQ7" s="24">
        <f t="shared" ref="AQ7" si="9">AP7+SUM(AQ9:AQ1048576)</f>
        <v>6942.7800000000007</v>
      </c>
      <c r="AR7" s="24">
        <f t="shared" ref="AR7" si="10">AQ7+SUM(AR9:AR1048576)</f>
        <v>7717.76</v>
      </c>
      <c r="AS7" s="24">
        <f t="shared" ref="AS7" si="11">AR7+SUM(AS9:AS1048576)</f>
        <v>8494.74</v>
      </c>
      <c r="AT7" s="24">
        <f t="shared" ref="AT7" si="12">AS7+SUM(AT9:AT1048576)</f>
        <v>9273.7199999999993</v>
      </c>
      <c r="AU7" s="24">
        <f t="shared" ref="AU7" si="13">AT7+SUM(AU9:AU1048576)</f>
        <v>10054.699999999999</v>
      </c>
      <c r="AV7" s="24">
        <f t="shared" ref="AV7" si="14">AU7+SUM(AV9:AV1048576)</f>
        <v>10837.679999999998</v>
      </c>
      <c r="AW7" s="24">
        <f t="shared" ref="AW7" si="15">AV7+SUM(AW9:AW1048576)</f>
        <v>11622.659999999998</v>
      </c>
      <c r="AX7" s="24">
        <f t="shared" ref="AX7" si="16">AW7+SUM(AX9:AX1048576)</f>
        <v>12409.639999999998</v>
      </c>
      <c r="AY7" s="24">
        <f t="shared" ref="AY7" si="17">AX7+SUM(AY9:AY1048576)</f>
        <v>13198.619999999997</v>
      </c>
      <c r="AZ7" s="24">
        <f t="shared" ref="AZ7" si="18">AY7+SUM(AZ9:AZ1048576)</f>
        <v>13989.599999999997</v>
      </c>
      <c r="BA7" s="24">
        <f t="shared" ref="BA7" si="19">AZ7+SUM(BA9:BA1048576)</f>
        <v>14782.579999999996</v>
      </c>
      <c r="BB7" s="24">
        <f t="shared" ref="BB7" si="20">BA7+SUM(BB9:BB1048576)</f>
        <v>15577.559999999996</v>
      </c>
      <c r="BC7" s="24">
        <f t="shared" ref="BC7" si="21">BB7+SUM(BC9:BC1048576)</f>
        <v>16374.539999999995</v>
      </c>
      <c r="BD7" s="24">
        <f t="shared" ref="BD7" si="22">BC7+SUM(BD9:BD1048576)</f>
        <v>17173.519999999997</v>
      </c>
      <c r="BE7" s="24">
        <f t="shared" ref="BE7" si="23">BD7+SUM(BE9:BE1048576)</f>
        <v>17974.499999999996</v>
      </c>
      <c r="BF7" s="24">
        <f t="shared" ref="BF7" si="24">BE7+SUM(BF9:BF1048576)</f>
        <v>18777.479999999996</v>
      </c>
      <c r="BG7" s="24">
        <f t="shared" ref="BG7" si="25">BF7+SUM(BG9:BG1048576)</f>
        <v>19582.459999999995</v>
      </c>
      <c r="BH7" s="24">
        <f t="shared" ref="BH7" si="26">BG7+SUM(BH9:BH1048576)</f>
        <v>20389.439999999995</v>
      </c>
      <c r="BI7" s="24">
        <f t="shared" ref="BI7" si="27">BH7+SUM(BI9:BI1048576)</f>
        <v>21198.419999999995</v>
      </c>
      <c r="BJ7" s="24">
        <f t="shared" ref="BJ7" si="28">BI7+SUM(BJ9:BJ1048576)</f>
        <v>22009.399999999994</v>
      </c>
      <c r="BK7" s="24">
        <f t="shared" ref="BK7" si="29">BJ7+SUM(BK9:BK1048576)</f>
        <v>22822.379999999994</v>
      </c>
      <c r="BL7" s="24">
        <f t="shared" ref="BL7" si="30">BK7+SUM(BL9:BL1048576)</f>
        <v>23637.359999999993</v>
      </c>
      <c r="BM7" s="24">
        <f t="shared" ref="BM7" si="31">BL7+SUM(BM9:BM1048576)</f>
        <v>24454.339999999993</v>
      </c>
      <c r="BN7" s="24">
        <f t="shared" ref="BN7" si="32">BM7+SUM(BN9:BN1048576)</f>
        <v>25273.319999999992</v>
      </c>
      <c r="BO7" s="24">
        <f t="shared" ref="BO7" si="33">BN7+SUM(BO9:BO1048576)</f>
        <v>26094.299999999992</v>
      </c>
      <c r="BP7" s="24">
        <f t="shared" ref="BP7" si="34">BO7+SUM(BP9:BP1048576)</f>
        <v>26917.279999999992</v>
      </c>
      <c r="BQ7" s="24">
        <f t="shared" ref="BQ7" si="35">BP7+SUM(BQ9:BQ1048576)</f>
        <v>27742.259999999991</v>
      </c>
      <c r="BR7" s="24">
        <f t="shared" ref="BR7" si="36">BQ7+SUM(BR9:BR1048576)</f>
        <v>28569.239999999991</v>
      </c>
      <c r="BS7" s="24">
        <f t="shared" ref="BS7" si="37">BR7+SUM(BS9:BS1048576)</f>
        <v>29398.21999999999</v>
      </c>
      <c r="BT7" s="24">
        <f t="shared" ref="BT7" si="38">BS7+SUM(BT9:BT1048576)</f>
        <v>30229.19999999999</v>
      </c>
      <c r="BU7" s="24">
        <f t="shared" ref="BU7" si="39">BT7+SUM(BU9:BU1048576)</f>
        <v>31062.179999999989</v>
      </c>
      <c r="BV7" s="24">
        <f t="shared" ref="BV7" si="40">BU7+SUM(BV9:BV1048576)</f>
        <v>31897.159999999989</v>
      </c>
      <c r="BW7" s="24">
        <f t="shared" ref="BW7" si="41">BV7+SUM(BW9:BW1048576)</f>
        <v>32734.139999999989</v>
      </c>
    </row>
    <row r="8" spans="1:96" s="145" customFormat="1" x14ac:dyDescent="0.45">
      <c r="A8" s="65"/>
      <c r="B8" s="153" t="s">
        <v>122</v>
      </c>
      <c r="C8" s="143"/>
      <c r="D8" s="144">
        <f>D7-C7</f>
        <v>-973</v>
      </c>
      <c r="E8" s="144">
        <f t="shared" ref="E8:L8" si="42">E7-D7</f>
        <v>487</v>
      </c>
      <c r="F8" s="144">
        <f t="shared" si="42"/>
        <v>487</v>
      </c>
      <c r="G8" s="144">
        <f t="shared" si="42"/>
        <v>-167.80000000000018</v>
      </c>
      <c r="H8" s="144">
        <f t="shared" si="42"/>
        <v>732.19999999999982</v>
      </c>
      <c r="I8" s="144">
        <f t="shared" si="42"/>
        <v>732.19999999999982</v>
      </c>
      <c r="J8" s="144">
        <f t="shared" si="42"/>
        <v>102.39999999999964</v>
      </c>
      <c r="K8" s="144">
        <f t="shared" si="42"/>
        <v>2002.4000000000005</v>
      </c>
      <c r="L8" s="144">
        <f t="shared" si="42"/>
        <v>602.39999999999964</v>
      </c>
      <c r="M8" s="144">
        <f t="shared" ref="M8" si="43">M7-L7</f>
        <v>-3698.12</v>
      </c>
      <c r="N8" s="144">
        <f t="shared" ref="N8" si="44">N7-M7</f>
        <v>1121.8800000000001</v>
      </c>
      <c r="O8" s="144">
        <f t="shared" ref="O8" si="45">O7-N7</f>
        <v>1121.8800000000001</v>
      </c>
      <c r="P8" s="144">
        <f t="shared" ref="P8" si="46">P7-O7</f>
        <v>1021.8800000000001</v>
      </c>
      <c r="Q8" s="144">
        <f t="shared" ref="Q8" si="47">Q7-P7</f>
        <v>1121.880000000001</v>
      </c>
      <c r="R8" s="144">
        <f t="shared" ref="R8" si="48">R7-Q7</f>
        <v>1121.880000000001</v>
      </c>
      <c r="S8" s="144">
        <f t="shared" ref="S8" si="49">S7-R7</f>
        <v>992.07999999999993</v>
      </c>
      <c r="T8" s="144">
        <f t="shared" ref="T8" si="50">T7-S7</f>
        <v>1492.08</v>
      </c>
      <c r="U8" s="144">
        <f t="shared" ref="U8" si="51">U7-T7</f>
        <v>1492.08</v>
      </c>
      <c r="V8" s="144">
        <f t="shared" ref="V8" si="52">V7-U7</f>
        <v>992.07999999999993</v>
      </c>
      <c r="W8" s="144">
        <f t="shared" ref="W8" si="53">W7-V7</f>
        <v>1492.0800000000017</v>
      </c>
      <c r="X8" s="144">
        <f t="shared" ref="X8" si="54">X7-W7</f>
        <v>1492.0800000000017</v>
      </c>
      <c r="Y8" s="144">
        <f t="shared" ref="Y8" si="55">Y7-X7</f>
        <v>-4984.4755555555566</v>
      </c>
      <c r="Z8" s="144">
        <f t="shared" ref="Z8" si="56">Z7-Y7</f>
        <v>-2084.4755555555566</v>
      </c>
      <c r="AA8" s="144">
        <f t="shared" ref="AA8" si="57">AA7-Z7</f>
        <v>-2084.4755555555566</v>
      </c>
      <c r="AB8" s="144">
        <f t="shared" ref="AB8" si="58">AB7-AA7</f>
        <v>-1354.4755555555557</v>
      </c>
      <c r="AC8" s="144">
        <f t="shared" ref="AC8" si="59">AC7-AB7</f>
        <v>-1254.4755555555557</v>
      </c>
      <c r="AD8" s="144">
        <f t="shared" ref="AD8" si="60">AD7-AC7</f>
        <v>-1254.4755555555557</v>
      </c>
      <c r="AE8" s="144">
        <f>AE7-AD7</f>
        <v>-1656.5755555555556</v>
      </c>
      <c r="AF8" s="144">
        <f>AF7-AE7</f>
        <v>-1956.5755555555556</v>
      </c>
      <c r="AG8" s="144">
        <f t="shared" ref="AG8:AH8" si="61">AG7-AF7</f>
        <v>-1906.5755555555556</v>
      </c>
      <c r="AH8" s="144">
        <f t="shared" si="61"/>
        <v>923.98</v>
      </c>
      <c r="AI8" s="144">
        <f>AI7-AH7</f>
        <v>338.98</v>
      </c>
      <c r="AJ8" s="144">
        <f t="shared" ref="AJ8" si="62">AJ7-AI7</f>
        <v>608.98</v>
      </c>
      <c r="AK8" s="144">
        <f t="shared" ref="AK8" si="63">AK7-AJ7</f>
        <v>660.98</v>
      </c>
      <c r="AL8" s="144">
        <f t="shared" ref="AL8" si="64">AL7-AK7</f>
        <v>662.98</v>
      </c>
      <c r="AM8" s="144">
        <f t="shared" ref="AM8:AN8" si="65">AM7-AL7</f>
        <v>714.98</v>
      </c>
      <c r="AN8" s="144">
        <f t="shared" si="65"/>
        <v>716.98</v>
      </c>
      <c r="AO8" s="144">
        <f t="shared" ref="AO8" si="66">AO7-AN7</f>
        <v>768.98000000000047</v>
      </c>
      <c r="AP8" s="144">
        <f t="shared" ref="AP8" si="67">AP7-AO7</f>
        <v>770.97999999999956</v>
      </c>
      <c r="AQ8" s="144">
        <f t="shared" ref="AQ8" si="68">AQ7-AP7</f>
        <v>772.97999999999956</v>
      </c>
      <c r="AR8" s="144">
        <f t="shared" ref="AR8" si="69">AR7-AQ7</f>
        <v>774.97999999999956</v>
      </c>
      <c r="AS8" s="144">
        <f t="shared" ref="AS8" si="70">AS7-AR7</f>
        <v>776.97999999999956</v>
      </c>
      <c r="AT8" s="144">
        <f t="shared" ref="AT8" si="71">AT7-AS7</f>
        <v>778.97999999999956</v>
      </c>
      <c r="AU8" s="144">
        <f t="shared" ref="AU8" si="72">AU7-AT7</f>
        <v>780.97999999999956</v>
      </c>
      <c r="AV8" s="144">
        <f t="shared" ref="AV8" si="73">AV7-AU7</f>
        <v>782.97999999999956</v>
      </c>
      <c r="AW8" s="144">
        <f t="shared" ref="AW8" si="74">AW7-AV7</f>
        <v>784.97999999999956</v>
      </c>
      <c r="AX8" s="144">
        <f t="shared" ref="AX8" si="75">AX7-AW7</f>
        <v>786.97999999999956</v>
      </c>
      <c r="AY8" s="144">
        <f t="shared" ref="AY8" si="76">AY7-AX7</f>
        <v>788.97999999999956</v>
      </c>
      <c r="AZ8" s="144">
        <f t="shared" ref="AZ8" si="77">AZ7-AY7</f>
        <v>790.97999999999956</v>
      </c>
      <c r="BA8" s="144">
        <f t="shared" ref="BA8" si="78">BA7-AZ7</f>
        <v>792.97999999999956</v>
      </c>
      <c r="BB8" s="144">
        <f t="shared" ref="BB8" si="79">BB7-BA7</f>
        <v>794.97999999999956</v>
      </c>
      <c r="BC8" s="144">
        <f t="shared" ref="BC8" si="80">BC7-BB7</f>
        <v>796.97999999999956</v>
      </c>
      <c r="BD8" s="144">
        <f t="shared" ref="BD8" si="81">BD7-BC7</f>
        <v>798.98000000000138</v>
      </c>
      <c r="BE8" s="144">
        <f t="shared" ref="BE8" si="82">BE7-BD7</f>
        <v>800.97999999999956</v>
      </c>
      <c r="BF8" s="144">
        <f t="shared" ref="BF8" si="83">BF7-BE7</f>
        <v>802.97999999999956</v>
      </c>
      <c r="BG8" s="144">
        <f t="shared" ref="BG8" si="84">BG7-BF7</f>
        <v>804.97999999999956</v>
      </c>
      <c r="BH8" s="144">
        <f t="shared" ref="BH8" si="85">BH7-BG7</f>
        <v>806.97999999999956</v>
      </c>
      <c r="BI8" s="144">
        <f t="shared" ref="BI8" si="86">BI7-BH7</f>
        <v>808.97999999999956</v>
      </c>
      <c r="BJ8" s="144">
        <f t="shared" ref="BJ8" si="87">BJ7-BI7</f>
        <v>810.97999999999956</v>
      </c>
      <c r="BK8" s="144">
        <f t="shared" ref="BK8" si="88">BK7-BJ7</f>
        <v>812.97999999999956</v>
      </c>
      <c r="BL8" s="144">
        <f t="shared" ref="BL8" si="89">BL7-BK7</f>
        <v>814.97999999999956</v>
      </c>
      <c r="BM8" s="144">
        <f t="shared" ref="BM8" si="90">BM7-BL7</f>
        <v>816.97999999999956</v>
      </c>
      <c r="BN8" s="144">
        <f t="shared" ref="BN8" si="91">BN7-BM7</f>
        <v>818.97999999999956</v>
      </c>
      <c r="BO8" s="144">
        <f t="shared" ref="BO8" si="92">BO7-BN7</f>
        <v>820.97999999999956</v>
      </c>
      <c r="BP8" s="144">
        <f t="shared" ref="BP8" si="93">BP7-BO7</f>
        <v>822.97999999999956</v>
      </c>
      <c r="BQ8" s="144">
        <f t="shared" ref="BQ8" si="94">BQ7-BP7</f>
        <v>824.97999999999956</v>
      </c>
      <c r="BR8" s="144">
        <f t="shared" ref="BR8" si="95">BR7-BQ7</f>
        <v>826.97999999999956</v>
      </c>
      <c r="BS8" s="144">
        <f t="shared" ref="BS8" si="96">BS7-BR7</f>
        <v>828.97999999999956</v>
      </c>
      <c r="BT8" s="144">
        <f t="shared" ref="BT8" si="97">BT7-BS7</f>
        <v>830.97999999999956</v>
      </c>
      <c r="BU8" s="144">
        <f t="shared" ref="BU8" si="98">BU7-BT7</f>
        <v>832.97999999999956</v>
      </c>
      <c r="BV8" s="144">
        <f t="shared" ref="BV8" si="99">BV7-BU7</f>
        <v>834.97999999999956</v>
      </c>
      <c r="BW8" s="144">
        <f t="shared" ref="BW8" si="100">BW7-BV7</f>
        <v>836.97999999999956</v>
      </c>
    </row>
    <row r="9" spans="1:96" s="37" customFormat="1" x14ac:dyDescent="0.45">
      <c r="A9" s="91"/>
      <c r="B9" s="180" t="s">
        <v>95</v>
      </c>
      <c r="D9" s="37">
        <v>-270</v>
      </c>
      <c r="E9" s="37">
        <v>-270</v>
      </c>
      <c r="F9" s="37">
        <v>-270</v>
      </c>
      <c r="G9" s="37">
        <v>-270</v>
      </c>
      <c r="H9" s="37">
        <v>-270</v>
      </c>
      <c r="I9" s="37">
        <v>-270</v>
      </c>
      <c r="J9" s="37">
        <v>-270</v>
      </c>
      <c r="K9" s="37">
        <v>-270</v>
      </c>
      <c r="L9" s="37">
        <v>-270</v>
      </c>
      <c r="M9" s="37">
        <v>-270</v>
      </c>
      <c r="N9" s="37">
        <v>-270</v>
      </c>
      <c r="O9" s="37">
        <v>-270</v>
      </c>
      <c r="P9" s="37">
        <v>-270</v>
      </c>
      <c r="Q9" s="37">
        <v>-270</v>
      </c>
      <c r="R9" s="37">
        <v>-270</v>
      </c>
      <c r="S9" s="37">
        <v>-270</v>
      </c>
      <c r="T9" s="37">
        <v>-270</v>
      </c>
      <c r="U9" s="37">
        <v>-270</v>
      </c>
      <c r="V9" s="37">
        <v>-270</v>
      </c>
      <c r="W9" s="37">
        <v>-270</v>
      </c>
      <c r="X9" s="37">
        <v>-270</v>
      </c>
      <c r="Y9" s="37">
        <v>-270</v>
      </c>
      <c r="Z9" s="37">
        <v>-270</v>
      </c>
      <c r="AA9" s="37">
        <v>-270</v>
      </c>
      <c r="AB9" s="37">
        <v>-270</v>
      </c>
      <c r="AC9" s="37">
        <v>-270</v>
      </c>
      <c r="AD9" s="37">
        <v>-270</v>
      </c>
      <c r="AE9" s="37">
        <v>-270</v>
      </c>
      <c r="AF9" s="37">
        <v>-270</v>
      </c>
      <c r="AG9" s="37">
        <v>-270</v>
      </c>
      <c r="AH9" s="37">
        <v>-270</v>
      </c>
      <c r="AI9" s="37">
        <v>-270</v>
      </c>
      <c r="AJ9" s="37">
        <v>-270</v>
      </c>
      <c r="AK9" s="37">
        <v>-270</v>
      </c>
      <c r="AL9" s="37">
        <v>-270</v>
      </c>
      <c r="AM9" s="37">
        <v>-270</v>
      </c>
      <c r="AN9" s="37">
        <v>-270</v>
      </c>
      <c r="AO9" s="37">
        <v>-270</v>
      </c>
      <c r="AP9" s="37">
        <v>-270</v>
      </c>
      <c r="AQ9" s="37">
        <v>-270</v>
      </c>
      <c r="AR9" s="37">
        <v>-270</v>
      </c>
      <c r="AS9" s="37">
        <v>-270</v>
      </c>
      <c r="AT9" s="37">
        <v>-270</v>
      </c>
      <c r="AU9" s="37">
        <v>-270</v>
      </c>
      <c r="AV9" s="37">
        <v>-270</v>
      </c>
      <c r="AW9" s="37">
        <v>-270</v>
      </c>
      <c r="AX9" s="37">
        <v>-270</v>
      </c>
      <c r="AY9" s="37">
        <v>-270</v>
      </c>
      <c r="AZ9" s="37">
        <v>-270</v>
      </c>
      <c r="BA9" s="37">
        <v>-270</v>
      </c>
      <c r="BB9" s="37">
        <v>-270</v>
      </c>
      <c r="BC9" s="37">
        <v>-270</v>
      </c>
      <c r="BD9" s="37">
        <v>-270</v>
      </c>
      <c r="BE9" s="37">
        <v>-270</v>
      </c>
      <c r="BF9" s="37">
        <v>-270</v>
      </c>
      <c r="BG9" s="37">
        <v>-270</v>
      </c>
      <c r="BH9" s="37">
        <v>-270</v>
      </c>
      <c r="BI9" s="37">
        <v>-270</v>
      </c>
      <c r="BJ9" s="37">
        <v>-270</v>
      </c>
      <c r="BK9" s="37">
        <v>-270</v>
      </c>
      <c r="BL9" s="37">
        <v>-270</v>
      </c>
      <c r="BM9" s="37">
        <v>-270</v>
      </c>
      <c r="BN9" s="37">
        <v>-270</v>
      </c>
      <c r="BO9" s="37">
        <v>-270</v>
      </c>
      <c r="BP9" s="37">
        <v>-270</v>
      </c>
      <c r="BQ9" s="37">
        <v>-270</v>
      </c>
      <c r="BR9" s="37">
        <v>-270</v>
      </c>
      <c r="BS9" s="37">
        <v>-270</v>
      </c>
      <c r="BT9" s="37">
        <v>-270</v>
      </c>
      <c r="BU9" s="37">
        <v>-270</v>
      </c>
      <c r="BV9" s="37">
        <v>-270</v>
      </c>
      <c r="BW9" s="37">
        <v>-270</v>
      </c>
    </row>
    <row r="10" spans="1:96" s="52" customFormat="1" x14ac:dyDescent="0.45">
      <c r="A10" s="179"/>
      <c r="B10" s="184" t="s">
        <v>96</v>
      </c>
      <c r="D10" s="52">
        <v>-160</v>
      </c>
      <c r="E10" s="52">
        <v>-160</v>
      </c>
      <c r="F10" s="52">
        <v>-160</v>
      </c>
      <c r="G10" s="52">
        <v>-160</v>
      </c>
      <c r="H10" s="52">
        <v>-160</v>
      </c>
      <c r="I10" s="52">
        <v>-160</v>
      </c>
      <c r="J10" s="52">
        <v>-160</v>
      </c>
      <c r="K10" s="52">
        <v>-160</v>
      </c>
      <c r="L10" s="52">
        <v>-160</v>
      </c>
      <c r="M10" s="52">
        <v>-160</v>
      </c>
      <c r="N10" s="52">
        <v>-160</v>
      </c>
      <c r="O10" s="52">
        <v>-160</v>
      </c>
      <c r="P10" s="52">
        <v>-160</v>
      </c>
      <c r="Q10" s="52">
        <v>-160</v>
      </c>
      <c r="R10" s="52">
        <v>-160</v>
      </c>
      <c r="S10" s="52">
        <v>-160</v>
      </c>
      <c r="T10" s="52">
        <v>-160</v>
      </c>
      <c r="U10" s="52">
        <v>-160</v>
      </c>
      <c r="V10" s="52">
        <v>-160</v>
      </c>
      <c r="W10" s="52">
        <v>-160</v>
      </c>
      <c r="X10" s="52">
        <v>-160</v>
      </c>
      <c r="Y10" s="52">
        <v>-160</v>
      </c>
      <c r="Z10" s="52">
        <v>-160</v>
      </c>
      <c r="AA10" s="52">
        <v>-160</v>
      </c>
      <c r="AB10" s="52">
        <v>-160</v>
      </c>
      <c r="AC10" s="52">
        <v>-160</v>
      </c>
      <c r="AD10" s="52">
        <v>-160</v>
      </c>
      <c r="AE10" s="52">
        <v>-160</v>
      </c>
      <c r="AF10" s="52">
        <v>-160</v>
      </c>
      <c r="AG10" s="52">
        <v>-160</v>
      </c>
      <c r="AH10" s="52">
        <v>-160</v>
      </c>
      <c r="AI10" s="52">
        <v>-160</v>
      </c>
      <c r="AJ10" s="52">
        <v>-160</v>
      </c>
      <c r="AK10" s="52">
        <v>-160</v>
      </c>
      <c r="AL10" s="52">
        <v>-160</v>
      </c>
      <c r="AM10" s="52">
        <v>-160</v>
      </c>
      <c r="AN10" s="52">
        <v>-160</v>
      </c>
      <c r="AO10" s="52">
        <v>-160</v>
      </c>
      <c r="AP10" s="52">
        <v>-160</v>
      </c>
      <c r="AQ10" s="52">
        <v>-160</v>
      </c>
      <c r="AR10" s="52">
        <v>-160</v>
      </c>
      <c r="AS10" s="52">
        <v>-160</v>
      </c>
      <c r="AT10" s="52">
        <v>-160</v>
      </c>
      <c r="AU10" s="52">
        <v>-160</v>
      </c>
      <c r="AV10" s="52">
        <v>-160</v>
      </c>
      <c r="AW10" s="52">
        <v>-160</v>
      </c>
      <c r="AX10" s="52">
        <v>-160</v>
      </c>
      <c r="AY10" s="52">
        <v>-160</v>
      </c>
      <c r="AZ10" s="52">
        <v>-160</v>
      </c>
      <c r="BA10" s="52">
        <v>-160</v>
      </c>
      <c r="BB10" s="52">
        <v>-160</v>
      </c>
      <c r="BC10" s="52">
        <v>-160</v>
      </c>
      <c r="BD10" s="52">
        <v>-160</v>
      </c>
      <c r="BE10" s="52">
        <v>-160</v>
      </c>
      <c r="BF10" s="52">
        <v>-160</v>
      </c>
      <c r="BG10" s="52">
        <v>-160</v>
      </c>
      <c r="BH10" s="52">
        <v>-160</v>
      </c>
      <c r="BI10" s="52">
        <v>-160</v>
      </c>
      <c r="BJ10" s="52">
        <v>-160</v>
      </c>
      <c r="BK10" s="52">
        <v>-160</v>
      </c>
      <c r="BL10" s="52">
        <v>-160</v>
      </c>
      <c r="BM10" s="52">
        <v>-160</v>
      </c>
      <c r="BN10" s="52">
        <v>-160</v>
      </c>
      <c r="BO10" s="52">
        <v>-160</v>
      </c>
      <c r="BP10" s="52">
        <v>-160</v>
      </c>
      <c r="BQ10" s="52">
        <v>-160</v>
      </c>
      <c r="BR10" s="52">
        <v>-160</v>
      </c>
      <c r="BS10" s="52">
        <v>-160</v>
      </c>
      <c r="BT10" s="52">
        <v>-160</v>
      </c>
      <c r="BU10" s="52">
        <v>-160</v>
      </c>
      <c r="BV10" s="52">
        <v>-160</v>
      </c>
      <c r="BW10" s="52">
        <v>-160</v>
      </c>
    </row>
    <row r="11" spans="1:96" ht="18" x14ac:dyDescent="0.55000000000000004">
      <c r="A11" s="192" t="s">
        <v>170</v>
      </c>
      <c r="B11" s="176"/>
      <c r="D11" s="24">
        <f t="shared" ref="D11:BO11" si="101">$A$53</f>
        <v>1100</v>
      </c>
      <c r="E11" s="24">
        <f t="shared" si="101"/>
        <v>1100</v>
      </c>
      <c r="F11" s="24">
        <f t="shared" si="101"/>
        <v>1100</v>
      </c>
      <c r="G11" s="24">
        <f t="shared" si="101"/>
        <v>1100</v>
      </c>
      <c r="H11" s="24">
        <f t="shared" si="101"/>
        <v>1100</v>
      </c>
      <c r="I11" s="24">
        <f t="shared" si="101"/>
        <v>1100</v>
      </c>
      <c r="J11" s="24">
        <f t="shared" si="101"/>
        <v>1100</v>
      </c>
      <c r="K11" s="24">
        <f t="shared" si="101"/>
        <v>1100</v>
      </c>
      <c r="L11" s="24">
        <f t="shared" si="101"/>
        <v>1100</v>
      </c>
      <c r="M11" s="24">
        <f t="shared" si="101"/>
        <v>1100</v>
      </c>
      <c r="N11" s="24">
        <f t="shared" si="101"/>
        <v>1100</v>
      </c>
      <c r="O11" s="24">
        <f t="shared" si="101"/>
        <v>1100</v>
      </c>
      <c r="P11" s="24">
        <f t="shared" si="101"/>
        <v>1100</v>
      </c>
      <c r="Q11" s="24">
        <f t="shared" si="101"/>
        <v>1100</v>
      </c>
      <c r="R11" s="24">
        <f t="shared" si="101"/>
        <v>1100</v>
      </c>
      <c r="S11" s="24">
        <f t="shared" si="101"/>
        <v>1100</v>
      </c>
      <c r="T11" s="24">
        <f t="shared" si="101"/>
        <v>1100</v>
      </c>
      <c r="U11" s="24">
        <f t="shared" si="101"/>
        <v>1100</v>
      </c>
      <c r="V11" s="24">
        <f t="shared" si="101"/>
        <v>1100</v>
      </c>
      <c r="W11" s="24">
        <f t="shared" si="101"/>
        <v>1100</v>
      </c>
      <c r="X11" s="24">
        <f t="shared" si="101"/>
        <v>1100</v>
      </c>
      <c r="Y11" s="24">
        <f t="shared" si="101"/>
        <v>1100</v>
      </c>
      <c r="Z11" s="24">
        <f t="shared" si="101"/>
        <v>1100</v>
      </c>
      <c r="AA11" s="24">
        <f t="shared" si="101"/>
        <v>1100</v>
      </c>
      <c r="AB11" s="24">
        <f t="shared" si="101"/>
        <v>1100</v>
      </c>
      <c r="AC11" s="24">
        <f t="shared" si="101"/>
        <v>1100</v>
      </c>
      <c r="AD11" s="24">
        <f t="shared" si="101"/>
        <v>1100</v>
      </c>
      <c r="AE11" s="24">
        <f t="shared" si="101"/>
        <v>1100</v>
      </c>
      <c r="AF11" s="24">
        <f t="shared" si="101"/>
        <v>1100</v>
      </c>
      <c r="AG11" s="24">
        <f t="shared" si="101"/>
        <v>1100</v>
      </c>
      <c r="AH11" s="24">
        <f t="shared" si="101"/>
        <v>1100</v>
      </c>
      <c r="AI11" s="24">
        <f t="shared" si="101"/>
        <v>1100</v>
      </c>
      <c r="AJ11" s="24">
        <f t="shared" si="101"/>
        <v>1100</v>
      </c>
      <c r="AK11" s="24">
        <f t="shared" si="101"/>
        <v>1100</v>
      </c>
      <c r="AL11" s="24">
        <f t="shared" si="101"/>
        <v>1100</v>
      </c>
      <c r="AM11" s="24">
        <f t="shared" si="101"/>
        <v>1100</v>
      </c>
      <c r="AN11" s="24">
        <f t="shared" si="101"/>
        <v>1100</v>
      </c>
      <c r="AO11" s="24">
        <f t="shared" si="101"/>
        <v>1100</v>
      </c>
      <c r="AP11" s="24">
        <f t="shared" si="101"/>
        <v>1100</v>
      </c>
      <c r="AQ11" s="24">
        <f t="shared" si="101"/>
        <v>1100</v>
      </c>
      <c r="AR11" s="24">
        <f t="shared" si="101"/>
        <v>1100</v>
      </c>
      <c r="AS11" s="24">
        <f t="shared" si="101"/>
        <v>1100</v>
      </c>
      <c r="AT11" s="24">
        <f t="shared" si="101"/>
        <v>1100</v>
      </c>
      <c r="AU11" s="24">
        <f t="shared" si="101"/>
        <v>1100</v>
      </c>
      <c r="AV11" s="24">
        <f t="shared" si="101"/>
        <v>1100</v>
      </c>
      <c r="AW11" s="24">
        <f t="shared" si="101"/>
        <v>1100</v>
      </c>
      <c r="AX11" s="24">
        <f t="shared" si="101"/>
        <v>1100</v>
      </c>
      <c r="AY11" s="24">
        <f t="shared" si="101"/>
        <v>1100</v>
      </c>
      <c r="AZ11" s="24">
        <f t="shared" si="101"/>
        <v>1100</v>
      </c>
      <c r="BA11" s="24">
        <f t="shared" si="101"/>
        <v>1100</v>
      </c>
      <c r="BB11" s="24">
        <f t="shared" si="101"/>
        <v>1100</v>
      </c>
      <c r="BC11" s="24">
        <f t="shared" si="101"/>
        <v>1100</v>
      </c>
      <c r="BD11" s="24">
        <f t="shared" si="101"/>
        <v>1100</v>
      </c>
      <c r="BE11" s="24">
        <f t="shared" si="101"/>
        <v>1100</v>
      </c>
      <c r="BF11" s="24">
        <f t="shared" si="101"/>
        <v>1100</v>
      </c>
      <c r="BG11" s="24">
        <f t="shared" si="101"/>
        <v>1100</v>
      </c>
      <c r="BH11" s="24">
        <f t="shared" si="101"/>
        <v>1100</v>
      </c>
      <c r="BI11" s="24">
        <f t="shared" si="101"/>
        <v>1100</v>
      </c>
      <c r="BJ11" s="24">
        <f t="shared" si="101"/>
        <v>1100</v>
      </c>
      <c r="BK11" s="24">
        <f t="shared" si="101"/>
        <v>1100</v>
      </c>
      <c r="BL11" s="24">
        <f t="shared" si="101"/>
        <v>1100</v>
      </c>
      <c r="BM11" s="24">
        <f t="shared" si="101"/>
        <v>1100</v>
      </c>
      <c r="BN11" s="24">
        <f t="shared" si="101"/>
        <v>1100</v>
      </c>
      <c r="BO11" s="24">
        <f t="shared" si="101"/>
        <v>1100</v>
      </c>
      <c r="BP11" s="24">
        <f t="shared" ref="BP11:BW11" si="102">$A$53</f>
        <v>1100</v>
      </c>
      <c r="BQ11" s="24">
        <f t="shared" si="102"/>
        <v>1100</v>
      </c>
      <c r="BR11" s="24">
        <f t="shared" si="102"/>
        <v>1100</v>
      </c>
      <c r="BS11" s="24">
        <f t="shared" si="102"/>
        <v>1100</v>
      </c>
      <c r="BT11" s="24">
        <f t="shared" si="102"/>
        <v>1100</v>
      </c>
      <c r="BU11" s="24">
        <f t="shared" si="102"/>
        <v>1100</v>
      </c>
      <c r="BV11" s="24">
        <f t="shared" si="102"/>
        <v>1100</v>
      </c>
      <c r="BW11" s="24">
        <f t="shared" si="102"/>
        <v>1100</v>
      </c>
    </row>
    <row r="12" spans="1:96" ht="18" x14ac:dyDescent="0.55000000000000004">
      <c r="A12" s="192" t="s">
        <v>185</v>
      </c>
      <c r="B12" s="176" t="s">
        <v>189</v>
      </c>
      <c r="D12" s="24">
        <f t="shared" ref="D12:BO12" si="103">-$A$60</f>
        <v>-100</v>
      </c>
      <c r="E12" s="24">
        <f t="shared" si="103"/>
        <v>-100</v>
      </c>
      <c r="F12" s="24">
        <f t="shared" si="103"/>
        <v>-100</v>
      </c>
      <c r="G12" s="24">
        <f t="shared" si="103"/>
        <v>-100</v>
      </c>
      <c r="H12" s="24">
        <f t="shared" si="103"/>
        <v>-100</v>
      </c>
      <c r="I12" s="24">
        <f t="shared" si="103"/>
        <v>-100</v>
      </c>
      <c r="J12" s="24">
        <f t="shared" si="103"/>
        <v>-100</v>
      </c>
      <c r="K12" s="24">
        <f t="shared" si="103"/>
        <v>-100</v>
      </c>
      <c r="L12" s="24">
        <f t="shared" si="103"/>
        <v>-100</v>
      </c>
      <c r="M12" s="24">
        <f t="shared" si="103"/>
        <v>-100</v>
      </c>
      <c r="N12" s="24">
        <f t="shared" si="103"/>
        <v>-100</v>
      </c>
      <c r="O12" s="24">
        <f t="shared" si="103"/>
        <v>-100</v>
      </c>
      <c r="P12" s="24">
        <f t="shared" si="103"/>
        <v>-100</v>
      </c>
      <c r="Q12" s="24">
        <f t="shared" si="103"/>
        <v>-100</v>
      </c>
      <c r="R12" s="24">
        <f t="shared" si="103"/>
        <v>-100</v>
      </c>
      <c r="S12" s="24">
        <f t="shared" si="103"/>
        <v>-100</v>
      </c>
      <c r="T12" s="24">
        <f t="shared" si="103"/>
        <v>-100</v>
      </c>
      <c r="U12" s="24">
        <f t="shared" si="103"/>
        <v>-100</v>
      </c>
      <c r="V12" s="24">
        <f t="shared" si="103"/>
        <v>-100</v>
      </c>
      <c r="W12" s="24">
        <f t="shared" si="103"/>
        <v>-100</v>
      </c>
      <c r="X12" s="24">
        <f t="shared" si="103"/>
        <v>-100</v>
      </c>
      <c r="Y12" s="24">
        <f t="shared" si="103"/>
        <v>-100</v>
      </c>
      <c r="Z12" s="24">
        <f t="shared" si="103"/>
        <v>-100</v>
      </c>
      <c r="AA12" s="24">
        <f t="shared" si="103"/>
        <v>-100</v>
      </c>
      <c r="AB12" s="24">
        <f t="shared" si="103"/>
        <v>-100</v>
      </c>
      <c r="AC12" s="24">
        <f t="shared" si="103"/>
        <v>-100</v>
      </c>
      <c r="AD12" s="24">
        <f t="shared" si="103"/>
        <v>-100</v>
      </c>
      <c r="AE12" s="24">
        <f t="shared" si="103"/>
        <v>-100</v>
      </c>
      <c r="AF12" s="24">
        <f t="shared" si="103"/>
        <v>-100</v>
      </c>
      <c r="AG12" s="24">
        <f t="shared" si="103"/>
        <v>-100</v>
      </c>
      <c r="AH12" s="24">
        <f t="shared" si="103"/>
        <v>-100</v>
      </c>
      <c r="AI12" s="24">
        <f t="shared" si="103"/>
        <v>-100</v>
      </c>
      <c r="AJ12" s="24">
        <f t="shared" si="103"/>
        <v>-100</v>
      </c>
      <c r="AK12" s="24">
        <f t="shared" si="103"/>
        <v>-100</v>
      </c>
      <c r="AL12" s="24">
        <f t="shared" si="103"/>
        <v>-100</v>
      </c>
      <c r="AM12" s="24">
        <f t="shared" si="103"/>
        <v>-100</v>
      </c>
      <c r="AN12" s="24">
        <f t="shared" si="103"/>
        <v>-100</v>
      </c>
      <c r="AO12" s="24">
        <f t="shared" si="103"/>
        <v>-100</v>
      </c>
      <c r="AP12" s="24">
        <f t="shared" si="103"/>
        <v>-100</v>
      </c>
      <c r="AQ12" s="24">
        <f t="shared" si="103"/>
        <v>-100</v>
      </c>
      <c r="AR12" s="24">
        <f t="shared" si="103"/>
        <v>-100</v>
      </c>
      <c r="AS12" s="24">
        <f t="shared" si="103"/>
        <v>-100</v>
      </c>
      <c r="AT12" s="24">
        <f t="shared" si="103"/>
        <v>-100</v>
      </c>
      <c r="AU12" s="24">
        <f t="shared" si="103"/>
        <v>-100</v>
      </c>
      <c r="AV12" s="24">
        <f t="shared" si="103"/>
        <v>-100</v>
      </c>
      <c r="AW12" s="24">
        <f t="shared" si="103"/>
        <v>-100</v>
      </c>
      <c r="AX12" s="24">
        <f t="shared" si="103"/>
        <v>-100</v>
      </c>
      <c r="AY12" s="24">
        <f t="shared" si="103"/>
        <v>-100</v>
      </c>
      <c r="AZ12" s="24">
        <f t="shared" si="103"/>
        <v>-100</v>
      </c>
      <c r="BA12" s="24">
        <f t="shared" si="103"/>
        <v>-100</v>
      </c>
      <c r="BB12" s="24">
        <f t="shared" si="103"/>
        <v>-100</v>
      </c>
      <c r="BC12" s="24">
        <f t="shared" si="103"/>
        <v>-100</v>
      </c>
      <c r="BD12" s="24">
        <f t="shared" si="103"/>
        <v>-100</v>
      </c>
      <c r="BE12" s="24">
        <f t="shared" si="103"/>
        <v>-100</v>
      </c>
      <c r="BF12" s="24">
        <f t="shared" si="103"/>
        <v>-100</v>
      </c>
      <c r="BG12" s="24">
        <f t="shared" si="103"/>
        <v>-100</v>
      </c>
      <c r="BH12" s="24">
        <f t="shared" si="103"/>
        <v>-100</v>
      </c>
      <c r="BI12" s="24">
        <f t="shared" si="103"/>
        <v>-100</v>
      </c>
      <c r="BJ12" s="24">
        <f t="shared" si="103"/>
        <v>-100</v>
      </c>
      <c r="BK12" s="24">
        <f t="shared" si="103"/>
        <v>-100</v>
      </c>
      <c r="BL12" s="24">
        <f t="shared" si="103"/>
        <v>-100</v>
      </c>
      <c r="BM12" s="24">
        <f t="shared" si="103"/>
        <v>-100</v>
      </c>
      <c r="BN12" s="24">
        <f t="shared" si="103"/>
        <v>-100</v>
      </c>
      <c r="BO12" s="24">
        <f t="shared" si="103"/>
        <v>-100</v>
      </c>
      <c r="BP12" s="24">
        <f t="shared" ref="BP12:BW12" si="104">-$A$60</f>
        <v>-100</v>
      </c>
      <c r="BQ12" s="24">
        <f t="shared" si="104"/>
        <v>-100</v>
      </c>
      <c r="BR12" s="24">
        <f t="shared" si="104"/>
        <v>-100</v>
      </c>
      <c r="BS12" s="24">
        <f t="shared" si="104"/>
        <v>-100</v>
      </c>
      <c r="BT12" s="24">
        <f t="shared" si="104"/>
        <v>-100</v>
      </c>
      <c r="BU12" s="24">
        <f t="shared" si="104"/>
        <v>-100</v>
      </c>
      <c r="BV12" s="24">
        <f t="shared" si="104"/>
        <v>-100</v>
      </c>
      <c r="BW12" s="24">
        <f t="shared" si="104"/>
        <v>-100</v>
      </c>
    </row>
    <row r="13" spans="1:96" ht="18" x14ac:dyDescent="0.55000000000000004">
      <c r="A13" s="192" t="s">
        <v>147</v>
      </c>
      <c r="B13" s="176" t="s">
        <v>165</v>
      </c>
    </row>
    <row r="14" spans="1:96" ht="18" x14ac:dyDescent="0.55000000000000004">
      <c r="A14" s="192" t="s">
        <v>146</v>
      </c>
      <c r="B14" s="176" t="s">
        <v>139</v>
      </c>
      <c r="S14" s="24">
        <f t="shared" ref="S14:BW14" si="105">$A$53*$A$55</f>
        <v>660</v>
      </c>
      <c r="T14" s="24">
        <f t="shared" si="105"/>
        <v>660</v>
      </c>
      <c r="U14" s="24">
        <f t="shared" si="105"/>
        <v>660</v>
      </c>
      <c r="V14" s="24">
        <f t="shared" si="105"/>
        <v>660</v>
      </c>
      <c r="W14" s="24">
        <f t="shared" si="105"/>
        <v>660</v>
      </c>
      <c r="X14" s="24">
        <f t="shared" si="105"/>
        <v>660</v>
      </c>
      <c r="Y14" s="24">
        <f t="shared" si="105"/>
        <v>660</v>
      </c>
      <c r="Z14" s="24">
        <f t="shared" si="105"/>
        <v>660</v>
      </c>
      <c r="AA14" s="24">
        <f t="shared" si="105"/>
        <v>660</v>
      </c>
      <c r="AB14" s="24">
        <f t="shared" si="105"/>
        <v>660</v>
      </c>
      <c r="AC14" s="24">
        <f t="shared" si="105"/>
        <v>660</v>
      </c>
      <c r="AD14" s="24">
        <f t="shared" si="105"/>
        <v>660</v>
      </c>
      <c r="AE14" s="24">
        <f t="shared" si="105"/>
        <v>660</v>
      </c>
      <c r="AF14" s="24">
        <f t="shared" si="105"/>
        <v>660</v>
      </c>
      <c r="AG14" s="24">
        <f t="shared" si="105"/>
        <v>660</v>
      </c>
      <c r="AH14" s="24">
        <f t="shared" si="105"/>
        <v>660</v>
      </c>
      <c r="AI14" s="24">
        <f t="shared" si="105"/>
        <v>660</v>
      </c>
      <c r="AJ14" s="24">
        <f t="shared" si="105"/>
        <v>660</v>
      </c>
      <c r="AK14" s="24">
        <f t="shared" si="105"/>
        <v>660</v>
      </c>
      <c r="AL14" s="24">
        <f t="shared" si="105"/>
        <v>660</v>
      </c>
      <c r="AM14" s="24">
        <f t="shared" si="105"/>
        <v>660</v>
      </c>
      <c r="AN14" s="24">
        <f t="shared" si="105"/>
        <v>660</v>
      </c>
      <c r="AO14" s="24">
        <f t="shared" si="105"/>
        <v>660</v>
      </c>
      <c r="AP14" s="24">
        <f t="shared" si="105"/>
        <v>660</v>
      </c>
      <c r="AQ14" s="24">
        <f t="shared" si="105"/>
        <v>660</v>
      </c>
      <c r="AR14" s="24">
        <f t="shared" si="105"/>
        <v>660</v>
      </c>
      <c r="AS14" s="24">
        <f t="shared" si="105"/>
        <v>660</v>
      </c>
      <c r="AT14" s="24">
        <f t="shared" si="105"/>
        <v>660</v>
      </c>
      <c r="AU14" s="24">
        <f t="shared" si="105"/>
        <v>660</v>
      </c>
      <c r="AV14" s="24">
        <f t="shared" si="105"/>
        <v>660</v>
      </c>
      <c r="AW14" s="24">
        <f t="shared" si="105"/>
        <v>660</v>
      </c>
      <c r="AX14" s="24">
        <f t="shared" si="105"/>
        <v>660</v>
      </c>
      <c r="AY14" s="24">
        <f t="shared" si="105"/>
        <v>660</v>
      </c>
      <c r="AZ14" s="24">
        <f t="shared" si="105"/>
        <v>660</v>
      </c>
      <c r="BA14" s="24">
        <f t="shared" si="105"/>
        <v>660</v>
      </c>
      <c r="BB14" s="24">
        <f t="shared" si="105"/>
        <v>660</v>
      </c>
      <c r="BC14" s="24">
        <f t="shared" si="105"/>
        <v>660</v>
      </c>
      <c r="BD14" s="24">
        <f t="shared" si="105"/>
        <v>660</v>
      </c>
      <c r="BE14" s="24">
        <f t="shared" si="105"/>
        <v>660</v>
      </c>
      <c r="BF14" s="24">
        <f t="shared" si="105"/>
        <v>660</v>
      </c>
      <c r="BG14" s="24">
        <f t="shared" si="105"/>
        <v>660</v>
      </c>
      <c r="BH14" s="24">
        <f t="shared" si="105"/>
        <v>660</v>
      </c>
      <c r="BI14" s="24">
        <f t="shared" si="105"/>
        <v>660</v>
      </c>
      <c r="BJ14" s="24">
        <f t="shared" si="105"/>
        <v>660</v>
      </c>
      <c r="BK14" s="24">
        <f t="shared" si="105"/>
        <v>660</v>
      </c>
      <c r="BL14" s="24">
        <f t="shared" si="105"/>
        <v>660</v>
      </c>
      <c r="BM14" s="24">
        <f t="shared" si="105"/>
        <v>660</v>
      </c>
      <c r="BN14" s="24">
        <f t="shared" si="105"/>
        <v>660</v>
      </c>
      <c r="BO14" s="24">
        <f t="shared" si="105"/>
        <v>660</v>
      </c>
      <c r="BP14" s="24">
        <f t="shared" si="105"/>
        <v>660</v>
      </c>
      <c r="BQ14" s="24">
        <f t="shared" si="105"/>
        <v>660</v>
      </c>
      <c r="BR14" s="24">
        <f t="shared" si="105"/>
        <v>660</v>
      </c>
      <c r="BS14" s="24">
        <f t="shared" si="105"/>
        <v>660</v>
      </c>
      <c r="BT14" s="24">
        <f t="shared" si="105"/>
        <v>660</v>
      </c>
      <c r="BU14" s="24">
        <f t="shared" si="105"/>
        <v>660</v>
      </c>
      <c r="BV14" s="24">
        <f t="shared" si="105"/>
        <v>660</v>
      </c>
      <c r="BW14" s="24">
        <f t="shared" si="105"/>
        <v>660</v>
      </c>
    </row>
    <row r="15" spans="1:96" x14ac:dyDescent="0.45">
      <c r="A15" s="193"/>
      <c r="B15" s="176" t="s">
        <v>137</v>
      </c>
      <c r="S15" s="24">
        <f t="shared" ref="S15:AD15" si="106">-$A$54</f>
        <v>-270</v>
      </c>
      <c r="T15" s="24">
        <f t="shared" si="106"/>
        <v>-270</v>
      </c>
      <c r="U15" s="24">
        <f t="shared" si="106"/>
        <v>-270</v>
      </c>
      <c r="V15" s="24">
        <f t="shared" si="106"/>
        <v>-270</v>
      </c>
      <c r="W15" s="24">
        <f t="shared" si="106"/>
        <v>-270</v>
      </c>
      <c r="X15" s="24">
        <f t="shared" si="106"/>
        <v>-270</v>
      </c>
      <c r="Y15" s="24">
        <f t="shared" si="106"/>
        <v>-270</v>
      </c>
      <c r="Z15" s="24">
        <f t="shared" si="106"/>
        <v>-270</v>
      </c>
      <c r="AA15" s="24">
        <f t="shared" si="106"/>
        <v>-270</v>
      </c>
      <c r="AB15" s="24">
        <f t="shared" si="106"/>
        <v>-270</v>
      </c>
      <c r="AC15" s="24">
        <f t="shared" si="106"/>
        <v>-270</v>
      </c>
      <c r="AD15" s="24">
        <f t="shared" si="106"/>
        <v>-270</v>
      </c>
      <c r="AE15" s="24">
        <v>-400</v>
      </c>
      <c r="AF15" s="24">
        <v>-400</v>
      </c>
      <c r="AG15" s="24">
        <v>-400</v>
      </c>
      <c r="AH15" s="24">
        <v>-440</v>
      </c>
      <c r="AI15" s="24">
        <v>-480</v>
      </c>
      <c r="AJ15" s="24">
        <v>-520</v>
      </c>
      <c r="AK15" s="24">
        <v>-520</v>
      </c>
      <c r="AL15" s="24">
        <v>-520</v>
      </c>
      <c r="AM15" s="24">
        <v>-520</v>
      </c>
      <c r="AN15" s="24">
        <v>-520</v>
      </c>
      <c r="AO15" s="24">
        <v>-520</v>
      </c>
      <c r="AP15" s="24">
        <v>-520</v>
      </c>
      <c r="AQ15" s="24">
        <v>-520</v>
      </c>
      <c r="AR15" s="24">
        <v>-520</v>
      </c>
      <c r="AS15" s="24">
        <v>-520</v>
      </c>
      <c r="AT15" s="24">
        <v>-520</v>
      </c>
      <c r="AU15" s="24">
        <v>-520</v>
      </c>
      <c r="AV15" s="24">
        <v>-520</v>
      </c>
      <c r="AW15" s="24">
        <v>-520</v>
      </c>
      <c r="AX15" s="24">
        <v>-520</v>
      </c>
      <c r="AY15" s="24">
        <v>-520</v>
      </c>
      <c r="AZ15" s="24">
        <v>-520</v>
      </c>
      <c r="BA15" s="24">
        <v>-520</v>
      </c>
      <c r="BB15" s="24">
        <v>-520</v>
      </c>
      <c r="BC15" s="24">
        <v>-520</v>
      </c>
      <c r="BD15" s="24">
        <v>-520</v>
      </c>
      <c r="BE15" s="24">
        <v>-520</v>
      </c>
      <c r="BF15" s="24">
        <v>-520</v>
      </c>
      <c r="BG15" s="24">
        <v>-520</v>
      </c>
      <c r="BH15" s="24">
        <v>-520</v>
      </c>
      <c r="BI15" s="24">
        <v>-520</v>
      </c>
      <c r="BJ15" s="24">
        <v>-520</v>
      </c>
      <c r="BK15" s="24">
        <v>-520</v>
      </c>
      <c r="BL15" s="24">
        <v>-520</v>
      </c>
      <c r="BM15" s="24">
        <v>-520</v>
      </c>
      <c r="BN15" s="24">
        <v>-520</v>
      </c>
      <c r="BO15" s="24">
        <v>-520</v>
      </c>
      <c r="BP15" s="24">
        <v>-520</v>
      </c>
      <c r="BQ15" s="24">
        <v>-520</v>
      </c>
      <c r="BR15" s="24">
        <v>-520</v>
      </c>
      <c r="BS15" s="24">
        <v>-520</v>
      </c>
      <c r="BT15" s="24">
        <v>-520</v>
      </c>
      <c r="BU15" s="24">
        <v>-520</v>
      </c>
      <c r="BV15" s="24">
        <v>-520</v>
      </c>
      <c r="BW15" s="24">
        <v>-520</v>
      </c>
    </row>
    <row r="16" spans="1:96" s="145" customFormat="1" x14ac:dyDescent="0.45">
      <c r="A16" s="194"/>
      <c r="B16" s="177" t="s">
        <v>143</v>
      </c>
      <c r="D16" s="170">
        <v>-900</v>
      </c>
      <c r="AN16" s="37" t="s">
        <v>399</v>
      </c>
    </row>
    <row r="17" spans="1:75" s="37" customFormat="1" ht="18" x14ac:dyDescent="0.55000000000000004">
      <c r="A17" s="192" t="s">
        <v>171</v>
      </c>
      <c r="B17" s="176"/>
      <c r="G17" s="37">
        <f t="shared" ref="G17:BR17" si="107">$A$53*$A$55</f>
        <v>660</v>
      </c>
      <c r="H17" s="37">
        <f t="shared" si="107"/>
        <v>660</v>
      </c>
      <c r="I17" s="37">
        <f t="shared" si="107"/>
        <v>660</v>
      </c>
      <c r="J17" s="37">
        <f t="shared" si="107"/>
        <v>660</v>
      </c>
      <c r="K17" s="37">
        <f t="shared" si="107"/>
        <v>660</v>
      </c>
      <c r="L17" s="37">
        <f t="shared" si="107"/>
        <v>660</v>
      </c>
      <c r="M17" s="37">
        <f t="shared" si="107"/>
        <v>660</v>
      </c>
      <c r="N17" s="37">
        <f t="shared" si="107"/>
        <v>660</v>
      </c>
      <c r="O17" s="37">
        <f t="shared" si="107"/>
        <v>660</v>
      </c>
      <c r="P17" s="37">
        <f t="shared" si="107"/>
        <v>660</v>
      </c>
      <c r="Q17" s="37">
        <f t="shared" si="107"/>
        <v>660</v>
      </c>
      <c r="R17" s="37">
        <f t="shared" si="107"/>
        <v>660</v>
      </c>
      <c r="S17" s="37">
        <f t="shared" si="107"/>
        <v>660</v>
      </c>
      <c r="T17" s="37">
        <f t="shared" si="107"/>
        <v>660</v>
      </c>
      <c r="U17" s="37">
        <f t="shared" si="107"/>
        <v>660</v>
      </c>
      <c r="V17" s="37">
        <f t="shared" si="107"/>
        <v>660</v>
      </c>
      <c r="W17" s="37">
        <f t="shared" si="107"/>
        <v>660</v>
      </c>
      <c r="X17" s="37">
        <f t="shared" si="107"/>
        <v>660</v>
      </c>
      <c r="Y17" s="37">
        <f t="shared" si="107"/>
        <v>660</v>
      </c>
      <c r="Z17" s="37">
        <f t="shared" si="107"/>
        <v>660</v>
      </c>
      <c r="AA17" s="37">
        <f t="shared" si="107"/>
        <v>660</v>
      </c>
      <c r="AB17" s="37">
        <f t="shared" si="107"/>
        <v>660</v>
      </c>
      <c r="AC17" s="37">
        <f t="shared" si="107"/>
        <v>660</v>
      </c>
      <c r="AD17" s="37">
        <f t="shared" si="107"/>
        <v>660</v>
      </c>
      <c r="AE17" s="37">
        <f t="shared" si="107"/>
        <v>660</v>
      </c>
      <c r="AF17" s="37">
        <f t="shared" si="107"/>
        <v>660</v>
      </c>
      <c r="AG17" s="37">
        <f t="shared" si="107"/>
        <v>660</v>
      </c>
      <c r="AH17" s="37">
        <f t="shared" si="107"/>
        <v>660</v>
      </c>
      <c r="AI17" s="37">
        <f t="shared" si="107"/>
        <v>660</v>
      </c>
      <c r="AJ17" s="37">
        <f t="shared" si="107"/>
        <v>660</v>
      </c>
      <c r="AK17" s="37">
        <f t="shared" si="107"/>
        <v>660</v>
      </c>
      <c r="AL17" s="37">
        <f t="shared" si="107"/>
        <v>660</v>
      </c>
      <c r="AM17" s="37">
        <f t="shared" si="107"/>
        <v>660</v>
      </c>
      <c r="AN17" s="37">
        <f t="shared" si="107"/>
        <v>660</v>
      </c>
      <c r="AO17" s="37">
        <f t="shared" si="107"/>
        <v>660</v>
      </c>
      <c r="AP17" s="37">
        <f t="shared" si="107"/>
        <v>660</v>
      </c>
      <c r="AQ17" s="37">
        <f t="shared" si="107"/>
        <v>660</v>
      </c>
      <c r="AR17" s="37">
        <f t="shared" si="107"/>
        <v>660</v>
      </c>
      <c r="AS17" s="37">
        <f t="shared" si="107"/>
        <v>660</v>
      </c>
      <c r="AT17" s="37">
        <f t="shared" si="107"/>
        <v>660</v>
      </c>
      <c r="AU17" s="37">
        <f t="shared" si="107"/>
        <v>660</v>
      </c>
      <c r="AV17" s="37">
        <f t="shared" si="107"/>
        <v>660</v>
      </c>
      <c r="AW17" s="37">
        <f t="shared" si="107"/>
        <v>660</v>
      </c>
      <c r="AX17" s="37">
        <f t="shared" si="107"/>
        <v>660</v>
      </c>
      <c r="AY17" s="37">
        <f t="shared" si="107"/>
        <v>660</v>
      </c>
      <c r="AZ17" s="37">
        <f t="shared" si="107"/>
        <v>660</v>
      </c>
      <c r="BA17" s="37">
        <f t="shared" si="107"/>
        <v>660</v>
      </c>
      <c r="BB17" s="37">
        <f t="shared" si="107"/>
        <v>660</v>
      </c>
      <c r="BC17" s="37">
        <f t="shared" si="107"/>
        <v>660</v>
      </c>
      <c r="BD17" s="37">
        <f t="shared" si="107"/>
        <v>660</v>
      </c>
      <c r="BE17" s="37">
        <f t="shared" si="107"/>
        <v>660</v>
      </c>
      <c r="BF17" s="37">
        <f t="shared" si="107"/>
        <v>660</v>
      </c>
      <c r="BG17" s="37">
        <f t="shared" si="107"/>
        <v>660</v>
      </c>
      <c r="BH17" s="37">
        <f t="shared" si="107"/>
        <v>660</v>
      </c>
      <c r="BI17" s="37">
        <f t="shared" si="107"/>
        <v>660</v>
      </c>
      <c r="BJ17" s="37">
        <f t="shared" si="107"/>
        <v>660</v>
      </c>
      <c r="BK17" s="37">
        <f t="shared" si="107"/>
        <v>660</v>
      </c>
      <c r="BL17" s="37">
        <f t="shared" si="107"/>
        <v>660</v>
      </c>
      <c r="BM17" s="37">
        <f t="shared" si="107"/>
        <v>660</v>
      </c>
      <c r="BN17" s="37">
        <f t="shared" si="107"/>
        <v>660</v>
      </c>
      <c r="BO17" s="37">
        <f t="shared" si="107"/>
        <v>660</v>
      </c>
      <c r="BP17" s="37">
        <f t="shared" si="107"/>
        <v>660</v>
      </c>
      <c r="BQ17" s="37">
        <f t="shared" si="107"/>
        <v>660</v>
      </c>
      <c r="BR17" s="37">
        <f t="shared" si="107"/>
        <v>660</v>
      </c>
      <c r="BS17" s="37">
        <f t="shared" ref="BS17:BW17" si="108">$A$53*$A$55</f>
        <v>660</v>
      </c>
      <c r="BT17" s="37">
        <f t="shared" si="108"/>
        <v>660</v>
      </c>
      <c r="BU17" s="37">
        <f t="shared" si="108"/>
        <v>660</v>
      </c>
      <c r="BV17" s="37">
        <f t="shared" si="108"/>
        <v>660</v>
      </c>
      <c r="BW17" s="37">
        <f t="shared" si="108"/>
        <v>660</v>
      </c>
    </row>
    <row r="18" spans="1:75" s="37" customFormat="1" ht="18" x14ac:dyDescent="0.55000000000000004">
      <c r="A18" s="192" t="s">
        <v>185</v>
      </c>
      <c r="B18" s="176" t="s">
        <v>189</v>
      </c>
      <c r="G18" s="37">
        <f t="shared" ref="G18:BR18" si="109">- $A$60</f>
        <v>-100</v>
      </c>
      <c r="H18" s="37">
        <f t="shared" si="109"/>
        <v>-100</v>
      </c>
      <c r="I18" s="37">
        <f t="shared" si="109"/>
        <v>-100</v>
      </c>
      <c r="J18" s="37">
        <f t="shared" si="109"/>
        <v>-100</v>
      </c>
      <c r="K18" s="37">
        <f t="shared" si="109"/>
        <v>-100</v>
      </c>
      <c r="L18" s="37">
        <f t="shared" si="109"/>
        <v>-100</v>
      </c>
      <c r="M18" s="37">
        <f t="shared" si="109"/>
        <v>-100</v>
      </c>
      <c r="N18" s="37">
        <f t="shared" si="109"/>
        <v>-100</v>
      </c>
      <c r="O18" s="37">
        <f t="shared" si="109"/>
        <v>-100</v>
      </c>
      <c r="P18" s="37">
        <f t="shared" si="109"/>
        <v>-100</v>
      </c>
      <c r="Q18" s="37">
        <f t="shared" si="109"/>
        <v>-100</v>
      </c>
      <c r="R18" s="37">
        <f t="shared" si="109"/>
        <v>-100</v>
      </c>
      <c r="S18" s="37">
        <f t="shared" si="109"/>
        <v>-100</v>
      </c>
      <c r="T18" s="37">
        <f t="shared" si="109"/>
        <v>-100</v>
      </c>
      <c r="U18" s="37">
        <f t="shared" si="109"/>
        <v>-100</v>
      </c>
      <c r="V18" s="37">
        <f t="shared" si="109"/>
        <v>-100</v>
      </c>
      <c r="W18" s="37">
        <f t="shared" si="109"/>
        <v>-100</v>
      </c>
      <c r="X18" s="37">
        <f t="shared" si="109"/>
        <v>-100</v>
      </c>
      <c r="Y18" s="37">
        <f t="shared" si="109"/>
        <v>-100</v>
      </c>
      <c r="Z18" s="37">
        <f t="shared" si="109"/>
        <v>-100</v>
      </c>
      <c r="AA18" s="37">
        <f t="shared" si="109"/>
        <v>-100</v>
      </c>
      <c r="AB18" s="37">
        <f t="shared" si="109"/>
        <v>-100</v>
      </c>
      <c r="AC18" s="37">
        <f t="shared" si="109"/>
        <v>-100</v>
      </c>
      <c r="AD18" s="37">
        <f t="shared" si="109"/>
        <v>-100</v>
      </c>
      <c r="AE18" s="37">
        <f t="shared" si="109"/>
        <v>-100</v>
      </c>
      <c r="AF18" s="37">
        <f t="shared" si="109"/>
        <v>-100</v>
      </c>
      <c r="AG18" s="37">
        <f t="shared" si="109"/>
        <v>-100</v>
      </c>
      <c r="AH18" s="37">
        <f t="shared" si="109"/>
        <v>-100</v>
      </c>
      <c r="AI18" s="37">
        <f t="shared" si="109"/>
        <v>-100</v>
      </c>
      <c r="AJ18" s="37">
        <f t="shared" si="109"/>
        <v>-100</v>
      </c>
      <c r="AK18" s="37">
        <f t="shared" si="109"/>
        <v>-100</v>
      </c>
      <c r="AL18" s="37">
        <f t="shared" si="109"/>
        <v>-100</v>
      </c>
      <c r="AM18" s="37">
        <f t="shared" si="109"/>
        <v>-100</v>
      </c>
      <c r="AN18" s="37">
        <f t="shared" si="109"/>
        <v>-100</v>
      </c>
      <c r="AO18" s="37">
        <f t="shared" si="109"/>
        <v>-100</v>
      </c>
      <c r="AP18" s="37">
        <f t="shared" si="109"/>
        <v>-100</v>
      </c>
      <c r="AQ18" s="37">
        <f t="shared" si="109"/>
        <v>-100</v>
      </c>
      <c r="AR18" s="37">
        <f t="shared" si="109"/>
        <v>-100</v>
      </c>
      <c r="AS18" s="37">
        <f t="shared" si="109"/>
        <v>-100</v>
      </c>
      <c r="AT18" s="37">
        <f t="shared" si="109"/>
        <v>-100</v>
      </c>
      <c r="AU18" s="37">
        <f t="shared" si="109"/>
        <v>-100</v>
      </c>
      <c r="AV18" s="37">
        <f t="shared" si="109"/>
        <v>-100</v>
      </c>
      <c r="AW18" s="37">
        <f t="shared" si="109"/>
        <v>-100</v>
      </c>
      <c r="AX18" s="37">
        <f t="shared" si="109"/>
        <v>-100</v>
      </c>
      <c r="AY18" s="37">
        <f t="shared" si="109"/>
        <v>-100</v>
      </c>
      <c r="AZ18" s="37">
        <f t="shared" si="109"/>
        <v>-100</v>
      </c>
      <c r="BA18" s="37">
        <f t="shared" si="109"/>
        <v>-100</v>
      </c>
      <c r="BB18" s="37">
        <f t="shared" si="109"/>
        <v>-100</v>
      </c>
      <c r="BC18" s="37">
        <f t="shared" si="109"/>
        <v>-100</v>
      </c>
      <c r="BD18" s="37">
        <f t="shared" si="109"/>
        <v>-100</v>
      </c>
      <c r="BE18" s="37">
        <f t="shared" si="109"/>
        <v>-100</v>
      </c>
      <c r="BF18" s="37">
        <f t="shared" si="109"/>
        <v>-100</v>
      </c>
      <c r="BG18" s="37">
        <f t="shared" si="109"/>
        <v>-100</v>
      </c>
      <c r="BH18" s="37">
        <f t="shared" si="109"/>
        <v>-100</v>
      </c>
      <c r="BI18" s="37">
        <f t="shared" si="109"/>
        <v>-100</v>
      </c>
      <c r="BJ18" s="37">
        <f t="shared" si="109"/>
        <v>-100</v>
      </c>
      <c r="BK18" s="37">
        <f t="shared" si="109"/>
        <v>-100</v>
      </c>
      <c r="BL18" s="37">
        <f t="shared" si="109"/>
        <v>-100</v>
      </c>
      <c r="BM18" s="37">
        <f t="shared" si="109"/>
        <v>-100</v>
      </c>
      <c r="BN18" s="37">
        <f t="shared" si="109"/>
        <v>-100</v>
      </c>
      <c r="BO18" s="37">
        <f t="shared" si="109"/>
        <v>-100</v>
      </c>
      <c r="BP18" s="37">
        <f t="shared" si="109"/>
        <v>-100</v>
      </c>
      <c r="BQ18" s="37">
        <f t="shared" si="109"/>
        <v>-100</v>
      </c>
      <c r="BR18" s="37">
        <f t="shared" si="109"/>
        <v>-100</v>
      </c>
      <c r="BS18" s="37">
        <f t="shared" ref="BS18:BW18" si="110">- $A$60</f>
        <v>-100</v>
      </c>
      <c r="BT18" s="37">
        <f t="shared" si="110"/>
        <v>-100</v>
      </c>
      <c r="BU18" s="37">
        <f t="shared" si="110"/>
        <v>-100</v>
      </c>
      <c r="BV18" s="37">
        <f t="shared" si="110"/>
        <v>-100</v>
      </c>
      <c r="BW18" s="37">
        <f t="shared" si="110"/>
        <v>-100</v>
      </c>
    </row>
    <row r="19" spans="1:75" s="37" customFormat="1" ht="18" x14ac:dyDescent="0.55000000000000004">
      <c r="A19" s="192" t="s">
        <v>146</v>
      </c>
      <c r="B19" s="176" t="s">
        <v>139</v>
      </c>
      <c r="G19" s="37">
        <f t="shared" ref="G19:AD19" si="111">-$A$54</f>
        <v>-270</v>
      </c>
      <c r="H19" s="37">
        <f t="shared" si="111"/>
        <v>-270</v>
      </c>
      <c r="I19" s="37">
        <f t="shared" si="111"/>
        <v>-270</v>
      </c>
      <c r="J19" s="37">
        <f t="shared" si="111"/>
        <v>-270</v>
      </c>
      <c r="K19" s="37">
        <f t="shared" si="111"/>
        <v>-270</v>
      </c>
      <c r="L19" s="37">
        <f t="shared" si="111"/>
        <v>-270</v>
      </c>
      <c r="M19" s="37">
        <f t="shared" si="111"/>
        <v>-270</v>
      </c>
      <c r="N19" s="37">
        <f t="shared" si="111"/>
        <v>-270</v>
      </c>
      <c r="O19" s="37">
        <f t="shared" si="111"/>
        <v>-270</v>
      </c>
      <c r="P19" s="37">
        <f t="shared" si="111"/>
        <v>-270</v>
      </c>
      <c r="Q19" s="37">
        <f t="shared" si="111"/>
        <v>-270</v>
      </c>
      <c r="R19" s="37">
        <f t="shared" si="111"/>
        <v>-270</v>
      </c>
      <c r="S19" s="37">
        <f t="shared" si="111"/>
        <v>-270</v>
      </c>
      <c r="T19" s="37">
        <f t="shared" si="111"/>
        <v>-270</v>
      </c>
      <c r="U19" s="37">
        <f t="shared" si="111"/>
        <v>-270</v>
      </c>
      <c r="V19" s="37">
        <f t="shared" si="111"/>
        <v>-270</v>
      </c>
      <c r="W19" s="37">
        <f t="shared" si="111"/>
        <v>-270</v>
      </c>
      <c r="X19" s="37">
        <f t="shared" si="111"/>
        <v>-270</v>
      </c>
      <c r="Y19" s="37">
        <f t="shared" si="111"/>
        <v>-270</v>
      </c>
      <c r="Z19" s="37">
        <f t="shared" si="111"/>
        <v>-270</v>
      </c>
      <c r="AA19" s="37">
        <f t="shared" si="111"/>
        <v>-270</v>
      </c>
      <c r="AB19" s="37">
        <f t="shared" si="111"/>
        <v>-270</v>
      </c>
      <c r="AC19" s="37">
        <f t="shared" si="111"/>
        <v>-270</v>
      </c>
      <c r="AD19" s="37">
        <f t="shared" si="111"/>
        <v>-270</v>
      </c>
      <c r="AE19" s="37">
        <v>-400</v>
      </c>
      <c r="AF19" s="37">
        <v>-400</v>
      </c>
      <c r="AG19" s="37">
        <v>-400</v>
      </c>
      <c r="AH19" s="37">
        <v>-440</v>
      </c>
      <c r="AI19" s="37">
        <v>-480</v>
      </c>
      <c r="AJ19" s="37">
        <v>-520</v>
      </c>
      <c r="AK19" s="37">
        <v>-520</v>
      </c>
      <c r="AL19" s="37">
        <v>-520</v>
      </c>
      <c r="AM19" s="37">
        <v>-520</v>
      </c>
      <c r="AN19" s="37">
        <v>-520</v>
      </c>
      <c r="AO19" s="37">
        <v>-520</v>
      </c>
      <c r="AP19" s="37">
        <v>-520</v>
      </c>
      <c r="AQ19" s="37">
        <v>-520</v>
      </c>
      <c r="AR19" s="37">
        <v>-520</v>
      </c>
      <c r="AS19" s="37">
        <v>-520</v>
      </c>
      <c r="AT19" s="37">
        <v>-520</v>
      </c>
      <c r="AU19" s="37">
        <v>-520</v>
      </c>
      <c r="AV19" s="37">
        <v>-520</v>
      </c>
      <c r="AW19" s="37">
        <v>-520</v>
      </c>
      <c r="AX19" s="37">
        <v>-520</v>
      </c>
      <c r="AY19" s="37">
        <v>-520</v>
      </c>
      <c r="AZ19" s="37">
        <v>-520</v>
      </c>
      <c r="BA19" s="37">
        <v>-520</v>
      </c>
      <c r="BB19" s="37">
        <v>-520</v>
      </c>
      <c r="BC19" s="37">
        <v>-520</v>
      </c>
      <c r="BD19" s="37">
        <v>-520</v>
      </c>
      <c r="BE19" s="37">
        <v>-520</v>
      </c>
      <c r="BF19" s="37">
        <v>-520</v>
      </c>
      <c r="BG19" s="37">
        <v>-520</v>
      </c>
      <c r="BH19" s="37">
        <v>-520</v>
      </c>
      <c r="BI19" s="37">
        <v>-520</v>
      </c>
      <c r="BJ19" s="37">
        <v>-520</v>
      </c>
      <c r="BK19" s="37">
        <v>-520</v>
      </c>
      <c r="BL19" s="37">
        <v>-520</v>
      </c>
      <c r="BM19" s="37">
        <v>-520</v>
      </c>
      <c r="BN19" s="37">
        <v>-520</v>
      </c>
      <c r="BO19" s="37">
        <v>-520</v>
      </c>
      <c r="BP19" s="37">
        <v>-520</v>
      </c>
      <c r="BQ19" s="37">
        <v>-520</v>
      </c>
      <c r="BR19" s="37">
        <v>-520</v>
      </c>
      <c r="BS19" s="37">
        <v>-520</v>
      </c>
      <c r="BT19" s="37">
        <v>-520</v>
      </c>
      <c r="BU19" s="37">
        <v>-520</v>
      </c>
      <c r="BV19" s="37">
        <v>-520</v>
      </c>
      <c r="BW19" s="37">
        <v>-520</v>
      </c>
    </row>
    <row r="20" spans="1:75" s="52" customFormat="1" ht="18" x14ac:dyDescent="0.55000000000000004">
      <c r="A20" s="195"/>
      <c r="B20" s="177" t="s">
        <v>143</v>
      </c>
      <c r="G20" s="52">
        <v>-900</v>
      </c>
    </row>
    <row r="21" spans="1:75" ht="18" x14ac:dyDescent="0.55000000000000004">
      <c r="A21" s="192" t="s">
        <v>193</v>
      </c>
      <c r="B21" s="176"/>
      <c r="J21" s="24">
        <f t="shared" ref="J21:BU21" si="112">$A$53*$A$55</f>
        <v>660</v>
      </c>
      <c r="K21" s="24">
        <f t="shared" si="112"/>
        <v>660</v>
      </c>
      <c r="L21" s="24">
        <f t="shared" si="112"/>
        <v>660</v>
      </c>
      <c r="M21" s="24">
        <f t="shared" si="112"/>
        <v>660</v>
      </c>
      <c r="N21" s="24">
        <f t="shared" si="112"/>
        <v>660</v>
      </c>
      <c r="O21" s="24">
        <f t="shared" si="112"/>
        <v>660</v>
      </c>
      <c r="P21" s="24">
        <f t="shared" si="112"/>
        <v>660</v>
      </c>
      <c r="Q21" s="24">
        <f t="shared" si="112"/>
        <v>660</v>
      </c>
      <c r="R21" s="24">
        <f t="shared" si="112"/>
        <v>660</v>
      </c>
      <c r="S21" s="24">
        <f t="shared" si="112"/>
        <v>660</v>
      </c>
      <c r="T21" s="24">
        <f t="shared" si="112"/>
        <v>660</v>
      </c>
      <c r="U21" s="24">
        <f t="shared" si="112"/>
        <v>660</v>
      </c>
      <c r="V21" s="24">
        <f t="shared" si="112"/>
        <v>660</v>
      </c>
      <c r="W21" s="24">
        <f t="shared" si="112"/>
        <v>660</v>
      </c>
      <c r="X21" s="24">
        <f t="shared" si="112"/>
        <v>660</v>
      </c>
      <c r="Y21" s="24">
        <f t="shared" si="112"/>
        <v>660</v>
      </c>
      <c r="Z21" s="24">
        <f t="shared" si="112"/>
        <v>660</v>
      </c>
      <c r="AA21" s="24">
        <f t="shared" si="112"/>
        <v>660</v>
      </c>
      <c r="AB21" s="24">
        <f t="shared" si="112"/>
        <v>660</v>
      </c>
      <c r="AC21" s="24">
        <f t="shared" si="112"/>
        <v>660</v>
      </c>
      <c r="AD21" s="24">
        <f t="shared" si="112"/>
        <v>660</v>
      </c>
      <c r="AE21" s="24">
        <f t="shared" si="112"/>
        <v>660</v>
      </c>
      <c r="AF21" s="24">
        <f t="shared" si="112"/>
        <v>660</v>
      </c>
      <c r="AG21" s="24">
        <f t="shared" si="112"/>
        <v>660</v>
      </c>
      <c r="AH21" s="24">
        <f t="shared" si="112"/>
        <v>660</v>
      </c>
      <c r="AI21" s="24">
        <f t="shared" si="112"/>
        <v>660</v>
      </c>
      <c r="AJ21" s="24">
        <f t="shared" si="112"/>
        <v>660</v>
      </c>
      <c r="AK21" s="24">
        <f t="shared" si="112"/>
        <v>660</v>
      </c>
      <c r="AL21" s="24">
        <f t="shared" si="112"/>
        <v>660</v>
      </c>
      <c r="AM21" s="24">
        <f t="shared" si="112"/>
        <v>660</v>
      </c>
      <c r="AN21" s="24">
        <f t="shared" si="112"/>
        <v>660</v>
      </c>
      <c r="AO21" s="24">
        <f t="shared" si="112"/>
        <v>660</v>
      </c>
      <c r="AP21" s="24">
        <f t="shared" si="112"/>
        <v>660</v>
      </c>
      <c r="AQ21" s="24">
        <f t="shared" si="112"/>
        <v>660</v>
      </c>
      <c r="AR21" s="24">
        <f t="shared" si="112"/>
        <v>660</v>
      </c>
      <c r="AS21" s="24">
        <f t="shared" si="112"/>
        <v>660</v>
      </c>
      <c r="AT21" s="24">
        <f t="shared" si="112"/>
        <v>660</v>
      </c>
      <c r="AU21" s="24">
        <f t="shared" si="112"/>
        <v>660</v>
      </c>
      <c r="AV21" s="24">
        <f t="shared" si="112"/>
        <v>660</v>
      </c>
      <c r="AW21" s="24">
        <f t="shared" si="112"/>
        <v>660</v>
      </c>
      <c r="AX21" s="24">
        <f t="shared" si="112"/>
        <v>660</v>
      </c>
      <c r="AY21" s="24">
        <f t="shared" si="112"/>
        <v>660</v>
      </c>
      <c r="AZ21" s="24">
        <f t="shared" si="112"/>
        <v>660</v>
      </c>
      <c r="BA21" s="24">
        <f t="shared" si="112"/>
        <v>660</v>
      </c>
      <c r="BB21" s="24">
        <f t="shared" si="112"/>
        <v>660</v>
      </c>
      <c r="BC21" s="24">
        <f t="shared" si="112"/>
        <v>660</v>
      </c>
      <c r="BD21" s="24">
        <f t="shared" si="112"/>
        <v>660</v>
      </c>
      <c r="BE21" s="24">
        <f t="shared" si="112"/>
        <v>660</v>
      </c>
      <c r="BF21" s="24">
        <f t="shared" si="112"/>
        <v>660</v>
      </c>
      <c r="BG21" s="24">
        <f t="shared" si="112"/>
        <v>660</v>
      </c>
      <c r="BH21" s="24">
        <f t="shared" si="112"/>
        <v>660</v>
      </c>
      <c r="BI21" s="24">
        <f t="shared" si="112"/>
        <v>660</v>
      </c>
      <c r="BJ21" s="24">
        <f t="shared" si="112"/>
        <v>660</v>
      </c>
      <c r="BK21" s="24">
        <f t="shared" si="112"/>
        <v>660</v>
      </c>
      <c r="BL21" s="24">
        <f t="shared" si="112"/>
        <v>660</v>
      </c>
      <c r="BM21" s="24">
        <f t="shared" si="112"/>
        <v>660</v>
      </c>
      <c r="BN21" s="24">
        <f t="shared" si="112"/>
        <v>660</v>
      </c>
      <c r="BO21" s="24">
        <f t="shared" si="112"/>
        <v>660</v>
      </c>
      <c r="BP21" s="24">
        <f t="shared" si="112"/>
        <v>660</v>
      </c>
      <c r="BQ21" s="24">
        <f t="shared" si="112"/>
        <v>660</v>
      </c>
      <c r="BR21" s="24">
        <f t="shared" si="112"/>
        <v>660</v>
      </c>
      <c r="BS21" s="24">
        <f t="shared" si="112"/>
        <v>660</v>
      </c>
      <c r="BT21" s="24">
        <f t="shared" si="112"/>
        <v>660</v>
      </c>
      <c r="BU21" s="24">
        <f t="shared" si="112"/>
        <v>660</v>
      </c>
      <c r="BV21" s="24">
        <f t="shared" ref="BV21:BW21" si="113">$A$53*$A$55</f>
        <v>660</v>
      </c>
      <c r="BW21" s="24">
        <f t="shared" si="113"/>
        <v>660</v>
      </c>
    </row>
    <row r="22" spans="1:75" ht="18" x14ac:dyDescent="0.55000000000000004">
      <c r="A22" s="192" t="s">
        <v>185</v>
      </c>
      <c r="B22" s="176" t="s">
        <v>189</v>
      </c>
      <c r="J22" s="24">
        <f t="shared" ref="J22:BU22" si="114">- $A$60</f>
        <v>-100</v>
      </c>
      <c r="K22" s="24">
        <f t="shared" si="114"/>
        <v>-100</v>
      </c>
      <c r="L22" s="24">
        <f t="shared" si="114"/>
        <v>-100</v>
      </c>
      <c r="M22" s="24">
        <f t="shared" si="114"/>
        <v>-100</v>
      </c>
      <c r="N22" s="24">
        <f t="shared" si="114"/>
        <v>-100</v>
      </c>
      <c r="O22" s="24">
        <f t="shared" si="114"/>
        <v>-100</v>
      </c>
      <c r="P22" s="24">
        <f t="shared" si="114"/>
        <v>-100</v>
      </c>
      <c r="Q22" s="24">
        <f t="shared" si="114"/>
        <v>-100</v>
      </c>
      <c r="R22" s="24">
        <f t="shared" si="114"/>
        <v>-100</v>
      </c>
      <c r="S22" s="24">
        <f t="shared" si="114"/>
        <v>-100</v>
      </c>
      <c r="T22" s="24">
        <f t="shared" si="114"/>
        <v>-100</v>
      </c>
      <c r="U22" s="24">
        <f t="shared" si="114"/>
        <v>-100</v>
      </c>
      <c r="V22" s="24">
        <f t="shared" si="114"/>
        <v>-100</v>
      </c>
      <c r="W22" s="24">
        <f t="shared" si="114"/>
        <v>-100</v>
      </c>
      <c r="X22" s="24">
        <f t="shared" si="114"/>
        <v>-100</v>
      </c>
      <c r="Y22" s="24">
        <f t="shared" si="114"/>
        <v>-100</v>
      </c>
      <c r="Z22" s="24">
        <f t="shared" si="114"/>
        <v>-100</v>
      </c>
      <c r="AA22" s="24">
        <f t="shared" si="114"/>
        <v>-100</v>
      </c>
      <c r="AB22" s="24">
        <f t="shared" si="114"/>
        <v>-100</v>
      </c>
      <c r="AC22" s="24">
        <f t="shared" si="114"/>
        <v>-100</v>
      </c>
      <c r="AD22" s="24">
        <f t="shared" si="114"/>
        <v>-100</v>
      </c>
      <c r="AE22" s="24">
        <f t="shared" si="114"/>
        <v>-100</v>
      </c>
      <c r="AF22" s="24">
        <f t="shared" si="114"/>
        <v>-100</v>
      </c>
      <c r="AG22" s="24">
        <f t="shared" si="114"/>
        <v>-100</v>
      </c>
      <c r="AH22" s="24">
        <f t="shared" si="114"/>
        <v>-100</v>
      </c>
      <c r="AI22" s="24">
        <f t="shared" si="114"/>
        <v>-100</v>
      </c>
      <c r="AJ22" s="24">
        <f t="shared" si="114"/>
        <v>-100</v>
      </c>
      <c r="AK22" s="24">
        <f t="shared" si="114"/>
        <v>-100</v>
      </c>
      <c r="AL22" s="24">
        <f t="shared" si="114"/>
        <v>-100</v>
      </c>
      <c r="AM22" s="24">
        <f t="shared" si="114"/>
        <v>-100</v>
      </c>
      <c r="AN22" s="24">
        <f t="shared" si="114"/>
        <v>-100</v>
      </c>
      <c r="AO22" s="24">
        <f t="shared" si="114"/>
        <v>-100</v>
      </c>
      <c r="AP22" s="24">
        <f t="shared" si="114"/>
        <v>-100</v>
      </c>
      <c r="AQ22" s="24">
        <f t="shared" si="114"/>
        <v>-100</v>
      </c>
      <c r="AR22" s="24">
        <f t="shared" si="114"/>
        <v>-100</v>
      </c>
      <c r="AS22" s="24">
        <f t="shared" si="114"/>
        <v>-100</v>
      </c>
      <c r="AT22" s="24">
        <f t="shared" si="114"/>
        <v>-100</v>
      </c>
      <c r="AU22" s="24">
        <f t="shared" si="114"/>
        <v>-100</v>
      </c>
      <c r="AV22" s="24">
        <f t="shared" si="114"/>
        <v>-100</v>
      </c>
      <c r="AW22" s="24">
        <f t="shared" si="114"/>
        <v>-100</v>
      </c>
      <c r="AX22" s="24">
        <f t="shared" si="114"/>
        <v>-100</v>
      </c>
      <c r="AY22" s="24">
        <f t="shared" si="114"/>
        <v>-100</v>
      </c>
      <c r="AZ22" s="24">
        <f t="shared" si="114"/>
        <v>-100</v>
      </c>
      <c r="BA22" s="24">
        <f t="shared" si="114"/>
        <v>-100</v>
      </c>
      <c r="BB22" s="24">
        <f t="shared" si="114"/>
        <v>-100</v>
      </c>
      <c r="BC22" s="24">
        <f t="shared" si="114"/>
        <v>-100</v>
      </c>
      <c r="BD22" s="24">
        <f t="shared" si="114"/>
        <v>-100</v>
      </c>
      <c r="BE22" s="24">
        <f t="shared" si="114"/>
        <v>-100</v>
      </c>
      <c r="BF22" s="24">
        <f t="shared" si="114"/>
        <v>-100</v>
      </c>
      <c r="BG22" s="24">
        <f t="shared" si="114"/>
        <v>-100</v>
      </c>
      <c r="BH22" s="24">
        <f t="shared" si="114"/>
        <v>-100</v>
      </c>
      <c r="BI22" s="24">
        <f t="shared" si="114"/>
        <v>-100</v>
      </c>
      <c r="BJ22" s="24">
        <f t="shared" si="114"/>
        <v>-100</v>
      </c>
      <c r="BK22" s="24">
        <f t="shared" si="114"/>
        <v>-100</v>
      </c>
      <c r="BL22" s="24">
        <f t="shared" si="114"/>
        <v>-100</v>
      </c>
      <c r="BM22" s="24">
        <f t="shared" si="114"/>
        <v>-100</v>
      </c>
      <c r="BN22" s="24">
        <f t="shared" si="114"/>
        <v>-100</v>
      </c>
      <c r="BO22" s="24">
        <f t="shared" si="114"/>
        <v>-100</v>
      </c>
      <c r="BP22" s="24">
        <f t="shared" si="114"/>
        <v>-100</v>
      </c>
      <c r="BQ22" s="24">
        <f t="shared" si="114"/>
        <v>-100</v>
      </c>
      <c r="BR22" s="24">
        <f t="shared" si="114"/>
        <v>-100</v>
      </c>
      <c r="BS22" s="24">
        <f t="shared" si="114"/>
        <v>-100</v>
      </c>
      <c r="BT22" s="24">
        <f t="shared" si="114"/>
        <v>-100</v>
      </c>
      <c r="BU22" s="24">
        <f t="shared" si="114"/>
        <v>-100</v>
      </c>
      <c r="BV22" s="24">
        <f t="shared" ref="BV22:BW22" si="115">- $A$60</f>
        <v>-100</v>
      </c>
      <c r="BW22" s="24">
        <f t="shared" si="115"/>
        <v>-100</v>
      </c>
    </row>
    <row r="23" spans="1:75" ht="18" x14ac:dyDescent="0.55000000000000004">
      <c r="A23" s="192" t="s">
        <v>146</v>
      </c>
      <c r="B23" s="176" t="s">
        <v>139</v>
      </c>
      <c r="J23" s="24">
        <f t="shared" ref="J23:AD23" si="116">-$A$54</f>
        <v>-270</v>
      </c>
      <c r="K23" s="24">
        <f t="shared" si="116"/>
        <v>-270</v>
      </c>
      <c r="L23" s="24">
        <f t="shared" si="116"/>
        <v>-270</v>
      </c>
      <c r="M23" s="24">
        <f t="shared" si="116"/>
        <v>-270</v>
      </c>
      <c r="N23" s="24">
        <f t="shared" si="116"/>
        <v>-270</v>
      </c>
      <c r="O23" s="24">
        <f t="shared" si="116"/>
        <v>-270</v>
      </c>
      <c r="P23" s="24">
        <f t="shared" si="116"/>
        <v>-270</v>
      </c>
      <c r="Q23" s="24">
        <f t="shared" si="116"/>
        <v>-270</v>
      </c>
      <c r="R23" s="24">
        <f t="shared" si="116"/>
        <v>-270</v>
      </c>
      <c r="S23" s="24">
        <f t="shared" si="116"/>
        <v>-270</v>
      </c>
      <c r="T23" s="24">
        <f t="shared" si="116"/>
        <v>-270</v>
      </c>
      <c r="U23" s="24">
        <f t="shared" si="116"/>
        <v>-270</v>
      </c>
      <c r="V23" s="24">
        <f t="shared" si="116"/>
        <v>-270</v>
      </c>
      <c r="W23" s="24">
        <f t="shared" si="116"/>
        <v>-270</v>
      </c>
      <c r="X23" s="24">
        <f t="shared" si="116"/>
        <v>-270</v>
      </c>
      <c r="Y23" s="24">
        <f t="shared" si="116"/>
        <v>-270</v>
      </c>
      <c r="Z23" s="24">
        <f t="shared" si="116"/>
        <v>-270</v>
      </c>
      <c r="AA23" s="24">
        <f t="shared" si="116"/>
        <v>-270</v>
      </c>
      <c r="AB23" s="24">
        <f t="shared" si="116"/>
        <v>-270</v>
      </c>
      <c r="AC23" s="24">
        <f t="shared" si="116"/>
        <v>-270</v>
      </c>
      <c r="AD23" s="24">
        <f t="shared" si="116"/>
        <v>-270</v>
      </c>
      <c r="AE23" s="24">
        <v>-400</v>
      </c>
      <c r="AF23" s="24">
        <v>-400</v>
      </c>
      <c r="AG23" s="24">
        <v>-400</v>
      </c>
      <c r="AH23" s="24">
        <v>-440</v>
      </c>
      <c r="AI23" s="24">
        <v>-480</v>
      </c>
      <c r="AJ23" s="24">
        <v>-520</v>
      </c>
      <c r="AK23" s="24">
        <v>-519</v>
      </c>
      <c r="AL23" s="24">
        <v>-518</v>
      </c>
      <c r="AM23" s="24">
        <v>-517</v>
      </c>
      <c r="AN23" s="24">
        <v>-516</v>
      </c>
      <c r="AO23" s="24">
        <v>-515</v>
      </c>
      <c r="AP23" s="24">
        <v>-514</v>
      </c>
      <c r="AQ23" s="24">
        <v>-513</v>
      </c>
      <c r="AR23" s="24">
        <v>-512</v>
      </c>
      <c r="AS23" s="24">
        <v>-511</v>
      </c>
      <c r="AT23" s="24">
        <v>-510</v>
      </c>
      <c r="AU23" s="24">
        <v>-509</v>
      </c>
      <c r="AV23" s="24">
        <v>-508</v>
      </c>
      <c r="AW23" s="24">
        <v>-507</v>
      </c>
      <c r="AX23" s="24">
        <v>-506</v>
      </c>
      <c r="AY23" s="24">
        <v>-505</v>
      </c>
      <c r="AZ23" s="24">
        <v>-504</v>
      </c>
      <c r="BA23" s="24">
        <v>-503</v>
      </c>
      <c r="BB23" s="24">
        <v>-502</v>
      </c>
      <c r="BC23" s="24">
        <v>-501</v>
      </c>
      <c r="BD23" s="24">
        <v>-500</v>
      </c>
      <c r="BE23" s="24">
        <v>-499</v>
      </c>
      <c r="BF23" s="24">
        <v>-498</v>
      </c>
      <c r="BG23" s="24">
        <v>-497</v>
      </c>
      <c r="BH23" s="24">
        <v>-496</v>
      </c>
      <c r="BI23" s="24">
        <v>-495</v>
      </c>
      <c r="BJ23" s="24">
        <v>-494</v>
      </c>
      <c r="BK23" s="24">
        <v>-493</v>
      </c>
      <c r="BL23" s="24">
        <v>-492</v>
      </c>
      <c r="BM23" s="24">
        <v>-491</v>
      </c>
      <c r="BN23" s="24">
        <v>-490</v>
      </c>
      <c r="BO23" s="24">
        <v>-489</v>
      </c>
      <c r="BP23" s="24">
        <v>-488</v>
      </c>
      <c r="BQ23" s="24">
        <v>-487</v>
      </c>
      <c r="BR23" s="24">
        <v>-486</v>
      </c>
      <c r="BS23" s="24">
        <v>-485</v>
      </c>
      <c r="BT23" s="24">
        <v>-484</v>
      </c>
      <c r="BU23" s="24">
        <v>-483</v>
      </c>
      <c r="BV23" s="24">
        <v>-482</v>
      </c>
      <c r="BW23" s="24">
        <v>-481</v>
      </c>
    </row>
    <row r="24" spans="1:75" s="145" customFormat="1" ht="18" x14ac:dyDescent="0.55000000000000004">
      <c r="A24" s="195"/>
      <c r="B24" s="177" t="s">
        <v>143</v>
      </c>
      <c r="J24" s="170">
        <v>-900</v>
      </c>
    </row>
    <row r="25" spans="1:75" s="37" customFormat="1" ht="18" x14ac:dyDescent="0.55000000000000004">
      <c r="A25" s="192" t="s">
        <v>291</v>
      </c>
      <c r="B25" s="176"/>
      <c r="Y25" s="37">
        <f t="shared" ref="Y25:AD25" si="117">$A$61</f>
        <v>700</v>
      </c>
      <c r="Z25" s="37">
        <f t="shared" si="117"/>
        <v>700</v>
      </c>
      <c r="AA25" s="37">
        <f t="shared" si="117"/>
        <v>700</v>
      </c>
      <c r="AB25" s="37">
        <f t="shared" si="117"/>
        <v>700</v>
      </c>
      <c r="AC25" s="37">
        <f t="shared" si="117"/>
        <v>700</v>
      </c>
      <c r="AD25" s="37">
        <f t="shared" si="117"/>
        <v>700</v>
      </c>
      <c r="AE25" s="37">
        <f t="shared" ref="AE25:BW25" si="118">$A$61*1.1</f>
        <v>770.00000000000011</v>
      </c>
      <c r="AF25" s="37">
        <f t="shared" si="118"/>
        <v>770.00000000000011</v>
      </c>
      <c r="AG25" s="37">
        <f t="shared" si="118"/>
        <v>770.00000000000011</v>
      </c>
      <c r="AH25" s="37">
        <f t="shared" si="118"/>
        <v>770.00000000000011</v>
      </c>
      <c r="AI25" s="37">
        <f t="shared" si="118"/>
        <v>770.00000000000011</v>
      </c>
      <c r="AJ25" s="37">
        <f t="shared" si="118"/>
        <v>770.00000000000011</v>
      </c>
      <c r="AK25" s="37">
        <f t="shared" si="118"/>
        <v>770.00000000000011</v>
      </c>
      <c r="AL25" s="37">
        <f t="shared" si="118"/>
        <v>770.00000000000011</v>
      </c>
      <c r="AM25" s="37">
        <f t="shared" si="118"/>
        <v>770.00000000000011</v>
      </c>
      <c r="AN25" s="37">
        <f t="shared" si="118"/>
        <v>770.00000000000011</v>
      </c>
      <c r="AO25" s="37">
        <f t="shared" si="118"/>
        <v>770.00000000000011</v>
      </c>
      <c r="AP25" s="37">
        <f t="shared" si="118"/>
        <v>770.00000000000011</v>
      </c>
      <c r="AQ25" s="37">
        <f t="shared" si="118"/>
        <v>770.00000000000011</v>
      </c>
      <c r="AR25" s="37">
        <f t="shared" si="118"/>
        <v>770.00000000000011</v>
      </c>
      <c r="AS25" s="37">
        <f t="shared" si="118"/>
        <v>770.00000000000011</v>
      </c>
      <c r="AT25" s="37">
        <f t="shared" si="118"/>
        <v>770.00000000000011</v>
      </c>
      <c r="AU25" s="37">
        <f t="shared" si="118"/>
        <v>770.00000000000011</v>
      </c>
      <c r="AV25" s="37">
        <f t="shared" si="118"/>
        <v>770.00000000000011</v>
      </c>
      <c r="AW25" s="37">
        <f t="shared" si="118"/>
        <v>770.00000000000011</v>
      </c>
      <c r="AX25" s="37">
        <f t="shared" si="118"/>
        <v>770.00000000000011</v>
      </c>
      <c r="AY25" s="37">
        <f t="shared" si="118"/>
        <v>770.00000000000011</v>
      </c>
      <c r="AZ25" s="37">
        <f t="shared" si="118"/>
        <v>770.00000000000011</v>
      </c>
      <c r="BA25" s="37">
        <f t="shared" si="118"/>
        <v>770.00000000000011</v>
      </c>
      <c r="BB25" s="37">
        <f t="shared" si="118"/>
        <v>770.00000000000011</v>
      </c>
      <c r="BC25" s="37">
        <f t="shared" si="118"/>
        <v>770.00000000000011</v>
      </c>
      <c r="BD25" s="37">
        <f t="shared" si="118"/>
        <v>770.00000000000011</v>
      </c>
      <c r="BE25" s="37">
        <f t="shared" si="118"/>
        <v>770.00000000000011</v>
      </c>
      <c r="BF25" s="37">
        <f t="shared" si="118"/>
        <v>770.00000000000011</v>
      </c>
      <c r="BG25" s="37">
        <f t="shared" si="118"/>
        <v>770.00000000000011</v>
      </c>
      <c r="BH25" s="37">
        <f t="shared" si="118"/>
        <v>770.00000000000011</v>
      </c>
      <c r="BI25" s="37">
        <f t="shared" si="118"/>
        <v>770.00000000000011</v>
      </c>
      <c r="BJ25" s="37">
        <f t="shared" si="118"/>
        <v>770.00000000000011</v>
      </c>
      <c r="BK25" s="37">
        <f t="shared" si="118"/>
        <v>770.00000000000011</v>
      </c>
      <c r="BL25" s="37">
        <f t="shared" si="118"/>
        <v>770.00000000000011</v>
      </c>
      <c r="BM25" s="37">
        <f t="shared" si="118"/>
        <v>770.00000000000011</v>
      </c>
      <c r="BN25" s="37">
        <f t="shared" si="118"/>
        <v>770.00000000000011</v>
      </c>
      <c r="BO25" s="37">
        <f t="shared" si="118"/>
        <v>770.00000000000011</v>
      </c>
      <c r="BP25" s="37">
        <f t="shared" si="118"/>
        <v>770.00000000000011</v>
      </c>
      <c r="BQ25" s="37">
        <f t="shared" si="118"/>
        <v>770.00000000000011</v>
      </c>
      <c r="BR25" s="37">
        <f t="shared" si="118"/>
        <v>770.00000000000011</v>
      </c>
      <c r="BS25" s="37">
        <f t="shared" si="118"/>
        <v>770.00000000000011</v>
      </c>
      <c r="BT25" s="37">
        <f t="shared" si="118"/>
        <v>770.00000000000011</v>
      </c>
      <c r="BU25" s="37">
        <f t="shared" si="118"/>
        <v>770.00000000000011</v>
      </c>
      <c r="BV25" s="37">
        <f t="shared" si="118"/>
        <v>770.00000000000011</v>
      </c>
      <c r="BW25" s="37">
        <f t="shared" si="118"/>
        <v>770.00000000000011</v>
      </c>
    </row>
    <row r="26" spans="1:75" s="37" customFormat="1" ht="18" x14ac:dyDescent="0.55000000000000004">
      <c r="A26" s="192" t="s">
        <v>185</v>
      </c>
      <c r="B26" s="176" t="s">
        <v>343</v>
      </c>
      <c r="Y26" s="37">
        <f t="shared" ref="Y26:BW26" si="119">- $A$60</f>
        <v>-100</v>
      </c>
      <c r="Z26" s="37">
        <f t="shared" si="119"/>
        <v>-100</v>
      </c>
      <c r="AA26" s="37">
        <f t="shared" si="119"/>
        <v>-100</v>
      </c>
      <c r="AB26" s="37">
        <f t="shared" si="119"/>
        <v>-100</v>
      </c>
      <c r="AC26" s="37">
        <f t="shared" si="119"/>
        <v>-100</v>
      </c>
      <c r="AD26" s="37">
        <f t="shared" si="119"/>
        <v>-100</v>
      </c>
      <c r="AE26" s="37">
        <f t="shared" si="119"/>
        <v>-100</v>
      </c>
      <c r="AF26" s="37">
        <f t="shared" si="119"/>
        <v>-100</v>
      </c>
      <c r="AG26" s="37">
        <f t="shared" si="119"/>
        <v>-100</v>
      </c>
      <c r="AH26" s="37">
        <f t="shared" si="119"/>
        <v>-100</v>
      </c>
      <c r="AI26" s="37">
        <f t="shared" si="119"/>
        <v>-100</v>
      </c>
      <c r="AJ26" s="37">
        <f t="shared" si="119"/>
        <v>-100</v>
      </c>
      <c r="AK26" s="37">
        <f t="shared" si="119"/>
        <v>-100</v>
      </c>
      <c r="AL26" s="37">
        <f t="shared" si="119"/>
        <v>-100</v>
      </c>
      <c r="AM26" s="37">
        <f t="shared" si="119"/>
        <v>-100</v>
      </c>
      <c r="AN26" s="37">
        <f t="shared" si="119"/>
        <v>-100</v>
      </c>
      <c r="AO26" s="37">
        <f t="shared" si="119"/>
        <v>-100</v>
      </c>
      <c r="AP26" s="37">
        <f t="shared" si="119"/>
        <v>-100</v>
      </c>
      <c r="AQ26" s="37">
        <f t="shared" si="119"/>
        <v>-100</v>
      </c>
      <c r="AR26" s="37">
        <f t="shared" si="119"/>
        <v>-100</v>
      </c>
      <c r="AS26" s="37">
        <f t="shared" si="119"/>
        <v>-100</v>
      </c>
      <c r="AT26" s="37">
        <f t="shared" si="119"/>
        <v>-100</v>
      </c>
      <c r="AU26" s="37">
        <f t="shared" si="119"/>
        <v>-100</v>
      </c>
      <c r="AV26" s="37">
        <f t="shared" si="119"/>
        <v>-100</v>
      </c>
      <c r="AW26" s="37">
        <f t="shared" si="119"/>
        <v>-100</v>
      </c>
      <c r="AX26" s="37">
        <f t="shared" si="119"/>
        <v>-100</v>
      </c>
      <c r="AY26" s="37">
        <f t="shared" si="119"/>
        <v>-100</v>
      </c>
      <c r="AZ26" s="37">
        <f t="shared" si="119"/>
        <v>-100</v>
      </c>
      <c r="BA26" s="37">
        <f t="shared" si="119"/>
        <v>-100</v>
      </c>
      <c r="BB26" s="37">
        <f t="shared" si="119"/>
        <v>-100</v>
      </c>
      <c r="BC26" s="37">
        <f t="shared" si="119"/>
        <v>-100</v>
      </c>
      <c r="BD26" s="37">
        <f t="shared" si="119"/>
        <v>-100</v>
      </c>
      <c r="BE26" s="37">
        <f t="shared" si="119"/>
        <v>-100</v>
      </c>
      <c r="BF26" s="37">
        <f t="shared" si="119"/>
        <v>-100</v>
      </c>
      <c r="BG26" s="37">
        <f t="shared" si="119"/>
        <v>-100</v>
      </c>
      <c r="BH26" s="37">
        <f t="shared" si="119"/>
        <v>-100</v>
      </c>
      <c r="BI26" s="37">
        <f t="shared" si="119"/>
        <v>-100</v>
      </c>
      <c r="BJ26" s="37">
        <f t="shared" si="119"/>
        <v>-100</v>
      </c>
      <c r="BK26" s="37">
        <f t="shared" si="119"/>
        <v>-100</v>
      </c>
      <c r="BL26" s="37">
        <f t="shared" si="119"/>
        <v>-100</v>
      </c>
      <c r="BM26" s="37">
        <f t="shared" si="119"/>
        <v>-100</v>
      </c>
      <c r="BN26" s="37">
        <f t="shared" si="119"/>
        <v>-100</v>
      </c>
      <c r="BO26" s="37">
        <f t="shared" si="119"/>
        <v>-100</v>
      </c>
      <c r="BP26" s="37">
        <f t="shared" si="119"/>
        <v>-100</v>
      </c>
      <c r="BQ26" s="37">
        <f t="shared" si="119"/>
        <v>-100</v>
      </c>
      <c r="BR26" s="37">
        <f t="shared" si="119"/>
        <v>-100</v>
      </c>
      <c r="BS26" s="37">
        <f t="shared" si="119"/>
        <v>-100</v>
      </c>
      <c r="BT26" s="37">
        <f t="shared" si="119"/>
        <v>-100</v>
      </c>
      <c r="BU26" s="37">
        <f t="shared" si="119"/>
        <v>-100</v>
      </c>
      <c r="BV26" s="37">
        <f t="shared" si="119"/>
        <v>-100</v>
      </c>
      <c r="BW26" s="37">
        <f t="shared" si="119"/>
        <v>-100</v>
      </c>
    </row>
    <row r="27" spans="1:75" s="37" customFormat="1" ht="18" x14ac:dyDescent="0.55000000000000004">
      <c r="A27" s="192" t="s">
        <v>146</v>
      </c>
      <c r="B27" s="176" t="s">
        <v>139</v>
      </c>
      <c r="Y27" s="37">
        <f t="shared" ref="Y27:AD27" si="120">-$A$54</f>
        <v>-270</v>
      </c>
      <c r="Z27" s="37">
        <f t="shared" si="120"/>
        <v>-270</v>
      </c>
      <c r="AA27" s="37">
        <f t="shared" si="120"/>
        <v>-270</v>
      </c>
      <c r="AB27" s="37">
        <f t="shared" si="120"/>
        <v>-270</v>
      </c>
      <c r="AC27" s="37">
        <f t="shared" si="120"/>
        <v>-270</v>
      </c>
      <c r="AD27" s="37">
        <f t="shared" si="120"/>
        <v>-270</v>
      </c>
      <c r="AE27" s="37">
        <v>-400</v>
      </c>
      <c r="AF27" s="37">
        <v>-400</v>
      </c>
      <c r="AG27" s="37">
        <v>-400</v>
      </c>
      <c r="AH27" s="37">
        <v>-440</v>
      </c>
      <c r="AI27" s="37">
        <v>-480</v>
      </c>
      <c r="AJ27" s="37">
        <v>-520</v>
      </c>
      <c r="AK27" s="37">
        <v>-520</v>
      </c>
      <c r="AL27" s="37">
        <v>-520</v>
      </c>
      <c r="AM27" s="37">
        <v>-520</v>
      </c>
      <c r="AN27" s="37">
        <v>-520</v>
      </c>
      <c r="AO27" s="37">
        <v>-520</v>
      </c>
      <c r="AP27" s="37">
        <v>-520</v>
      </c>
      <c r="AQ27" s="37">
        <v>-520</v>
      </c>
      <c r="AR27" s="37">
        <v>-520</v>
      </c>
      <c r="AS27" s="37">
        <v>-520</v>
      </c>
      <c r="AT27" s="37">
        <v>-520</v>
      </c>
      <c r="AU27" s="37">
        <v>-520</v>
      </c>
      <c r="AV27" s="37">
        <v>-520</v>
      </c>
      <c r="AW27" s="37">
        <v>-520</v>
      </c>
      <c r="AX27" s="37">
        <v>-520</v>
      </c>
      <c r="AY27" s="37">
        <v>-520</v>
      </c>
      <c r="AZ27" s="37">
        <v>-520</v>
      </c>
      <c r="BA27" s="37">
        <v>-520</v>
      </c>
      <c r="BB27" s="37">
        <v>-520</v>
      </c>
      <c r="BC27" s="37">
        <v>-520</v>
      </c>
      <c r="BD27" s="37">
        <v>-520</v>
      </c>
      <c r="BE27" s="37">
        <v>-520</v>
      </c>
      <c r="BF27" s="37">
        <v>-520</v>
      </c>
      <c r="BG27" s="37">
        <v>-520</v>
      </c>
      <c r="BH27" s="37">
        <v>-520</v>
      </c>
      <c r="BI27" s="37">
        <v>-520</v>
      </c>
      <c r="BJ27" s="37">
        <v>-520</v>
      </c>
      <c r="BK27" s="37">
        <v>-520</v>
      </c>
      <c r="BL27" s="37">
        <v>-520</v>
      </c>
      <c r="BM27" s="37">
        <v>-520</v>
      </c>
      <c r="BN27" s="37">
        <v>-520</v>
      </c>
      <c r="BO27" s="37">
        <v>-520</v>
      </c>
      <c r="BP27" s="37">
        <v>-520</v>
      </c>
      <c r="BQ27" s="37">
        <v>-520</v>
      </c>
      <c r="BR27" s="37">
        <v>-520</v>
      </c>
      <c r="BS27" s="37">
        <v>-520</v>
      </c>
      <c r="BT27" s="37">
        <v>-520</v>
      </c>
      <c r="BU27" s="37">
        <v>-520</v>
      </c>
      <c r="BV27" s="37">
        <v>-520</v>
      </c>
      <c r="BW27" s="37">
        <v>-520</v>
      </c>
    </row>
    <row r="28" spans="1:75" s="52" customFormat="1" ht="18" x14ac:dyDescent="0.55000000000000004">
      <c r="A28" s="195"/>
      <c r="B28" s="177" t="s">
        <v>332</v>
      </c>
      <c r="Y28" s="52">
        <v>-2700</v>
      </c>
    </row>
    <row r="29" spans="1:75" ht="36" x14ac:dyDescent="0.45">
      <c r="A29" s="196" t="s">
        <v>378</v>
      </c>
      <c r="B29" s="176"/>
    </row>
    <row r="30" spans="1:75" ht="18" x14ac:dyDescent="0.55000000000000004">
      <c r="A30" s="192" t="s">
        <v>185</v>
      </c>
      <c r="B30" s="176" t="s">
        <v>164</v>
      </c>
      <c r="M30" s="24">
        <f t="shared" ref="M30:AJ30" si="121">(M11+M17+M21)*$A$56</f>
        <v>484</v>
      </c>
      <c r="N30" s="24">
        <f t="shared" si="121"/>
        <v>484</v>
      </c>
      <c r="O30" s="24">
        <f t="shared" si="121"/>
        <v>484</v>
      </c>
      <c r="P30" s="24">
        <f t="shared" si="121"/>
        <v>484</v>
      </c>
      <c r="Q30" s="24">
        <f t="shared" si="121"/>
        <v>484</v>
      </c>
      <c r="R30" s="24">
        <f t="shared" si="121"/>
        <v>484</v>
      </c>
      <c r="S30" s="24">
        <f t="shared" si="121"/>
        <v>484</v>
      </c>
      <c r="T30" s="24">
        <f t="shared" si="121"/>
        <v>484</v>
      </c>
      <c r="U30" s="24">
        <f t="shared" si="121"/>
        <v>484</v>
      </c>
      <c r="V30" s="24">
        <f t="shared" si="121"/>
        <v>484</v>
      </c>
      <c r="W30" s="24">
        <f t="shared" si="121"/>
        <v>484</v>
      </c>
      <c r="X30" s="24">
        <f t="shared" si="121"/>
        <v>484</v>
      </c>
      <c r="Y30" s="24">
        <f t="shared" si="121"/>
        <v>484</v>
      </c>
      <c r="Z30" s="24">
        <f t="shared" si="121"/>
        <v>484</v>
      </c>
      <c r="AA30" s="24">
        <f t="shared" si="121"/>
        <v>484</v>
      </c>
      <c r="AB30" s="24">
        <f t="shared" si="121"/>
        <v>484</v>
      </c>
      <c r="AC30" s="24">
        <f t="shared" si="121"/>
        <v>484</v>
      </c>
      <c r="AD30" s="24">
        <f t="shared" si="121"/>
        <v>484</v>
      </c>
      <c r="AE30" s="24">
        <f t="shared" si="121"/>
        <v>484</v>
      </c>
      <c r="AF30" s="24">
        <f t="shared" si="121"/>
        <v>484</v>
      </c>
      <c r="AG30" s="24">
        <f t="shared" si="121"/>
        <v>484</v>
      </c>
      <c r="AH30" s="24">
        <f t="shared" si="121"/>
        <v>484</v>
      </c>
      <c r="AI30" s="24">
        <f t="shared" si="121"/>
        <v>484</v>
      </c>
      <c r="AJ30" s="24">
        <f t="shared" si="121"/>
        <v>484</v>
      </c>
      <c r="AK30" s="24">
        <f t="shared" ref="AK30:AM30" si="122">(AK11+AK17+AK21)*$A$56</f>
        <v>484</v>
      </c>
      <c r="AL30" s="24">
        <f t="shared" si="122"/>
        <v>484</v>
      </c>
      <c r="AM30" s="24">
        <f t="shared" si="122"/>
        <v>484</v>
      </c>
      <c r="AN30" s="24">
        <f t="shared" ref="AN30:AP30" si="123">(AN11+AN17+AN21)*$A$56</f>
        <v>484</v>
      </c>
      <c r="AO30" s="24">
        <f t="shared" si="123"/>
        <v>484</v>
      </c>
      <c r="AP30" s="24">
        <f t="shared" si="123"/>
        <v>484</v>
      </c>
      <c r="AQ30" s="24">
        <f t="shared" ref="AQ30:BW30" si="124">(AQ11+AQ17+AQ21)*$A$56</f>
        <v>484</v>
      </c>
      <c r="AR30" s="24">
        <f t="shared" si="124"/>
        <v>484</v>
      </c>
      <c r="AS30" s="24">
        <f t="shared" si="124"/>
        <v>484</v>
      </c>
      <c r="AT30" s="24">
        <f t="shared" si="124"/>
        <v>484</v>
      </c>
      <c r="AU30" s="24">
        <f t="shared" si="124"/>
        <v>484</v>
      </c>
      <c r="AV30" s="24">
        <f t="shared" si="124"/>
        <v>484</v>
      </c>
      <c r="AW30" s="24">
        <f t="shared" si="124"/>
        <v>484</v>
      </c>
      <c r="AX30" s="24">
        <f t="shared" si="124"/>
        <v>484</v>
      </c>
      <c r="AY30" s="24">
        <f t="shared" si="124"/>
        <v>484</v>
      </c>
      <c r="AZ30" s="24">
        <f t="shared" si="124"/>
        <v>484</v>
      </c>
      <c r="BA30" s="24">
        <f t="shared" si="124"/>
        <v>484</v>
      </c>
      <c r="BB30" s="24">
        <f t="shared" si="124"/>
        <v>484</v>
      </c>
      <c r="BC30" s="24">
        <f t="shared" si="124"/>
        <v>484</v>
      </c>
      <c r="BD30" s="24">
        <f t="shared" si="124"/>
        <v>484</v>
      </c>
      <c r="BE30" s="24">
        <f t="shared" si="124"/>
        <v>484</v>
      </c>
      <c r="BF30" s="24">
        <f t="shared" si="124"/>
        <v>484</v>
      </c>
      <c r="BG30" s="24">
        <f t="shared" si="124"/>
        <v>484</v>
      </c>
      <c r="BH30" s="24">
        <f t="shared" si="124"/>
        <v>484</v>
      </c>
      <c r="BI30" s="24">
        <f t="shared" si="124"/>
        <v>484</v>
      </c>
      <c r="BJ30" s="24">
        <f t="shared" si="124"/>
        <v>484</v>
      </c>
      <c r="BK30" s="24">
        <f t="shared" si="124"/>
        <v>484</v>
      </c>
      <c r="BL30" s="24">
        <f t="shared" si="124"/>
        <v>484</v>
      </c>
      <c r="BM30" s="24">
        <f t="shared" si="124"/>
        <v>484</v>
      </c>
      <c r="BN30" s="24">
        <f t="shared" si="124"/>
        <v>484</v>
      </c>
      <c r="BO30" s="24">
        <f t="shared" si="124"/>
        <v>484</v>
      </c>
      <c r="BP30" s="24">
        <f t="shared" si="124"/>
        <v>484</v>
      </c>
      <c r="BQ30" s="24">
        <f t="shared" si="124"/>
        <v>484</v>
      </c>
      <c r="BR30" s="24">
        <f t="shared" si="124"/>
        <v>484</v>
      </c>
      <c r="BS30" s="24">
        <f t="shared" si="124"/>
        <v>484</v>
      </c>
      <c r="BT30" s="24">
        <f t="shared" si="124"/>
        <v>484</v>
      </c>
      <c r="BU30" s="24">
        <f t="shared" si="124"/>
        <v>484</v>
      </c>
      <c r="BV30" s="24">
        <f t="shared" si="124"/>
        <v>484</v>
      </c>
      <c r="BW30" s="24">
        <f t="shared" si="124"/>
        <v>484</v>
      </c>
    </row>
    <row r="31" spans="1:75" ht="18" x14ac:dyDescent="0.55000000000000004">
      <c r="A31" s="192" t="s">
        <v>146</v>
      </c>
      <c r="B31" s="176" t="s">
        <v>168</v>
      </c>
      <c r="M31" s="24">
        <f t="shared" ref="M31:AD31" si="125">-$A$58</f>
        <v>-350</v>
      </c>
      <c r="N31" s="24">
        <f t="shared" si="125"/>
        <v>-350</v>
      </c>
      <c r="O31" s="24">
        <f t="shared" si="125"/>
        <v>-350</v>
      </c>
      <c r="P31" s="24">
        <f t="shared" si="125"/>
        <v>-350</v>
      </c>
      <c r="Q31" s="24">
        <f t="shared" si="125"/>
        <v>-350</v>
      </c>
      <c r="R31" s="24">
        <f t="shared" si="125"/>
        <v>-350</v>
      </c>
      <c r="S31" s="24">
        <f t="shared" si="125"/>
        <v>-350</v>
      </c>
      <c r="T31" s="24">
        <f t="shared" si="125"/>
        <v>-350</v>
      </c>
      <c r="U31" s="24">
        <f t="shared" si="125"/>
        <v>-350</v>
      </c>
      <c r="V31" s="24">
        <f t="shared" si="125"/>
        <v>-350</v>
      </c>
      <c r="W31" s="24">
        <f t="shared" si="125"/>
        <v>-350</v>
      </c>
      <c r="X31" s="24">
        <f t="shared" si="125"/>
        <v>-350</v>
      </c>
      <c r="Y31" s="24">
        <f t="shared" si="125"/>
        <v>-350</v>
      </c>
      <c r="Z31" s="24">
        <f t="shared" si="125"/>
        <v>-350</v>
      </c>
      <c r="AA31" s="24">
        <f t="shared" si="125"/>
        <v>-350</v>
      </c>
      <c r="AB31" s="24">
        <f t="shared" si="125"/>
        <v>-350</v>
      </c>
      <c r="AC31" s="24">
        <f t="shared" si="125"/>
        <v>-350</v>
      </c>
      <c r="AD31" s="24">
        <f t="shared" si="125"/>
        <v>-350</v>
      </c>
      <c r="AE31" s="24">
        <v>-400</v>
      </c>
      <c r="AF31" s="24">
        <v>-400</v>
      </c>
      <c r="AG31" s="24">
        <v>-400</v>
      </c>
      <c r="AH31" s="24">
        <v>-420</v>
      </c>
      <c r="AI31" s="24">
        <v>-440</v>
      </c>
      <c r="AJ31" s="24">
        <v>-460</v>
      </c>
      <c r="AK31" s="24">
        <v>-459</v>
      </c>
      <c r="AL31" s="24">
        <v>-458</v>
      </c>
      <c r="AM31" s="24">
        <v>-457</v>
      </c>
      <c r="AN31" s="24">
        <v>-456</v>
      </c>
      <c r="AO31" s="24">
        <v>-455</v>
      </c>
      <c r="AP31" s="24">
        <v>-454</v>
      </c>
      <c r="AQ31" s="24">
        <v>-453</v>
      </c>
      <c r="AR31" s="24">
        <v>-452</v>
      </c>
      <c r="AS31" s="24">
        <v>-451</v>
      </c>
      <c r="AT31" s="24">
        <v>-450</v>
      </c>
      <c r="AU31" s="24">
        <v>-449</v>
      </c>
      <c r="AV31" s="24">
        <v>-448</v>
      </c>
      <c r="AW31" s="24">
        <v>-447</v>
      </c>
      <c r="AX31" s="24">
        <v>-446</v>
      </c>
      <c r="AY31" s="24">
        <v>-445</v>
      </c>
      <c r="AZ31" s="24">
        <v>-444</v>
      </c>
      <c r="BA31" s="24">
        <v>-443</v>
      </c>
      <c r="BB31" s="24">
        <v>-442</v>
      </c>
      <c r="BC31" s="24">
        <v>-441</v>
      </c>
      <c r="BD31" s="24">
        <v>-440</v>
      </c>
      <c r="BE31" s="24">
        <v>-439</v>
      </c>
      <c r="BF31" s="24">
        <v>-438</v>
      </c>
      <c r="BG31" s="24">
        <v>-437</v>
      </c>
      <c r="BH31" s="24">
        <v>-436</v>
      </c>
      <c r="BI31" s="24">
        <v>-435</v>
      </c>
      <c r="BJ31" s="24">
        <v>-434</v>
      </c>
      <c r="BK31" s="24">
        <v>-433</v>
      </c>
      <c r="BL31" s="24">
        <v>-432</v>
      </c>
      <c r="BM31" s="24">
        <v>-431</v>
      </c>
      <c r="BN31" s="24">
        <v>-430</v>
      </c>
      <c r="BO31" s="24">
        <v>-429</v>
      </c>
      <c r="BP31" s="24">
        <v>-428</v>
      </c>
      <c r="BQ31" s="24">
        <v>-427</v>
      </c>
      <c r="BR31" s="24">
        <v>-426</v>
      </c>
      <c r="BS31" s="24">
        <v>-425</v>
      </c>
      <c r="BT31" s="24">
        <v>-424</v>
      </c>
      <c r="BU31" s="24">
        <v>-423</v>
      </c>
      <c r="BV31" s="24">
        <v>-422</v>
      </c>
      <c r="BW31" s="24">
        <v>-421</v>
      </c>
    </row>
    <row r="32" spans="1:75" s="145" customFormat="1" ht="18" x14ac:dyDescent="0.55000000000000004">
      <c r="A32" s="195"/>
      <c r="B32" s="177" t="s">
        <v>169</v>
      </c>
      <c r="M32" s="170">
        <f>-A57</f>
        <v>-5000</v>
      </c>
    </row>
    <row r="33" spans="1:75" s="37" customFormat="1" ht="18" x14ac:dyDescent="0.55000000000000004">
      <c r="A33" s="192" t="s">
        <v>192</v>
      </c>
      <c r="B33" s="176"/>
    </row>
    <row r="34" spans="1:75" s="37" customFormat="1" ht="18" x14ac:dyDescent="0.55000000000000004">
      <c r="A34" s="192" t="s">
        <v>185</v>
      </c>
      <c r="B34" s="176" t="s">
        <v>182</v>
      </c>
      <c r="D34" s="37">
        <f t="shared" ref="D34:M35" si="126">-$A$59</f>
        <v>-25</v>
      </c>
      <c r="E34" s="37">
        <f t="shared" si="126"/>
        <v>-25</v>
      </c>
      <c r="F34" s="37">
        <f t="shared" si="126"/>
        <v>-25</v>
      </c>
      <c r="G34" s="37">
        <f t="shared" si="126"/>
        <v>-25</v>
      </c>
      <c r="H34" s="37">
        <f t="shared" si="126"/>
        <v>-25</v>
      </c>
      <c r="I34" s="37">
        <f t="shared" si="126"/>
        <v>-25</v>
      </c>
      <c r="J34" s="37">
        <f t="shared" si="126"/>
        <v>-25</v>
      </c>
      <c r="K34" s="37">
        <f t="shared" si="126"/>
        <v>-25</v>
      </c>
      <c r="L34" s="37">
        <f t="shared" si="126"/>
        <v>-25</v>
      </c>
      <c r="M34" s="37">
        <f t="shared" si="126"/>
        <v>-25</v>
      </c>
      <c r="N34" s="37">
        <f t="shared" ref="N34:W35" si="127">-$A$59</f>
        <v>-25</v>
      </c>
      <c r="O34" s="37">
        <f t="shared" si="127"/>
        <v>-25</v>
      </c>
      <c r="P34" s="37">
        <f t="shared" si="127"/>
        <v>-25</v>
      </c>
      <c r="Q34" s="37">
        <f t="shared" si="127"/>
        <v>-25</v>
      </c>
      <c r="R34" s="37">
        <f t="shared" si="127"/>
        <v>-25</v>
      </c>
      <c r="S34" s="37">
        <f t="shared" si="127"/>
        <v>-25</v>
      </c>
      <c r="T34" s="37">
        <f t="shared" si="127"/>
        <v>-25</v>
      </c>
      <c r="U34" s="37">
        <f t="shared" si="127"/>
        <v>-25</v>
      </c>
      <c r="V34" s="37">
        <f t="shared" si="127"/>
        <v>-25</v>
      </c>
      <c r="W34" s="37">
        <f t="shared" si="127"/>
        <v>-25</v>
      </c>
      <c r="X34" s="37">
        <f t="shared" ref="X34:AQ35" si="128">-$A$59</f>
        <v>-25</v>
      </c>
      <c r="Y34" s="37">
        <f t="shared" si="128"/>
        <v>-25</v>
      </c>
      <c r="Z34" s="37">
        <f t="shared" si="128"/>
        <v>-25</v>
      </c>
      <c r="AA34" s="37">
        <f t="shared" si="128"/>
        <v>-25</v>
      </c>
      <c r="AB34" s="37">
        <f t="shared" si="128"/>
        <v>-25</v>
      </c>
      <c r="AC34" s="37">
        <f t="shared" si="128"/>
        <v>-25</v>
      </c>
      <c r="AD34" s="37">
        <f t="shared" si="128"/>
        <v>-25</v>
      </c>
      <c r="AE34" s="37">
        <f t="shared" si="128"/>
        <v>-25</v>
      </c>
      <c r="AF34" s="37">
        <f t="shared" si="128"/>
        <v>-25</v>
      </c>
      <c r="AG34" s="37">
        <f t="shared" si="128"/>
        <v>-25</v>
      </c>
      <c r="AH34" s="37">
        <f t="shared" si="128"/>
        <v>-25</v>
      </c>
      <c r="AI34" s="37">
        <f t="shared" si="128"/>
        <v>-25</v>
      </c>
      <c r="AJ34" s="37">
        <f t="shared" si="128"/>
        <v>-25</v>
      </c>
      <c r="AK34" s="37">
        <f t="shared" si="128"/>
        <v>-25</v>
      </c>
      <c r="AL34" s="37">
        <f t="shared" si="128"/>
        <v>-25</v>
      </c>
      <c r="AM34" s="37">
        <f t="shared" si="128"/>
        <v>-25</v>
      </c>
      <c r="AN34" s="37">
        <f t="shared" si="128"/>
        <v>-25</v>
      </c>
      <c r="AO34" s="37">
        <f t="shared" si="128"/>
        <v>-25</v>
      </c>
      <c r="AP34" s="37">
        <f t="shared" ref="AO34:BD35" si="129">-$A$59</f>
        <v>-25</v>
      </c>
      <c r="AQ34" s="37">
        <f t="shared" si="128"/>
        <v>-25</v>
      </c>
      <c r="AR34" s="37">
        <f t="shared" si="129"/>
        <v>-25</v>
      </c>
      <c r="AS34" s="37">
        <f t="shared" si="129"/>
        <v>-25</v>
      </c>
      <c r="AT34" s="37">
        <f t="shared" si="129"/>
        <v>-25</v>
      </c>
      <c r="AU34" s="37">
        <f t="shared" si="129"/>
        <v>-25</v>
      </c>
      <c r="AV34" s="37">
        <f t="shared" si="129"/>
        <v>-25</v>
      </c>
      <c r="AW34" s="37">
        <f t="shared" si="129"/>
        <v>-25</v>
      </c>
      <c r="AX34" s="37">
        <f t="shared" si="129"/>
        <v>-25</v>
      </c>
      <c r="AY34" s="37">
        <f t="shared" si="129"/>
        <v>-25</v>
      </c>
      <c r="AZ34" s="37">
        <f t="shared" si="129"/>
        <v>-25</v>
      </c>
      <c r="BA34" s="37">
        <f t="shared" si="129"/>
        <v>-25</v>
      </c>
      <c r="BB34" s="37">
        <f t="shared" si="129"/>
        <v>-25</v>
      </c>
      <c r="BC34" s="37">
        <f t="shared" si="129"/>
        <v>-25</v>
      </c>
      <c r="BD34" s="37">
        <f t="shared" si="129"/>
        <v>-25</v>
      </c>
      <c r="BE34" s="37">
        <f t="shared" ref="AQ34:BW36" si="130">-$A$59</f>
        <v>-25</v>
      </c>
      <c r="BF34" s="37">
        <f t="shared" si="130"/>
        <v>-25</v>
      </c>
      <c r="BG34" s="37">
        <f t="shared" si="130"/>
        <v>-25</v>
      </c>
      <c r="BH34" s="37">
        <f t="shared" si="130"/>
        <v>-25</v>
      </c>
      <c r="BI34" s="37">
        <f t="shared" si="130"/>
        <v>-25</v>
      </c>
      <c r="BJ34" s="37">
        <f t="shared" si="130"/>
        <v>-25</v>
      </c>
      <c r="BK34" s="37">
        <f t="shared" si="130"/>
        <v>-25</v>
      </c>
      <c r="BL34" s="37">
        <f t="shared" si="130"/>
        <v>-25</v>
      </c>
      <c r="BM34" s="37">
        <f t="shared" si="130"/>
        <v>-25</v>
      </c>
      <c r="BN34" s="37">
        <f t="shared" si="130"/>
        <v>-25</v>
      </c>
      <c r="BO34" s="37">
        <f t="shared" si="130"/>
        <v>-25</v>
      </c>
      <c r="BP34" s="37">
        <f t="shared" si="130"/>
        <v>-25</v>
      </c>
      <c r="BQ34" s="37">
        <f t="shared" si="130"/>
        <v>-25</v>
      </c>
      <c r="BR34" s="37">
        <f t="shared" si="130"/>
        <v>-25</v>
      </c>
      <c r="BS34" s="37">
        <f t="shared" si="130"/>
        <v>-25</v>
      </c>
      <c r="BT34" s="37">
        <f t="shared" si="130"/>
        <v>-25</v>
      </c>
      <c r="BU34" s="37">
        <f t="shared" si="130"/>
        <v>-25</v>
      </c>
      <c r="BV34" s="37">
        <f t="shared" si="130"/>
        <v>-25</v>
      </c>
      <c r="BW34" s="37">
        <f t="shared" si="130"/>
        <v>-25</v>
      </c>
    </row>
    <row r="35" spans="1:75" s="37" customFormat="1" ht="18" x14ac:dyDescent="0.55000000000000004">
      <c r="A35" s="192" t="s">
        <v>185</v>
      </c>
      <c r="B35" s="176" t="s">
        <v>183</v>
      </c>
      <c r="D35" s="37">
        <f t="shared" si="126"/>
        <v>-25</v>
      </c>
      <c r="E35" s="37">
        <f t="shared" si="126"/>
        <v>-25</v>
      </c>
      <c r="F35" s="37">
        <f t="shared" si="126"/>
        <v>-25</v>
      </c>
      <c r="G35" s="37">
        <f t="shared" si="126"/>
        <v>-25</v>
      </c>
      <c r="H35" s="37">
        <f t="shared" si="126"/>
        <v>-25</v>
      </c>
      <c r="I35" s="37">
        <f t="shared" si="126"/>
        <v>-25</v>
      </c>
      <c r="J35" s="37">
        <f t="shared" si="126"/>
        <v>-25</v>
      </c>
      <c r="K35" s="37">
        <f t="shared" si="126"/>
        <v>-25</v>
      </c>
      <c r="L35" s="37">
        <f t="shared" si="126"/>
        <v>-25</v>
      </c>
      <c r="M35" s="37">
        <f t="shared" si="126"/>
        <v>-25</v>
      </c>
      <c r="N35" s="37">
        <f t="shared" si="127"/>
        <v>-25</v>
      </c>
      <c r="O35" s="37">
        <f t="shared" si="127"/>
        <v>-25</v>
      </c>
      <c r="P35" s="37">
        <f t="shared" si="127"/>
        <v>-25</v>
      </c>
      <c r="Q35" s="37">
        <f t="shared" si="127"/>
        <v>-25</v>
      </c>
      <c r="R35" s="37">
        <f t="shared" si="127"/>
        <v>-25</v>
      </c>
      <c r="S35" s="37">
        <f t="shared" si="127"/>
        <v>-25</v>
      </c>
      <c r="T35" s="37">
        <f t="shared" si="127"/>
        <v>-25</v>
      </c>
      <c r="U35" s="37">
        <f t="shared" si="127"/>
        <v>-25</v>
      </c>
      <c r="V35" s="37">
        <f t="shared" si="127"/>
        <v>-25</v>
      </c>
      <c r="W35" s="37">
        <f t="shared" si="127"/>
        <v>-25</v>
      </c>
      <c r="X35" s="37">
        <f t="shared" si="128"/>
        <v>-25</v>
      </c>
      <c r="Y35" s="37">
        <f t="shared" si="128"/>
        <v>-25</v>
      </c>
      <c r="Z35" s="37">
        <f t="shared" si="128"/>
        <v>-25</v>
      </c>
      <c r="AA35" s="37">
        <f t="shared" si="128"/>
        <v>-25</v>
      </c>
      <c r="AB35" s="37">
        <f t="shared" si="128"/>
        <v>-25</v>
      </c>
      <c r="AC35" s="37">
        <f t="shared" si="128"/>
        <v>-25</v>
      </c>
      <c r="AD35" s="37">
        <f t="shared" si="128"/>
        <v>-25</v>
      </c>
      <c r="AE35" s="37">
        <f t="shared" si="128"/>
        <v>-25</v>
      </c>
      <c r="AF35" s="37">
        <f t="shared" si="128"/>
        <v>-25</v>
      </c>
      <c r="AG35" s="37">
        <f t="shared" si="128"/>
        <v>-25</v>
      </c>
      <c r="AH35" s="37">
        <f t="shared" si="128"/>
        <v>-25</v>
      </c>
      <c r="AI35" s="37">
        <f t="shared" si="128"/>
        <v>-25</v>
      </c>
      <c r="AJ35" s="37">
        <f t="shared" si="128"/>
        <v>-25</v>
      </c>
      <c r="AK35" s="37">
        <f t="shared" si="128"/>
        <v>-25</v>
      </c>
      <c r="AL35" s="37">
        <f t="shared" si="128"/>
        <v>-25</v>
      </c>
      <c r="AM35" s="37">
        <f t="shared" si="128"/>
        <v>-25</v>
      </c>
      <c r="AN35" s="37">
        <f t="shared" si="128"/>
        <v>-25</v>
      </c>
      <c r="AO35" s="37">
        <f t="shared" si="129"/>
        <v>-25</v>
      </c>
      <c r="AP35" s="37">
        <f t="shared" si="129"/>
        <v>-25</v>
      </c>
      <c r="AQ35" s="37">
        <f t="shared" si="130"/>
        <v>-25</v>
      </c>
      <c r="AR35" s="37">
        <f t="shared" si="130"/>
        <v>-25</v>
      </c>
      <c r="AS35" s="37">
        <f t="shared" si="130"/>
        <v>-25</v>
      </c>
      <c r="AT35" s="37">
        <f t="shared" si="130"/>
        <v>-25</v>
      </c>
      <c r="AU35" s="37">
        <f t="shared" si="130"/>
        <v>-25</v>
      </c>
      <c r="AV35" s="37">
        <f t="shared" si="130"/>
        <v>-25</v>
      </c>
      <c r="AW35" s="37">
        <f t="shared" si="130"/>
        <v>-25</v>
      </c>
      <c r="AX35" s="37">
        <f t="shared" si="130"/>
        <v>-25</v>
      </c>
      <c r="AY35" s="37">
        <f t="shared" si="130"/>
        <v>-25</v>
      </c>
      <c r="AZ35" s="37">
        <f t="shared" si="130"/>
        <v>-25</v>
      </c>
      <c r="BA35" s="37">
        <f t="shared" si="130"/>
        <v>-25</v>
      </c>
      <c r="BB35" s="37">
        <f t="shared" si="130"/>
        <v>-25</v>
      </c>
      <c r="BC35" s="37">
        <f t="shared" si="130"/>
        <v>-25</v>
      </c>
      <c r="BD35" s="37">
        <f t="shared" si="130"/>
        <v>-25</v>
      </c>
      <c r="BE35" s="37">
        <f t="shared" si="130"/>
        <v>-25</v>
      </c>
      <c r="BF35" s="37">
        <f t="shared" si="130"/>
        <v>-25</v>
      </c>
      <c r="BG35" s="37">
        <f t="shared" si="130"/>
        <v>-25</v>
      </c>
      <c r="BH35" s="37">
        <f t="shared" si="130"/>
        <v>-25</v>
      </c>
      <c r="BI35" s="37">
        <f t="shared" si="130"/>
        <v>-25</v>
      </c>
      <c r="BJ35" s="37">
        <f t="shared" si="130"/>
        <v>-25</v>
      </c>
      <c r="BK35" s="37">
        <f t="shared" si="130"/>
        <v>-25</v>
      </c>
      <c r="BL35" s="37">
        <f t="shared" si="130"/>
        <v>-25</v>
      </c>
      <c r="BM35" s="37">
        <f t="shared" si="130"/>
        <v>-25</v>
      </c>
      <c r="BN35" s="37">
        <f t="shared" si="130"/>
        <v>-25</v>
      </c>
      <c r="BO35" s="37">
        <f t="shared" si="130"/>
        <v>-25</v>
      </c>
      <c r="BP35" s="37">
        <f t="shared" si="130"/>
        <v>-25</v>
      </c>
      <c r="BQ35" s="37">
        <f t="shared" si="130"/>
        <v>-25</v>
      </c>
      <c r="BR35" s="37">
        <f t="shared" si="130"/>
        <v>-25</v>
      </c>
      <c r="BS35" s="37">
        <f t="shared" si="130"/>
        <v>-25</v>
      </c>
      <c r="BT35" s="37">
        <f t="shared" si="130"/>
        <v>-25</v>
      </c>
      <c r="BU35" s="37">
        <f t="shared" si="130"/>
        <v>-25</v>
      </c>
      <c r="BV35" s="37">
        <f t="shared" si="130"/>
        <v>-25</v>
      </c>
      <c r="BW35" s="37">
        <f t="shared" si="130"/>
        <v>-25</v>
      </c>
    </row>
    <row r="36" spans="1:75" s="52" customFormat="1" ht="18" x14ac:dyDescent="0.55000000000000004">
      <c r="A36" s="195" t="s">
        <v>185</v>
      </c>
      <c r="B36" s="177" t="s">
        <v>184</v>
      </c>
      <c r="G36" s="52">
        <f t="shared" ref="G36:BR36" si="131">-$A$59</f>
        <v>-25</v>
      </c>
      <c r="H36" s="52">
        <f t="shared" si="131"/>
        <v>-25</v>
      </c>
      <c r="I36" s="52">
        <f t="shared" si="131"/>
        <v>-25</v>
      </c>
      <c r="J36" s="52">
        <f t="shared" si="131"/>
        <v>-25</v>
      </c>
      <c r="K36" s="52">
        <f t="shared" si="131"/>
        <v>-25</v>
      </c>
      <c r="L36" s="52">
        <f t="shared" si="131"/>
        <v>-25</v>
      </c>
      <c r="M36" s="52">
        <f t="shared" si="131"/>
        <v>-25</v>
      </c>
      <c r="N36" s="52">
        <f t="shared" si="131"/>
        <v>-25</v>
      </c>
      <c r="O36" s="52">
        <f t="shared" si="131"/>
        <v>-25</v>
      </c>
      <c r="P36" s="52">
        <f t="shared" si="131"/>
        <v>-25</v>
      </c>
      <c r="Q36" s="52">
        <f t="shared" si="131"/>
        <v>-25</v>
      </c>
      <c r="R36" s="52">
        <f t="shared" si="131"/>
        <v>-25</v>
      </c>
      <c r="S36" s="52">
        <f t="shared" si="131"/>
        <v>-25</v>
      </c>
      <c r="T36" s="52">
        <f t="shared" si="131"/>
        <v>-25</v>
      </c>
      <c r="U36" s="52">
        <f t="shared" si="131"/>
        <v>-25</v>
      </c>
      <c r="V36" s="52">
        <f t="shared" si="131"/>
        <v>-25</v>
      </c>
      <c r="W36" s="52">
        <f t="shared" si="131"/>
        <v>-25</v>
      </c>
      <c r="X36" s="52">
        <f t="shared" si="131"/>
        <v>-25</v>
      </c>
      <c r="Y36" s="52">
        <f t="shared" si="131"/>
        <v>-25</v>
      </c>
      <c r="Z36" s="52">
        <f t="shared" si="131"/>
        <v>-25</v>
      </c>
      <c r="AA36" s="52">
        <f t="shared" si="131"/>
        <v>-25</v>
      </c>
      <c r="AB36" s="52">
        <f t="shared" si="131"/>
        <v>-25</v>
      </c>
      <c r="AC36" s="52">
        <f t="shared" si="131"/>
        <v>-25</v>
      </c>
      <c r="AD36" s="52">
        <f t="shared" si="131"/>
        <v>-25</v>
      </c>
      <c r="AE36" s="52">
        <f t="shared" si="131"/>
        <v>-25</v>
      </c>
      <c r="AF36" s="52">
        <f t="shared" si="131"/>
        <v>-25</v>
      </c>
      <c r="AG36" s="52">
        <f t="shared" si="131"/>
        <v>-25</v>
      </c>
      <c r="AH36" s="52">
        <f t="shared" si="131"/>
        <v>-25</v>
      </c>
      <c r="AI36" s="52">
        <f t="shared" si="131"/>
        <v>-25</v>
      </c>
      <c r="AJ36" s="52">
        <f t="shared" si="131"/>
        <v>-25</v>
      </c>
      <c r="AK36" s="52">
        <f t="shared" si="131"/>
        <v>-25</v>
      </c>
      <c r="AL36" s="52">
        <f t="shared" si="131"/>
        <v>-25</v>
      </c>
      <c r="AM36" s="52">
        <f t="shared" si="131"/>
        <v>-25</v>
      </c>
      <c r="AN36" s="52">
        <f t="shared" si="131"/>
        <v>-25</v>
      </c>
      <c r="AO36" s="52">
        <f t="shared" si="131"/>
        <v>-25</v>
      </c>
      <c r="AP36" s="52">
        <f t="shared" si="131"/>
        <v>-25</v>
      </c>
      <c r="AQ36" s="52">
        <f t="shared" si="131"/>
        <v>-25</v>
      </c>
      <c r="AR36" s="52">
        <f t="shared" si="131"/>
        <v>-25</v>
      </c>
      <c r="AS36" s="52">
        <f t="shared" si="131"/>
        <v>-25</v>
      </c>
      <c r="AT36" s="52">
        <f t="shared" si="131"/>
        <v>-25</v>
      </c>
      <c r="AU36" s="52">
        <f t="shared" si="131"/>
        <v>-25</v>
      </c>
      <c r="AV36" s="52">
        <f t="shared" si="131"/>
        <v>-25</v>
      </c>
      <c r="AW36" s="52">
        <f t="shared" si="131"/>
        <v>-25</v>
      </c>
      <c r="AX36" s="52">
        <f t="shared" si="131"/>
        <v>-25</v>
      </c>
      <c r="AY36" s="52">
        <f t="shared" si="131"/>
        <v>-25</v>
      </c>
      <c r="AZ36" s="52">
        <f t="shared" si="131"/>
        <v>-25</v>
      </c>
      <c r="BA36" s="52">
        <f t="shared" si="131"/>
        <v>-25</v>
      </c>
      <c r="BB36" s="52">
        <f t="shared" si="131"/>
        <v>-25</v>
      </c>
      <c r="BC36" s="52">
        <f t="shared" si="131"/>
        <v>-25</v>
      </c>
      <c r="BD36" s="52">
        <f t="shared" si="131"/>
        <v>-25</v>
      </c>
      <c r="BE36" s="52">
        <f t="shared" si="131"/>
        <v>-25</v>
      </c>
      <c r="BF36" s="52">
        <f t="shared" si="131"/>
        <v>-25</v>
      </c>
      <c r="BG36" s="52">
        <f t="shared" si="131"/>
        <v>-25</v>
      </c>
      <c r="BH36" s="52">
        <f t="shared" si="131"/>
        <v>-25</v>
      </c>
      <c r="BI36" s="52">
        <f t="shared" si="131"/>
        <v>-25</v>
      </c>
      <c r="BJ36" s="52">
        <f t="shared" si="131"/>
        <v>-25</v>
      </c>
      <c r="BK36" s="52">
        <f t="shared" si="131"/>
        <v>-25</v>
      </c>
      <c r="BL36" s="52">
        <f t="shared" si="131"/>
        <v>-25</v>
      </c>
      <c r="BM36" s="52">
        <f t="shared" si="131"/>
        <v>-25</v>
      </c>
      <c r="BN36" s="52">
        <f t="shared" si="131"/>
        <v>-25</v>
      </c>
      <c r="BO36" s="52">
        <f t="shared" si="131"/>
        <v>-25</v>
      </c>
      <c r="BP36" s="52">
        <f t="shared" si="131"/>
        <v>-25</v>
      </c>
      <c r="BQ36" s="52">
        <f t="shared" si="131"/>
        <v>-25</v>
      </c>
      <c r="BR36" s="52">
        <f t="shared" si="131"/>
        <v>-25</v>
      </c>
      <c r="BS36" s="52">
        <f t="shared" si="130"/>
        <v>-25</v>
      </c>
      <c r="BT36" s="52">
        <f t="shared" si="130"/>
        <v>-25</v>
      </c>
      <c r="BU36" s="52">
        <f t="shared" si="130"/>
        <v>-25</v>
      </c>
      <c r="BV36" s="52">
        <f t="shared" si="130"/>
        <v>-25</v>
      </c>
      <c r="BW36" s="52">
        <f t="shared" si="130"/>
        <v>-25</v>
      </c>
    </row>
    <row r="37" spans="1:75" s="52" customFormat="1" ht="18" x14ac:dyDescent="0.55000000000000004">
      <c r="A37" s="192" t="s">
        <v>147</v>
      </c>
      <c r="B37" s="176" t="s">
        <v>397</v>
      </c>
    </row>
    <row r="38" spans="1:75" s="52" customFormat="1" ht="18" x14ac:dyDescent="0.55000000000000004">
      <c r="A38" s="192" t="s">
        <v>147</v>
      </c>
      <c r="B38" s="177" t="s">
        <v>398</v>
      </c>
    </row>
    <row r="39" spans="1:75" s="145" customFormat="1" ht="18" x14ac:dyDescent="0.55000000000000004">
      <c r="A39" s="197" t="s">
        <v>288</v>
      </c>
      <c r="B39" s="183"/>
      <c r="D39" s="145">
        <f t="shared" ref="D39:AM39" si="132">-SUMIF(D11:D32, "&gt;=0")*$A$63</f>
        <v>-33</v>
      </c>
      <c r="E39" s="145">
        <f t="shared" si="132"/>
        <v>-33</v>
      </c>
      <c r="F39" s="145">
        <f t="shared" si="132"/>
        <v>-33</v>
      </c>
      <c r="G39" s="145">
        <f t="shared" si="132"/>
        <v>-52.8</v>
      </c>
      <c r="H39" s="145">
        <f t="shared" si="132"/>
        <v>-52.8</v>
      </c>
      <c r="I39" s="145">
        <f t="shared" si="132"/>
        <v>-52.8</v>
      </c>
      <c r="J39" s="145">
        <f t="shared" si="132"/>
        <v>-72.599999999999994</v>
      </c>
      <c r="K39" s="145">
        <f t="shared" si="132"/>
        <v>-72.599999999999994</v>
      </c>
      <c r="L39" s="145">
        <f t="shared" si="132"/>
        <v>-72.599999999999994</v>
      </c>
      <c r="M39" s="145">
        <f t="shared" si="132"/>
        <v>-87.11999999999999</v>
      </c>
      <c r="N39" s="145">
        <f t="shared" si="132"/>
        <v>-87.11999999999999</v>
      </c>
      <c r="O39" s="145">
        <f t="shared" si="132"/>
        <v>-87.11999999999999</v>
      </c>
      <c r="P39" s="145">
        <f t="shared" si="132"/>
        <v>-87.11999999999999</v>
      </c>
      <c r="Q39" s="145">
        <f t="shared" si="132"/>
        <v>-87.11999999999999</v>
      </c>
      <c r="R39" s="145">
        <f t="shared" si="132"/>
        <v>-87.11999999999999</v>
      </c>
      <c r="S39" s="145">
        <f t="shared" si="132"/>
        <v>-106.92</v>
      </c>
      <c r="T39" s="145">
        <f t="shared" si="132"/>
        <v>-106.92</v>
      </c>
      <c r="U39" s="145">
        <f t="shared" si="132"/>
        <v>-106.92</v>
      </c>
      <c r="V39" s="145">
        <f t="shared" si="132"/>
        <v>-106.92</v>
      </c>
      <c r="W39" s="145">
        <f t="shared" si="132"/>
        <v>-106.92</v>
      </c>
      <c r="X39" s="145">
        <f t="shared" si="132"/>
        <v>-106.92</v>
      </c>
      <c r="Y39" s="145">
        <f t="shared" si="132"/>
        <v>-127.92</v>
      </c>
      <c r="Z39" s="145">
        <f t="shared" si="132"/>
        <v>-127.92</v>
      </c>
      <c r="AA39" s="145">
        <f t="shared" si="132"/>
        <v>-127.92</v>
      </c>
      <c r="AB39" s="145">
        <f t="shared" si="132"/>
        <v>-127.92</v>
      </c>
      <c r="AC39" s="145">
        <f t="shared" si="132"/>
        <v>-127.92</v>
      </c>
      <c r="AD39" s="145">
        <f t="shared" si="132"/>
        <v>-127.92</v>
      </c>
      <c r="AE39" s="145">
        <f t="shared" si="132"/>
        <v>-130.01999999999998</v>
      </c>
      <c r="AF39" s="145">
        <f t="shared" si="132"/>
        <v>-130.01999999999998</v>
      </c>
      <c r="AG39" s="145">
        <f t="shared" si="132"/>
        <v>-130.01999999999998</v>
      </c>
      <c r="AH39" s="145">
        <f t="shared" si="132"/>
        <v>-130.01999999999998</v>
      </c>
      <c r="AI39" s="145">
        <f t="shared" si="132"/>
        <v>-130.01999999999998</v>
      </c>
      <c r="AJ39" s="145">
        <f t="shared" si="132"/>
        <v>-130.01999999999998</v>
      </c>
      <c r="AK39" s="145">
        <f t="shared" si="132"/>
        <v>-130.01999999999998</v>
      </c>
      <c r="AL39" s="145">
        <f t="shared" si="132"/>
        <v>-130.01999999999998</v>
      </c>
      <c r="AM39" s="145">
        <f t="shared" si="132"/>
        <v>-130.01999999999998</v>
      </c>
      <c r="AN39" s="145">
        <f t="shared" ref="AN39:AP39" si="133">-SUMIF(AN11:AN32, "&gt;=0")*$A$63</f>
        <v>-130.01999999999998</v>
      </c>
      <c r="AO39" s="145">
        <f t="shared" si="133"/>
        <v>-130.01999999999998</v>
      </c>
      <c r="AP39" s="145">
        <f t="shared" si="133"/>
        <v>-130.01999999999998</v>
      </c>
      <c r="AQ39" s="145">
        <f t="shared" ref="AQ39:BW39" si="134">-SUMIF(AQ11:AQ32, "&gt;=0")*$A$63</f>
        <v>-130.01999999999998</v>
      </c>
      <c r="AR39" s="145">
        <f t="shared" si="134"/>
        <v>-130.01999999999998</v>
      </c>
      <c r="AS39" s="145">
        <f t="shared" si="134"/>
        <v>-130.01999999999998</v>
      </c>
      <c r="AT39" s="145">
        <f t="shared" si="134"/>
        <v>-130.01999999999998</v>
      </c>
      <c r="AU39" s="145">
        <f t="shared" si="134"/>
        <v>-130.01999999999998</v>
      </c>
      <c r="AV39" s="145">
        <f t="shared" si="134"/>
        <v>-130.01999999999998</v>
      </c>
      <c r="AW39" s="145">
        <f t="shared" si="134"/>
        <v>-130.01999999999998</v>
      </c>
      <c r="AX39" s="145">
        <f t="shared" si="134"/>
        <v>-130.01999999999998</v>
      </c>
      <c r="AY39" s="145">
        <f t="shared" si="134"/>
        <v>-130.01999999999998</v>
      </c>
      <c r="AZ39" s="145">
        <f t="shared" si="134"/>
        <v>-130.01999999999998</v>
      </c>
      <c r="BA39" s="145">
        <f t="shared" si="134"/>
        <v>-130.01999999999998</v>
      </c>
      <c r="BB39" s="145">
        <f t="shared" si="134"/>
        <v>-130.01999999999998</v>
      </c>
      <c r="BC39" s="145">
        <f t="shared" si="134"/>
        <v>-130.01999999999998</v>
      </c>
      <c r="BD39" s="145">
        <f t="shared" si="134"/>
        <v>-130.01999999999998</v>
      </c>
      <c r="BE39" s="145">
        <f t="shared" si="134"/>
        <v>-130.01999999999998</v>
      </c>
      <c r="BF39" s="145">
        <f t="shared" si="134"/>
        <v>-130.01999999999998</v>
      </c>
      <c r="BG39" s="145">
        <f t="shared" si="134"/>
        <v>-130.01999999999998</v>
      </c>
      <c r="BH39" s="145">
        <f t="shared" si="134"/>
        <v>-130.01999999999998</v>
      </c>
      <c r="BI39" s="145">
        <f t="shared" si="134"/>
        <v>-130.01999999999998</v>
      </c>
      <c r="BJ39" s="145">
        <f t="shared" si="134"/>
        <v>-130.01999999999998</v>
      </c>
      <c r="BK39" s="145">
        <f t="shared" si="134"/>
        <v>-130.01999999999998</v>
      </c>
      <c r="BL39" s="145">
        <f t="shared" si="134"/>
        <v>-130.01999999999998</v>
      </c>
      <c r="BM39" s="145">
        <f t="shared" si="134"/>
        <v>-130.01999999999998</v>
      </c>
      <c r="BN39" s="145">
        <f t="shared" si="134"/>
        <v>-130.01999999999998</v>
      </c>
      <c r="BO39" s="145">
        <f t="shared" si="134"/>
        <v>-130.01999999999998</v>
      </c>
      <c r="BP39" s="145">
        <f t="shared" si="134"/>
        <v>-130.01999999999998</v>
      </c>
      <c r="BQ39" s="145">
        <f t="shared" si="134"/>
        <v>-130.01999999999998</v>
      </c>
      <c r="BR39" s="145">
        <f t="shared" si="134"/>
        <v>-130.01999999999998</v>
      </c>
      <c r="BS39" s="145">
        <f t="shared" si="134"/>
        <v>-130.01999999999998</v>
      </c>
      <c r="BT39" s="145">
        <f t="shared" si="134"/>
        <v>-130.01999999999998</v>
      </c>
      <c r="BU39" s="145">
        <f t="shared" si="134"/>
        <v>-130.01999999999998</v>
      </c>
      <c r="BV39" s="145">
        <f t="shared" si="134"/>
        <v>-130.01999999999998</v>
      </c>
      <c r="BW39" s="145">
        <f t="shared" si="134"/>
        <v>-130.01999999999998</v>
      </c>
    </row>
    <row r="40" spans="1:75" x14ac:dyDescent="0.45">
      <c r="A40" s="23"/>
      <c r="B40" s="178"/>
    </row>
    <row r="41" spans="1:75" ht="14.65" thickBot="1" x14ac:dyDescent="0.5">
      <c r="B41" s="154"/>
    </row>
    <row r="42" spans="1:75" ht="29.65" thickBot="1" x14ac:dyDescent="0.6">
      <c r="A42" s="198" t="str" cm="1">
        <f t="array" ref="A42">SUM(COUNTIF(A11:A36, {"📜","👤"})) &amp; "/13 Permessi"</f>
        <v>13/13 Permessi</v>
      </c>
      <c r="C42" s="25" t="s">
        <v>119</v>
      </c>
      <c r="L42" s="24" t="s">
        <v>205</v>
      </c>
      <c r="S42" s="24" t="s">
        <v>228</v>
      </c>
      <c r="V42" s="24" t="s">
        <v>264</v>
      </c>
      <c r="AB42" s="24" t="s">
        <v>304</v>
      </c>
      <c r="AJ42" s="24" t="s">
        <v>400</v>
      </c>
      <c r="AK42" s="24">
        <v>-100</v>
      </c>
    </row>
    <row r="43" spans="1:75" x14ac:dyDescent="0.45">
      <c r="C43" s="24">
        <v>5000</v>
      </c>
      <c r="L43" s="24">
        <v>-400</v>
      </c>
      <c r="S43" s="24">
        <v>-500</v>
      </c>
      <c r="V43" s="24">
        <v>-500</v>
      </c>
      <c r="X43" s="24" t="s">
        <v>306</v>
      </c>
      <c r="Y43" s="24">
        <v>-830</v>
      </c>
      <c r="Z43" s="24">
        <v>-830</v>
      </c>
      <c r="AA43" s="24">
        <v>-830</v>
      </c>
      <c r="AB43" s="24">
        <v>-100</v>
      </c>
      <c r="AD43" s="24" t="s">
        <v>272</v>
      </c>
      <c r="AE43" s="24">
        <v>300</v>
      </c>
      <c r="AG43" s="24" t="s">
        <v>368</v>
      </c>
      <c r="AH43" s="24">
        <v>5</v>
      </c>
      <c r="AL43" s="115" t="s">
        <v>401</v>
      </c>
      <c r="AM43" s="24">
        <v>50</v>
      </c>
      <c r="AN43" s="24">
        <v>50</v>
      </c>
    </row>
    <row r="44" spans="1:75" x14ac:dyDescent="0.45">
      <c r="AK44" s="24" t="s">
        <v>402</v>
      </c>
      <c r="AL44" s="24">
        <v>-100</v>
      </c>
      <c r="AM44" s="24">
        <v>-100</v>
      </c>
      <c r="AN44" s="24">
        <v>-100</v>
      </c>
    </row>
    <row r="45" spans="1:75" ht="57" x14ac:dyDescent="0.45">
      <c r="C45" s="24" t="s">
        <v>110</v>
      </c>
      <c r="D45" s="24" t="s">
        <v>114</v>
      </c>
      <c r="J45" s="24" t="s">
        <v>201</v>
      </c>
      <c r="M45" s="25" t="s">
        <v>207</v>
      </c>
      <c r="P45" s="24" t="s">
        <v>216</v>
      </c>
      <c r="Y45" s="24" t="s">
        <v>290</v>
      </c>
      <c r="AD45" s="24" t="s">
        <v>344</v>
      </c>
      <c r="AE45" s="24">
        <v>-200</v>
      </c>
      <c r="AF45" s="24">
        <v>-200</v>
      </c>
      <c r="AG45" s="24">
        <v>-150</v>
      </c>
      <c r="AH45" s="24">
        <v>-200</v>
      </c>
      <c r="AI45" s="24">
        <v>-200</v>
      </c>
      <c r="AJ45" s="24">
        <v>-200</v>
      </c>
      <c r="AO45" s="24" t="s">
        <v>407</v>
      </c>
    </row>
    <row r="46" spans="1:75" x14ac:dyDescent="0.45">
      <c r="C46" s="109">
        <v>-230</v>
      </c>
      <c r="D46" s="109">
        <v>-500</v>
      </c>
      <c r="J46" s="24">
        <v>-1000</v>
      </c>
      <c r="M46" s="109">
        <v>-120</v>
      </c>
      <c r="P46" s="24">
        <v>-100</v>
      </c>
      <c r="Y46" s="24">
        <v>-200</v>
      </c>
    </row>
    <row r="48" spans="1:75" ht="28.5" x14ac:dyDescent="0.45">
      <c r="D48" s="24" t="s">
        <v>118</v>
      </c>
      <c r="J48" s="25" t="s">
        <v>208</v>
      </c>
      <c r="K48" s="25" t="s">
        <v>208</v>
      </c>
      <c r="M48" s="24" t="s">
        <v>206</v>
      </c>
      <c r="X48" s="24" t="s">
        <v>305</v>
      </c>
      <c r="Y48" s="24">
        <f t="shared" ref="Y48:AA48" si="135">-27500/9</f>
        <v>-3055.5555555555557</v>
      </c>
      <c r="Z48" s="24">
        <f t="shared" si="135"/>
        <v>-3055.5555555555557</v>
      </c>
      <c r="AA48" s="24">
        <f t="shared" si="135"/>
        <v>-3055.5555555555557</v>
      </c>
      <c r="AB48" s="24">
        <f>-27500/9</f>
        <v>-3055.5555555555557</v>
      </c>
      <c r="AC48" s="24">
        <f t="shared" ref="AC48:AG48" si="136">-27500/9</f>
        <v>-3055.5555555555557</v>
      </c>
      <c r="AD48" s="24">
        <f t="shared" si="136"/>
        <v>-3055.5555555555557</v>
      </c>
      <c r="AE48" s="24">
        <f>-27500/9</f>
        <v>-3055.5555555555557</v>
      </c>
      <c r="AF48" s="24">
        <f t="shared" si="136"/>
        <v>-3055.5555555555557</v>
      </c>
      <c r="AG48" s="24">
        <f t="shared" si="136"/>
        <v>-3055.5555555555557</v>
      </c>
      <c r="AH48" s="24" t="s">
        <v>369</v>
      </c>
      <c r="AI48" s="24">
        <v>-300</v>
      </c>
    </row>
    <row r="49" spans="1:36" x14ac:dyDescent="0.45">
      <c r="D49" s="24">
        <v>-60</v>
      </c>
      <c r="J49" s="24">
        <f>1000</f>
        <v>1000</v>
      </c>
      <c r="K49" s="24">
        <f>1000</f>
        <v>1000</v>
      </c>
      <c r="M49" s="24">
        <v>300</v>
      </c>
      <c r="AH49" s="24" t="s">
        <v>370</v>
      </c>
      <c r="AI49" s="24">
        <v>-100</v>
      </c>
    </row>
    <row r="50" spans="1:36" x14ac:dyDescent="0.45">
      <c r="AI50" s="24" t="s">
        <v>371</v>
      </c>
      <c r="AJ50" s="24">
        <v>50</v>
      </c>
    </row>
    <row r="52" spans="1:36" s="145" customFormat="1" x14ac:dyDescent="0.45">
      <c r="A52" s="65"/>
      <c r="B52" s="148"/>
    </row>
    <row r="53" spans="1:36" x14ac:dyDescent="0.45">
      <c r="A53" s="23">
        <v>1100</v>
      </c>
      <c r="B53" s="155" t="s">
        <v>163</v>
      </c>
    </row>
    <row r="54" spans="1:36" x14ac:dyDescent="0.45">
      <c r="A54" s="23">
        <v>270</v>
      </c>
      <c r="B54" s="155" t="s">
        <v>167</v>
      </c>
    </row>
    <row r="55" spans="1:36" x14ac:dyDescent="0.45">
      <c r="A55" s="35">
        <v>0.6</v>
      </c>
      <c r="B55" s="155" t="s">
        <v>225</v>
      </c>
    </row>
    <row r="56" spans="1:36" x14ac:dyDescent="0.45">
      <c r="A56" s="35">
        <v>0.2</v>
      </c>
      <c r="B56" s="155" t="s">
        <v>211</v>
      </c>
    </row>
    <row r="57" spans="1:36" x14ac:dyDescent="0.45">
      <c r="A57" s="23">
        <v>5000</v>
      </c>
      <c r="B57" s="155" t="s">
        <v>210</v>
      </c>
    </row>
    <row r="58" spans="1:36" x14ac:dyDescent="0.45">
      <c r="A58" s="23">
        <v>350</v>
      </c>
      <c r="B58" s="155" t="s">
        <v>166</v>
      </c>
    </row>
    <row r="59" spans="1:36" x14ac:dyDescent="0.45">
      <c r="A59" s="23">
        <v>25</v>
      </c>
      <c r="B59" s="155" t="s">
        <v>157</v>
      </c>
    </row>
    <row r="60" spans="1:36" x14ac:dyDescent="0.45">
      <c r="A60" s="23">
        <v>100</v>
      </c>
      <c r="B60" s="155" t="s">
        <v>189</v>
      </c>
    </row>
    <row r="61" spans="1:36" x14ac:dyDescent="0.45">
      <c r="A61" s="57">
        <v>700</v>
      </c>
      <c r="B61" s="155" t="s">
        <v>292</v>
      </c>
    </row>
    <row r="63" spans="1:36" x14ac:dyDescent="0.45">
      <c r="A63" s="35">
        <v>0.03</v>
      </c>
      <c r="B63" s="155" t="s">
        <v>330</v>
      </c>
    </row>
    <row r="64" spans="1:36" x14ac:dyDescent="0.45">
      <c r="A64" s="23"/>
    </row>
    <row r="67" spans="1:1" x14ac:dyDescent="0.45">
      <c r="A67" s="2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D05E-D41D-42C4-AA2C-48F451855ACD}">
  <sheetPr>
    <tabColor rgb="FF00B0F0"/>
  </sheetPr>
  <dimension ref="A1:CV84"/>
  <sheetViews>
    <sheetView topLeftCell="BN1" workbookViewId="0">
      <selection activeCell="BZ4" sqref="BZ4"/>
    </sheetView>
  </sheetViews>
  <sheetFormatPr defaultColWidth="10.9296875" defaultRowHeight="14.25" x14ac:dyDescent="0.45"/>
  <cols>
    <col min="1" max="1" width="1.796875" style="36" customWidth="1"/>
    <col min="2" max="2" width="3.3984375" style="36" bestFit="1" customWidth="1"/>
    <col min="3" max="4" width="3.3984375" style="36" customWidth="1"/>
    <col min="5" max="5" width="4.73046875" style="57" bestFit="1" customWidth="1"/>
    <col min="6" max="6" width="43.6640625" style="23" bestFit="1" customWidth="1"/>
    <col min="7" max="16384" width="10.9296875" style="24"/>
  </cols>
  <sheetData>
    <row r="1" spans="1:100" s="22" customFormat="1" ht="21.4" thickBot="1" x14ac:dyDescent="0.7">
      <c r="A1" s="33"/>
      <c r="B1" s="33"/>
      <c r="C1" s="59"/>
      <c r="D1" s="59"/>
      <c r="E1" s="64"/>
      <c r="F1" s="108" t="s">
        <v>127</v>
      </c>
      <c r="G1" s="100"/>
      <c r="H1" s="102" t="s">
        <v>98</v>
      </c>
      <c r="I1" s="102" t="s">
        <v>99</v>
      </c>
      <c r="J1" s="102" t="s">
        <v>100</v>
      </c>
      <c r="K1" s="103" t="s">
        <v>101</v>
      </c>
      <c r="L1" s="103" t="s">
        <v>102</v>
      </c>
      <c r="M1" s="103" t="s">
        <v>103</v>
      </c>
      <c r="N1" s="104" t="s">
        <v>104</v>
      </c>
      <c r="O1" s="104" t="s">
        <v>105</v>
      </c>
      <c r="P1" s="104" t="s">
        <v>106</v>
      </c>
      <c r="Q1" s="105" t="s">
        <v>107</v>
      </c>
      <c r="R1" s="105" t="s">
        <v>108</v>
      </c>
      <c r="S1" s="105" t="s">
        <v>109</v>
      </c>
      <c r="T1" s="102" t="s">
        <v>98</v>
      </c>
      <c r="U1" s="102" t="s">
        <v>99</v>
      </c>
      <c r="V1" s="102" t="s">
        <v>100</v>
      </c>
      <c r="W1" s="103" t="s">
        <v>101</v>
      </c>
      <c r="X1" s="103" t="s">
        <v>102</v>
      </c>
      <c r="Y1" s="103" t="s">
        <v>103</v>
      </c>
      <c r="Z1" s="104" t="s">
        <v>104</v>
      </c>
      <c r="AA1" s="104" t="s">
        <v>105</v>
      </c>
      <c r="AB1" s="104" t="s">
        <v>106</v>
      </c>
      <c r="AC1" s="105" t="s">
        <v>107</v>
      </c>
      <c r="AD1" s="105" t="s">
        <v>108</v>
      </c>
      <c r="AE1" s="105" t="s">
        <v>109</v>
      </c>
      <c r="AF1" s="102" t="s">
        <v>98</v>
      </c>
      <c r="AG1" s="102" t="s">
        <v>99</v>
      </c>
      <c r="AH1" s="102" t="s">
        <v>100</v>
      </c>
      <c r="AI1" s="103" t="s">
        <v>101</v>
      </c>
      <c r="AJ1" s="103" t="s">
        <v>102</v>
      </c>
      <c r="AK1" s="103" t="s">
        <v>103</v>
      </c>
      <c r="AL1" s="104" t="s">
        <v>104</v>
      </c>
      <c r="AM1" s="104" t="s">
        <v>105</v>
      </c>
      <c r="AN1" s="104" t="s">
        <v>106</v>
      </c>
      <c r="AO1" s="105" t="s">
        <v>107</v>
      </c>
      <c r="AP1" s="105" t="s">
        <v>108</v>
      </c>
      <c r="AQ1" s="105" t="s">
        <v>109</v>
      </c>
      <c r="AR1" s="102" t="s">
        <v>98</v>
      </c>
      <c r="AS1" s="102" t="s">
        <v>99</v>
      </c>
      <c r="AT1" s="102" t="s">
        <v>100</v>
      </c>
      <c r="AU1" s="103" t="s">
        <v>101</v>
      </c>
      <c r="AV1" s="103" t="s">
        <v>102</v>
      </c>
      <c r="AW1" s="103" t="s">
        <v>103</v>
      </c>
      <c r="AX1" s="104" t="s">
        <v>104</v>
      </c>
      <c r="AY1" s="104" t="s">
        <v>105</v>
      </c>
      <c r="AZ1" s="104" t="s">
        <v>106</v>
      </c>
      <c r="BA1" s="105" t="s">
        <v>107</v>
      </c>
      <c r="BB1" s="105" t="s">
        <v>108</v>
      </c>
      <c r="BC1" s="105" t="s">
        <v>109</v>
      </c>
      <c r="BD1" s="102" t="s">
        <v>98</v>
      </c>
      <c r="BE1" s="102" t="s">
        <v>99</v>
      </c>
      <c r="BF1" s="102" t="s">
        <v>100</v>
      </c>
      <c r="BG1" s="103" t="s">
        <v>101</v>
      </c>
      <c r="BH1" s="103" t="s">
        <v>102</v>
      </c>
      <c r="BI1" s="103" t="s">
        <v>103</v>
      </c>
      <c r="BJ1" s="104" t="s">
        <v>104</v>
      </c>
      <c r="BK1" s="104" t="s">
        <v>105</v>
      </c>
      <c r="BL1" s="104" t="s">
        <v>106</v>
      </c>
      <c r="BM1" s="105" t="s">
        <v>107</v>
      </c>
      <c r="BN1" s="105" t="s">
        <v>108</v>
      </c>
      <c r="BO1" s="105" t="s">
        <v>109</v>
      </c>
      <c r="BP1" s="102" t="s">
        <v>98</v>
      </c>
      <c r="BQ1" s="102" t="s">
        <v>99</v>
      </c>
      <c r="BR1" s="102" t="s">
        <v>100</v>
      </c>
      <c r="BS1" s="103" t="s">
        <v>101</v>
      </c>
      <c r="BT1" s="103" t="s">
        <v>102</v>
      </c>
      <c r="BU1" s="103" t="s">
        <v>103</v>
      </c>
      <c r="BV1" s="104" t="s">
        <v>104</v>
      </c>
      <c r="BW1" s="104" t="s">
        <v>105</v>
      </c>
      <c r="BX1" s="104" t="s">
        <v>106</v>
      </c>
      <c r="BY1" s="105" t="s">
        <v>107</v>
      </c>
      <c r="BZ1" s="105" t="s">
        <v>108</v>
      </c>
      <c r="CA1" s="105" t="s">
        <v>109</v>
      </c>
      <c r="CB1" s="102" t="s">
        <v>98</v>
      </c>
      <c r="CC1" s="102" t="s">
        <v>99</v>
      </c>
      <c r="CD1" s="102" t="s">
        <v>100</v>
      </c>
      <c r="CE1" s="103" t="s">
        <v>101</v>
      </c>
      <c r="CF1" s="103" t="s">
        <v>102</v>
      </c>
      <c r="CG1" s="103" t="s">
        <v>103</v>
      </c>
      <c r="CH1" s="104" t="s">
        <v>104</v>
      </c>
      <c r="CI1" s="104" t="s">
        <v>105</v>
      </c>
      <c r="CJ1" s="104" t="s">
        <v>106</v>
      </c>
      <c r="CK1" s="105" t="s">
        <v>107</v>
      </c>
      <c r="CL1" s="105" t="s">
        <v>108</v>
      </c>
      <c r="CM1" s="105" t="s">
        <v>109</v>
      </c>
      <c r="CN1" s="102" t="s">
        <v>98</v>
      </c>
      <c r="CO1" s="102" t="s">
        <v>99</v>
      </c>
      <c r="CP1" s="102" t="s">
        <v>100</v>
      </c>
      <c r="CQ1" s="103" t="s">
        <v>101</v>
      </c>
      <c r="CR1" s="103" t="s">
        <v>102</v>
      </c>
      <c r="CS1" s="103" t="s">
        <v>103</v>
      </c>
      <c r="CT1" s="104" t="s">
        <v>104</v>
      </c>
      <c r="CU1" s="104" t="s">
        <v>105</v>
      </c>
      <c r="CV1" s="104" t="s">
        <v>106</v>
      </c>
    </row>
    <row r="2" spans="1:100" s="36" customFormat="1" x14ac:dyDescent="0.45">
      <c r="E2" s="57"/>
      <c r="F2" s="97" t="s">
        <v>1</v>
      </c>
      <c r="H2" s="36">
        <v>1532</v>
      </c>
      <c r="I2" s="36">
        <f t="shared" ref="I2:AN2" si="0">H2+IF(I1="Gennaio",1,0)</f>
        <v>1532</v>
      </c>
      <c r="J2" s="36">
        <f t="shared" si="0"/>
        <v>1532</v>
      </c>
      <c r="K2" s="36">
        <f t="shared" si="0"/>
        <v>1532</v>
      </c>
      <c r="L2" s="36">
        <f t="shared" si="0"/>
        <v>1532</v>
      </c>
      <c r="M2" s="36">
        <f t="shared" si="0"/>
        <v>1532</v>
      </c>
      <c r="N2" s="36">
        <f t="shared" si="0"/>
        <v>1532</v>
      </c>
      <c r="O2" s="36">
        <f t="shared" si="0"/>
        <v>1532</v>
      </c>
      <c r="P2" s="36">
        <f t="shared" si="0"/>
        <v>1532</v>
      </c>
      <c r="Q2" s="36">
        <f t="shared" si="0"/>
        <v>1533</v>
      </c>
      <c r="R2" s="36">
        <f t="shared" si="0"/>
        <v>1533</v>
      </c>
      <c r="S2" s="36">
        <f t="shared" si="0"/>
        <v>1533</v>
      </c>
      <c r="T2" s="36">
        <f t="shared" si="0"/>
        <v>1533</v>
      </c>
      <c r="U2" s="36">
        <f t="shared" si="0"/>
        <v>1533</v>
      </c>
      <c r="V2" s="36">
        <f t="shared" si="0"/>
        <v>1533</v>
      </c>
      <c r="W2" s="36">
        <f t="shared" si="0"/>
        <v>1533</v>
      </c>
      <c r="X2" s="36">
        <f t="shared" si="0"/>
        <v>1533</v>
      </c>
      <c r="Y2" s="36">
        <f t="shared" si="0"/>
        <v>1533</v>
      </c>
      <c r="Z2" s="36">
        <f t="shared" si="0"/>
        <v>1533</v>
      </c>
      <c r="AA2" s="36">
        <f t="shared" si="0"/>
        <v>1533</v>
      </c>
      <c r="AB2" s="36">
        <f t="shared" si="0"/>
        <v>1533</v>
      </c>
      <c r="AC2" s="36">
        <f t="shared" si="0"/>
        <v>1534</v>
      </c>
      <c r="AD2" s="36">
        <f t="shared" si="0"/>
        <v>1534</v>
      </c>
      <c r="AE2" s="36">
        <f t="shared" si="0"/>
        <v>1534</v>
      </c>
      <c r="AF2" s="36">
        <f t="shared" si="0"/>
        <v>1534</v>
      </c>
      <c r="AG2" s="36">
        <f t="shared" si="0"/>
        <v>1534</v>
      </c>
      <c r="AH2" s="36">
        <f t="shared" si="0"/>
        <v>1534</v>
      </c>
      <c r="AI2" s="36">
        <f t="shared" si="0"/>
        <v>1534</v>
      </c>
      <c r="AJ2" s="36">
        <f t="shared" si="0"/>
        <v>1534</v>
      </c>
      <c r="AK2" s="36">
        <f t="shared" si="0"/>
        <v>1534</v>
      </c>
      <c r="AL2" s="36">
        <f t="shared" si="0"/>
        <v>1534</v>
      </c>
      <c r="AM2" s="36">
        <f t="shared" si="0"/>
        <v>1534</v>
      </c>
      <c r="AN2" s="36">
        <f t="shared" si="0"/>
        <v>1534</v>
      </c>
      <c r="AO2" s="36">
        <f t="shared" ref="AO2:BT2" si="1">AN2+IF(AO1="Gennaio",1,0)</f>
        <v>1535</v>
      </c>
      <c r="AP2" s="36">
        <f t="shared" si="1"/>
        <v>1535</v>
      </c>
      <c r="AQ2" s="36">
        <f t="shared" si="1"/>
        <v>1535</v>
      </c>
      <c r="AR2" s="36">
        <f t="shared" si="1"/>
        <v>1535</v>
      </c>
      <c r="AS2" s="36">
        <f t="shared" si="1"/>
        <v>1535</v>
      </c>
      <c r="AT2" s="36">
        <f t="shared" si="1"/>
        <v>1535</v>
      </c>
      <c r="AU2" s="36">
        <f t="shared" si="1"/>
        <v>1535</v>
      </c>
      <c r="AV2" s="36">
        <f t="shared" si="1"/>
        <v>1535</v>
      </c>
      <c r="AW2" s="36">
        <f t="shared" si="1"/>
        <v>1535</v>
      </c>
      <c r="AX2" s="36">
        <f t="shared" si="1"/>
        <v>1535</v>
      </c>
      <c r="AY2" s="36">
        <f t="shared" si="1"/>
        <v>1535</v>
      </c>
      <c r="AZ2" s="36">
        <f t="shared" si="1"/>
        <v>1535</v>
      </c>
      <c r="BA2" s="36">
        <f t="shared" si="1"/>
        <v>1536</v>
      </c>
      <c r="BB2" s="36">
        <f t="shared" si="1"/>
        <v>1536</v>
      </c>
      <c r="BC2" s="36">
        <f t="shared" si="1"/>
        <v>1536</v>
      </c>
      <c r="BD2" s="36">
        <f t="shared" si="1"/>
        <v>1536</v>
      </c>
      <c r="BE2" s="36">
        <f t="shared" si="1"/>
        <v>1536</v>
      </c>
      <c r="BF2" s="36">
        <f t="shared" si="1"/>
        <v>1536</v>
      </c>
      <c r="BG2" s="36">
        <f t="shared" si="1"/>
        <v>1536</v>
      </c>
      <c r="BH2" s="36">
        <f t="shared" si="1"/>
        <v>1536</v>
      </c>
      <c r="BI2" s="36">
        <f t="shared" si="1"/>
        <v>1536</v>
      </c>
      <c r="BJ2" s="36">
        <f t="shared" si="1"/>
        <v>1536</v>
      </c>
      <c r="BK2" s="36">
        <f t="shared" si="1"/>
        <v>1536</v>
      </c>
      <c r="BL2" s="36">
        <f t="shared" si="1"/>
        <v>1536</v>
      </c>
      <c r="BM2" s="36">
        <f t="shared" si="1"/>
        <v>1537</v>
      </c>
      <c r="BN2" s="36">
        <f t="shared" si="1"/>
        <v>1537</v>
      </c>
      <c r="BO2" s="36">
        <f t="shared" si="1"/>
        <v>1537</v>
      </c>
      <c r="BP2" s="36">
        <f t="shared" si="1"/>
        <v>1537</v>
      </c>
      <c r="BQ2" s="36">
        <f t="shared" si="1"/>
        <v>1537</v>
      </c>
      <c r="BR2" s="36">
        <f t="shared" si="1"/>
        <v>1537</v>
      </c>
      <c r="BS2" s="36">
        <f t="shared" si="1"/>
        <v>1537</v>
      </c>
      <c r="BT2" s="36">
        <f t="shared" si="1"/>
        <v>1537</v>
      </c>
      <c r="BU2" s="36">
        <f t="shared" ref="BU2:CV2" si="2">BT2+IF(BU1="Gennaio",1,0)</f>
        <v>1537</v>
      </c>
      <c r="BV2" s="36">
        <f t="shared" si="2"/>
        <v>1537</v>
      </c>
      <c r="BW2" s="36">
        <f t="shared" si="2"/>
        <v>1537</v>
      </c>
      <c r="BX2" s="36">
        <f t="shared" si="2"/>
        <v>1537</v>
      </c>
      <c r="BY2" s="36">
        <f t="shared" si="2"/>
        <v>1538</v>
      </c>
      <c r="BZ2" s="36">
        <f t="shared" si="2"/>
        <v>1538</v>
      </c>
      <c r="CA2" s="36">
        <f t="shared" si="2"/>
        <v>1538</v>
      </c>
      <c r="CB2" s="36">
        <f t="shared" si="2"/>
        <v>1538</v>
      </c>
      <c r="CC2" s="36">
        <f t="shared" si="2"/>
        <v>1538</v>
      </c>
      <c r="CD2" s="36">
        <f t="shared" si="2"/>
        <v>1538</v>
      </c>
      <c r="CE2" s="36">
        <f t="shared" si="2"/>
        <v>1538</v>
      </c>
      <c r="CF2" s="36">
        <f t="shared" si="2"/>
        <v>1538</v>
      </c>
      <c r="CG2" s="36">
        <f t="shared" si="2"/>
        <v>1538</v>
      </c>
      <c r="CH2" s="36">
        <f t="shared" si="2"/>
        <v>1538</v>
      </c>
      <c r="CI2" s="36">
        <f t="shared" si="2"/>
        <v>1538</v>
      </c>
      <c r="CJ2" s="36">
        <f t="shared" si="2"/>
        <v>1538</v>
      </c>
      <c r="CK2" s="36">
        <f t="shared" si="2"/>
        <v>1539</v>
      </c>
      <c r="CL2" s="36">
        <f t="shared" si="2"/>
        <v>1539</v>
      </c>
      <c r="CM2" s="36">
        <f t="shared" si="2"/>
        <v>1539</v>
      </c>
      <c r="CN2" s="36">
        <f t="shared" si="2"/>
        <v>1539</v>
      </c>
      <c r="CO2" s="36">
        <f t="shared" si="2"/>
        <v>1539</v>
      </c>
      <c r="CP2" s="36">
        <f t="shared" si="2"/>
        <v>1539</v>
      </c>
      <c r="CQ2" s="36">
        <f t="shared" si="2"/>
        <v>1539</v>
      </c>
      <c r="CR2" s="36">
        <f t="shared" si="2"/>
        <v>1539</v>
      </c>
      <c r="CS2" s="36">
        <f t="shared" si="2"/>
        <v>1539</v>
      </c>
      <c r="CT2" s="36">
        <f t="shared" si="2"/>
        <v>1539</v>
      </c>
      <c r="CU2" s="36">
        <f t="shared" si="2"/>
        <v>1539</v>
      </c>
      <c r="CV2" s="36">
        <f t="shared" si="2"/>
        <v>1539</v>
      </c>
    </row>
    <row r="3" spans="1:100" s="36" customFormat="1" x14ac:dyDescent="0.45">
      <c r="E3" s="57"/>
      <c r="F3" s="23" t="s">
        <v>94</v>
      </c>
      <c r="H3" s="36">
        <f>G3+1</f>
        <v>1</v>
      </c>
      <c r="I3" s="36">
        <f t="shared" ref="I3:BT3" si="3">H3+1</f>
        <v>2</v>
      </c>
      <c r="J3" s="36">
        <f t="shared" si="3"/>
        <v>3</v>
      </c>
      <c r="K3" s="36">
        <f t="shared" si="3"/>
        <v>4</v>
      </c>
      <c r="L3" s="36">
        <f t="shared" si="3"/>
        <v>5</v>
      </c>
      <c r="M3" s="36">
        <f t="shared" si="3"/>
        <v>6</v>
      </c>
      <c r="N3" s="36">
        <f t="shared" si="3"/>
        <v>7</v>
      </c>
      <c r="O3" s="36">
        <f t="shared" si="3"/>
        <v>8</v>
      </c>
      <c r="P3" s="36">
        <f t="shared" si="3"/>
        <v>9</v>
      </c>
      <c r="Q3" s="36">
        <f t="shared" si="3"/>
        <v>10</v>
      </c>
      <c r="R3" s="36">
        <f t="shared" si="3"/>
        <v>11</v>
      </c>
      <c r="S3" s="36">
        <f t="shared" si="3"/>
        <v>12</v>
      </c>
      <c r="T3" s="36">
        <f t="shared" si="3"/>
        <v>13</v>
      </c>
      <c r="U3" s="36">
        <f t="shared" si="3"/>
        <v>14</v>
      </c>
      <c r="V3" s="36">
        <f t="shared" si="3"/>
        <v>15</v>
      </c>
      <c r="W3" s="36">
        <f t="shared" si="3"/>
        <v>16</v>
      </c>
      <c r="X3" s="36">
        <f t="shared" si="3"/>
        <v>17</v>
      </c>
      <c r="Y3" s="36">
        <f t="shared" si="3"/>
        <v>18</v>
      </c>
      <c r="Z3" s="36">
        <f t="shared" si="3"/>
        <v>19</v>
      </c>
      <c r="AA3" s="36">
        <f t="shared" si="3"/>
        <v>20</v>
      </c>
      <c r="AB3" s="36">
        <f t="shared" si="3"/>
        <v>21</v>
      </c>
      <c r="AC3" s="36">
        <f t="shared" si="3"/>
        <v>22</v>
      </c>
      <c r="AD3" s="36">
        <f t="shared" si="3"/>
        <v>23</v>
      </c>
      <c r="AE3" s="36">
        <f t="shared" si="3"/>
        <v>24</v>
      </c>
      <c r="AF3" s="36">
        <f t="shared" si="3"/>
        <v>25</v>
      </c>
      <c r="AG3" s="36">
        <f t="shared" si="3"/>
        <v>26</v>
      </c>
      <c r="AH3" s="36">
        <f t="shared" si="3"/>
        <v>27</v>
      </c>
      <c r="AI3" s="36">
        <f t="shared" si="3"/>
        <v>28</v>
      </c>
      <c r="AJ3" s="36">
        <f t="shared" si="3"/>
        <v>29</v>
      </c>
      <c r="AK3" s="36">
        <f t="shared" si="3"/>
        <v>30</v>
      </c>
      <c r="AL3" s="36">
        <f t="shared" si="3"/>
        <v>31</v>
      </c>
      <c r="AM3" s="36">
        <f t="shared" si="3"/>
        <v>32</v>
      </c>
      <c r="AN3" s="36">
        <f t="shared" si="3"/>
        <v>33</v>
      </c>
      <c r="AO3" s="36">
        <f t="shared" si="3"/>
        <v>34</v>
      </c>
      <c r="AP3" s="36">
        <f t="shared" si="3"/>
        <v>35</v>
      </c>
      <c r="AQ3" s="36">
        <f t="shared" si="3"/>
        <v>36</v>
      </c>
      <c r="AR3" s="36">
        <f t="shared" si="3"/>
        <v>37</v>
      </c>
      <c r="AS3" s="36">
        <f t="shared" si="3"/>
        <v>38</v>
      </c>
      <c r="AT3" s="36">
        <f t="shared" si="3"/>
        <v>39</v>
      </c>
      <c r="AU3" s="36">
        <f t="shared" si="3"/>
        <v>40</v>
      </c>
      <c r="AV3" s="36">
        <f t="shared" si="3"/>
        <v>41</v>
      </c>
      <c r="AW3" s="36">
        <f t="shared" si="3"/>
        <v>42</v>
      </c>
      <c r="AX3" s="36">
        <f t="shared" si="3"/>
        <v>43</v>
      </c>
      <c r="AY3" s="36">
        <f t="shared" si="3"/>
        <v>44</v>
      </c>
      <c r="AZ3" s="36">
        <f t="shared" si="3"/>
        <v>45</v>
      </c>
      <c r="BA3" s="36">
        <f t="shared" si="3"/>
        <v>46</v>
      </c>
      <c r="BB3" s="36">
        <f t="shared" si="3"/>
        <v>47</v>
      </c>
      <c r="BC3" s="36">
        <f t="shared" si="3"/>
        <v>48</v>
      </c>
      <c r="BD3" s="36">
        <f t="shared" si="3"/>
        <v>49</v>
      </c>
      <c r="BE3" s="36">
        <f t="shared" si="3"/>
        <v>50</v>
      </c>
      <c r="BF3" s="36">
        <f t="shared" si="3"/>
        <v>51</v>
      </c>
      <c r="BG3" s="36">
        <f t="shared" si="3"/>
        <v>52</v>
      </c>
      <c r="BH3" s="36">
        <f t="shared" si="3"/>
        <v>53</v>
      </c>
      <c r="BI3" s="36">
        <f t="shared" si="3"/>
        <v>54</v>
      </c>
      <c r="BJ3" s="36">
        <f t="shared" si="3"/>
        <v>55</v>
      </c>
      <c r="BK3" s="36">
        <f t="shared" si="3"/>
        <v>56</v>
      </c>
      <c r="BL3" s="36">
        <f t="shared" si="3"/>
        <v>57</v>
      </c>
      <c r="BM3" s="36">
        <f t="shared" si="3"/>
        <v>58</v>
      </c>
      <c r="BN3" s="36">
        <f t="shared" si="3"/>
        <v>59</v>
      </c>
      <c r="BO3" s="36">
        <f t="shared" si="3"/>
        <v>60</v>
      </c>
      <c r="BP3" s="36">
        <f t="shared" si="3"/>
        <v>61</v>
      </c>
      <c r="BQ3" s="36">
        <f t="shared" si="3"/>
        <v>62</v>
      </c>
      <c r="BR3" s="36">
        <f t="shared" si="3"/>
        <v>63</v>
      </c>
      <c r="BS3" s="36">
        <f t="shared" si="3"/>
        <v>64</v>
      </c>
      <c r="BT3" s="36">
        <f t="shared" si="3"/>
        <v>65</v>
      </c>
      <c r="BU3" s="36">
        <f t="shared" ref="BU3:CV3" si="4">BT3+1</f>
        <v>66</v>
      </c>
      <c r="BV3" s="36">
        <f t="shared" si="4"/>
        <v>67</v>
      </c>
      <c r="BW3" s="36">
        <f t="shared" si="4"/>
        <v>68</v>
      </c>
      <c r="BX3" s="36">
        <f t="shared" si="4"/>
        <v>69</v>
      </c>
      <c r="BY3" s="36">
        <f t="shared" si="4"/>
        <v>70</v>
      </c>
      <c r="BZ3" s="36">
        <f t="shared" si="4"/>
        <v>71</v>
      </c>
      <c r="CA3" s="36">
        <f t="shared" si="4"/>
        <v>72</v>
      </c>
      <c r="CB3" s="36">
        <f t="shared" si="4"/>
        <v>73</v>
      </c>
      <c r="CC3" s="36">
        <f t="shared" si="4"/>
        <v>74</v>
      </c>
      <c r="CD3" s="36">
        <f t="shared" si="4"/>
        <v>75</v>
      </c>
      <c r="CE3" s="36">
        <f t="shared" si="4"/>
        <v>76</v>
      </c>
      <c r="CF3" s="36">
        <f t="shared" si="4"/>
        <v>77</v>
      </c>
      <c r="CG3" s="36">
        <f t="shared" si="4"/>
        <v>78</v>
      </c>
      <c r="CH3" s="36">
        <f t="shared" si="4"/>
        <v>79</v>
      </c>
      <c r="CI3" s="36">
        <f t="shared" si="4"/>
        <v>80</v>
      </c>
      <c r="CJ3" s="36">
        <f t="shared" si="4"/>
        <v>81</v>
      </c>
      <c r="CK3" s="36">
        <f t="shared" si="4"/>
        <v>82</v>
      </c>
      <c r="CL3" s="36">
        <f t="shared" si="4"/>
        <v>83</v>
      </c>
      <c r="CM3" s="36">
        <f t="shared" si="4"/>
        <v>84</v>
      </c>
      <c r="CN3" s="36">
        <f t="shared" si="4"/>
        <v>85</v>
      </c>
      <c r="CO3" s="36">
        <f t="shared" si="4"/>
        <v>86</v>
      </c>
      <c r="CP3" s="36">
        <f t="shared" si="4"/>
        <v>87</v>
      </c>
      <c r="CQ3" s="36">
        <f t="shared" si="4"/>
        <v>88</v>
      </c>
      <c r="CR3" s="36">
        <f t="shared" si="4"/>
        <v>89</v>
      </c>
      <c r="CS3" s="36">
        <f t="shared" si="4"/>
        <v>90</v>
      </c>
      <c r="CT3" s="36">
        <f t="shared" si="4"/>
        <v>91</v>
      </c>
      <c r="CU3" s="36">
        <f t="shared" si="4"/>
        <v>92</v>
      </c>
      <c r="CV3" s="36">
        <f t="shared" si="4"/>
        <v>93</v>
      </c>
    </row>
    <row r="4" spans="1:100" s="36" customFormat="1" x14ac:dyDescent="0.45">
      <c r="E4" s="57"/>
      <c r="F4" s="23"/>
      <c r="AF4" s="106"/>
    </row>
    <row r="5" spans="1:100" s="36" customFormat="1" x14ac:dyDescent="0.45">
      <c r="E5" s="57"/>
      <c r="F5" s="97" t="s">
        <v>249</v>
      </c>
      <c r="G5" s="36">
        <f>ABS(G60)</f>
        <v>75</v>
      </c>
      <c r="H5" s="36">
        <f>ABS(H22+H60)</f>
        <v>1850</v>
      </c>
      <c r="K5" s="36">
        <f>ABS(K28)</f>
        <v>900</v>
      </c>
      <c r="M5" s="36">
        <f>ABS(M57)</f>
        <v>1000</v>
      </c>
      <c r="N5" s="36">
        <f>ABS(N34)</f>
        <v>900</v>
      </c>
      <c r="Q5" s="36">
        <f>ABS(Q41+Q57)</f>
        <v>320</v>
      </c>
      <c r="R5" s="36">
        <f>ABS(R57)</f>
        <v>30</v>
      </c>
      <c r="V5" s="36">
        <f>ABS(V60)</f>
        <v>500</v>
      </c>
      <c r="AE5" s="36">
        <f>-AE61</f>
        <v>130</v>
      </c>
      <c r="AF5" s="106">
        <f>-AF41-(6900+500)-AF57</f>
        <v>4900</v>
      </c>
      <c r="AL5" s="36">
        <f>ABS(AL57+AL58)</f>
        <v>15500</v>
      </c>
    </row>
    <row r="6" spans="1:100" s="36" customFormat="1" x14ac:dyDescent="0.45">
      <c r="E6" s="57"/>
      <c r="F6" s="97" t="s">
        <v>256</v>
      </c>
      <c r="H6" s="106">
        <f>SUM($G5:H5)+H8</f>
        <v>5602</v>
      </c>
      <c r="I6" s="106">
        <f>SUM($G5:I5)+I8</f>
        <v>6204</v>
      </c>
      <c r="J6" s="106">
        <f>SUM($G5:J5)+J8</f>
        <v>6732.666666666667</v>
      </c>
      <c r="K6" s="106">
        <f>SUM($G5:K5)+K8</f>
        <v>7549.8666666666668</v>
      </c>
      <c r="L6" s="106">
        <f>SUM($G5:L5)+L8</f>
        <v>8330.4000000000015</v>
      </c>
      <c r="M6" s="106">
        <f>SUM($G5:M5)+M8</f>
        <v>9147.6</v>
      </c>
      <c r="N6" s="106">
        <f>SUM($G5:N5)+N8</f>
        <v>10180</v>
      </c>
      <c r="O6" s="106">
        <f>SUM($G5:O5)+O8</f>
        <v>11212.4</v>
      </c>
      <c r="P6" s="106">
        <f>SUM($G5:P5)+P8</f>
        <v>12244.8</v>
      </c>
      <c r="Q6" s="106">
        <f>SUM($G5:Q5)+Q8</f>
        <v>13543.627999999999</v>
      </c>
      <c r="R6" s="106">
        <f>SUM($G5:R5)+R8</f>
        <v>14692.455999999998</v>
      </c>
      <c r="S6" s="106">
        <f>SUM($G5:S5)+S8</f>
        <v>15891.283999999998</v>
      </c>
      <c r="T6" s="106">
        <f>SUM($G5:T5)+T8</f>
        <v>17090.111999999997</v>
      </c>
      <c r="U6" s="106">
        <f>SUM($G5:U5)+U8</f>
        <v>18288.939999999995</v>
      </c>
      <c r="V6" s="106">
        <f>SUM($G5:V5)+V8</f>
        <v>19487.767999999996</v>
      </c>
      <c r="W6" s="106">
        <f>SUM($G5:W5)+W8</f>
        <v>20686.595999999998</v>
      </c>
      <c r="X6" s="106">
        <f>SUM($G5:X5)+X8</f>
        <v>21885.423999999995</v>
      </c>
      <c r="Y6" s="106">
        <f>SUM($G5:Y5)+Y8</f>
        <v>23084.251999999997</v>
      </c>
      <c r="Z6" s="106">
        <f>SUM($G5:Z5)+Z8</f>
        <v>24607.915199999996</v>
      </c>
      <c r="AA6" s="106">
        <f>SUM($G5:AA5)+AA8</f>
        <v>26131.578399999995</v>
      </c>
      <c r="AB6" s="106">
        <f>SUM($G5:AB5)+AB8</f>
        <v>27655.241599999994</v>
      </c>
      <c r="AC6" s="106">
        <f>SUM($G5:AC5)+AC8</f>
        <v>29111.619085714279</v>
      </c>
      <c r="AD6" s="106">
        <f>SUM($G5:AD5)+AD8</f>
        <v>30568.996571428564</v>
      </c>
      <c r="AE6" s="106">
        <f>SUM($G5:AE5)+AE8</f>
        <v>32027.37405714285</v>
      </c>
      <c r="AF6" s="106">
        <f>SUM($G5:AF5)+AF8</f>
        <v>32497.428342857136</v>
      </c>
      <c r="AG6" s="106">
        <f>SUM($G5:AG5)+AG8</f>
        <v>34407.482628571423</v>
      </c>
      <c r="AH6" s="106">
        <f>SUM($G5:AH5)+AH8</f>
        <v>36317.536914285709</v>
      </c>
      <c r="AI6" s="106">
        <f>SUM($G5:AI5)+AI8</f>
        <v>37927.591199999995</v>
      </c>
      <c r="AJ6" s="106">
        <f>SUM($G5:AJ5)+AJ8</f>
        <v>39537.645485714282</v>
      </c>
      <c r="AK6" s="106">
        <f>SUM($G5:AK5)+AK8</f>
        <v>41147.699771428568</v>
      </c>
      <c r="AL6" s="106">
        <f>SUM($G5:AL5)+AL8</f>
        <v>42759.754057142854</v>
      </c>
      <c r="AM6" s="106">
        <f>SUM($G5:AM5)+AM8</f>
        <v>44373.808342857141</v>
      </c>
      <c r="AN6" s="106">
        <f>SUM($G5:AN5)+AN8</f>
        <v>45989.862628571427</v>
      </c>
      <c r="AO6" s="106">
        <f>SUM($G5:AO5)+AO8</f>
        <v>47607.916914285714</v>
      </c>
      <c r="AP6" s="106">
        <f>SUM($G5:AP5)+AP8</f>
        <v>49227.9712</v>
      </c>
      <c r="AQ6" s="106">
        <f>SUM($G5:AQ5)+AQ8</f>
        <v>50850.025485714286</v>
      </c>
      <c r="AR6" s="106">
        <f>SUM($G5:AR5)+AR8</f>
        <v>52474.079771428573</v>
      </c>
      <c r="AS6" s="106">
        <f>SUM($G5:AS5)+AS8</f>
        <v>54100.134057142859</v>
      </c>
      <c r="AT6" s="106">
        <f>SUM($G5:AT5)+AT8</f>
        <v>55728.188342857145</v>
      </c>
      <c r="AU6" s="106">
        <f>SUM($G5:AU5)+AU8</f>
        <v>57358.242628571432</v>
      </c>
      <c r="AV6" s="106">
        <f>SUM($G5:AV5)+AV8</f>
        <v>58990.296914285718</v>
      </c>
      <c r="AW6" s="106">
        <f>SUM($G5:AW5)+AW8</f>
        <v>60624.351200000005</v>
      </c>
      <c r="AX6" s="106">
        <f>SUM($G5:AX5)+AX8</f>
        <v>62260.405485714291</v>
      </c>
      <c r="AY6" s="106">
        <f>SUM($G5:AY5)+AY8</f>
        <v>63898.459771428577</v>
      </c>
      <c r="AZ6" s="106">
        <f>SUM($G5:AZ5)+AZ8</f>
        <v>65538.514057142864</v>
      </c>
      <c r="BA6" s="106">
        <f>SUM($G5:BA5)+BA8</f>
        <v>67180.56834285715</v>
      </c>
      <c r="BB6" s="106">
        <f>SUM($G5:BB5)+BB8</f>
        <v>68824.622628571437</v>
      </c>
      <c r="BC6" s="106">
        <f>SUM($G5:BC5)+BC8</f>
        <v>70470.676914285723</v>
      </c>
      <c r="BD6" s="106">
        <f>SUM($G5:BD5)+BD8</f>
        <v>72118.731200000009</v>
      </c>
      <c r="BE6" s="106">
        <f>SUM($G5:BE5)+BE8</f>
        <v>73768.785485714296</v>
      </c>
      <c r="BF6" s="106">
        <f>SUM($G5:BF5)+BF8</f>
        <v>75420.839771428582</v>
      </c>
      <c r="BG6" s="106">
        <f>SUM($G5:BG5)+BG8</f>
        <v>77074.894057142868</v>
      </c>
      <c r="BH6" s="106">
        <f>SUM($G5:BH5)+BH8</f>
        <v>78730.948342857155</v>
      </c>
      <c r="BI6" s="106">
        <f>SUM($G5:BI5)+BI8</f>
        <v>80389.002628571441</v>
      </c>
      <c r="BJ6" s="106">
        <f>SUM($G5:BJ5)+BJ8</f>
        <v>82049.056914285728</v>
      </c>
      <c r="BK6" s="106">
        <f>SUM($G5:BK5)+BK8</f>
        <v>83711.111200000014</v>
      </c>
      <c r="BL6" s="106">
        <f>SUM($G5:BL5)+BL8</f>
        <v>85375.1654857143</v>
      </c>
      <c r="BM6" s="106">
        <f>SUM($G5:BM5)+BM8</f>
        <v>87041.219771428587</v>
      </c>
      <c r="BN6" s="106">
        <f>SUM($G5:BN5)+BN8</f>
        <v>88709.274057142873</v>
      </c>
      <c r="BO6" s="106">
        <f>SUM($G5:BO5)+BO8</f>
        <v>90379.328342857159</v>
      </c>
      <c r="BP6" s="106">
        <f>SUM($G5:BP5)+BP8</f>
        <v>92051.382628571446</v>
      </c>
      <c r="BQ6" s="106">
        <f>SUM($G5:BQ5)+BQ8</f>
        <v>93725.436914285732</v>
      </c>
      <c r="BR6" s="106">
        <f>SUM($G5:BR5)+BR8</f>
        <v>95401.491200000019</v>
      </c>
      <c r="BS6" s="106">
        <f>SUM($G5:BS5)+BS8</f>
        <v>97079.545485714305</v>
      </c>
      <c r="BT6" s="106">
        <f>SUM($G5:BT5)+BT8</f>
        <v>98759.599771428591</v>
      </c>
      <c r="BU6" s="106">
        <f>SUM($G5:BU5)+BU8</f>
        <v>100441.65405714288</v>
      </c>
      <c r="BV6" s="106">
        <f>SUM($G5:BV5)+BV8</f>
        <v>102125.70834285716</v>
      </c>
      <c r="BW6" s="106">
        <f>SUM($G5:BW5)+BW8</f>
        <v>103811.76262857145</v>
      </c>
      <c r="BX6" s="106">
        <f>SUM($G5:BX5)+BX8</f>
        <v>105501.81691428574</v>
      </c>
      <c r="BY6" s="106">
        <f>SUM($G5:BY5)+BY8</f>
        <v>107195.87120000002</v>
      </c>
      <c r="BZ6" s="106">
        <f>SUM($G5:BZ5)+BZ8</f>
        <v>108893.92548571431</v>
      </c>
      <c r="CA6" s="106">
        <f>SUM($G5:CA5)+CA8</f>
        <v>110595.9797714286</v>
      </c>
    </row>
    <row r="7" spans="1:100" s="48" customFormat="1" x14ac:dyDescent="0.45">
      <c r="E7" s="65"/>
      <c r="F7" s="49"/>
    </row>
    <row r="8" spans="1:100" s="37" customFormat="1" x14ac:dyDescent="0.45">
      <c r="A8" s="36"/>
      <c r="B8" s="36"/>
      <c r="C8" s="36"/>
      <c r="D8" s="36"/>
      <c r="E8" s="57"/>
      <c r="F8" s="32" t="s">
        <v>121</v>
      </c>
      <c r="G8" s="37">
        <f>SUM(G12:G1048576)</f>
        <v>4925</v>
      </c>
      <c r="H8" s="37">
        <f t="shared" ref="H8:AK8" si="5">G8+SUM(H12:H1048576)</f>
        <v>3677</v>
      </c>
      <c r="I8" s="37">
        <f t="shared" si="5"/>
        <v>4279</v>
      </c>
      <c r="J8" s="37">
        <f t="shared" si="5"/>
        <v>4807.666666666667</v>
      </c>
      <c r="K8" s="37">
        <f t="shared" si="5"/>
        <v>4724.8666666666668</v>
      </c>
      <c r="L8" s="37">
        <f t="shared" si="5"/>
        <v>5505.4000000000005</v>
      </c>
      <c r="M8" s="37">
        <f t="shared" si="5"/>
        <v>5322.6</v>
      </c>
      <c r="N8" s="37">
        <f t="shared" si="5"/>
        <v>5455</v>
      </c>
      <c r="O8" s="37">
        <f t="shared" si="5"/>
        <v>6487.4</v>
      </c>
      <c r="P8" s="37">
        <f t="shared" si="5"/>
        <v>7519.7999999999993</v>
      </c>
      <c r="Q8" s="37">
        <f t="shared" si="5"/>
        <v>8498.6279999999988</v>
      </c>
      <c r="R8" s="37">
        <f t="shared" si="5"/>
        <v>9617.4559999999983</v>
      </c>
      <c r="S8" s="37">
        <f t="shared" si="5"/>
        <v>10816.283999999998</v>
      </c>
      <c r="T8" s="37">
        <f t="shared" si="5"/>
        <v>12015.111999999997</v>
      </c>
      <c r="U8" s="37">
        <f t="shared" si="5"/>
        <v>13213.939999999997</v>
      </c>
      <c r="V8" s="37">
        <f t="shared" si="5"/>
        <v>13912.767999999996</v>
      </c>
      <c r="W8" s="37">
        <f t="shared" si="5"/>
        <v>15111.595999999996</v>
      </c>
      <c r="X8" s="37">
        <f t="shared" si="5"/>
        <v>16310.423999999995</v>
      </c>
      <c r="Y8" s="37">
        <f t="shared" si="5"/>
        <v>17509.251999999997</v>
      </c>
      <c r="Z8" s="37">
        <f t="shared" si="5"/>
        <v>19032.915199999996</v>
      </c>
      <c r="AA8" s="37">
        <f t="shared" si="5"/>
        <v>20556.578399999995</v>
      </c>
      <c r="AB8" s="37">
        <f t="shared" si="5"/>
        <v>22080.241599999994</v>
      </c>
      <c r="AC8" s="37">
        <f t="shared" si="5"/>
        <v>23536.619085714279</v>
      </c>
      <c r="AD8" s="37">
        <f t="shared" si="5"/>
        <v>24993.996571428564</v>
      </c>
      <c r="AE8" s="37">
        <f t="shared" si="5"/>
        <v>26322.37405714285</v>
      </c>
      <c r="AF8" s="37">
        <f t="shared" si="5"/>
        <v>21892.428342857136</v>
      </c>
      <c r="AG8" s="37">
        <f t="shared" si="5"/>
        <v>23802.482628571423</v>
      </c>
      <c r="AH8" s="37">
        <f t="shared" si="5"/>
        <v>25712.536914285709</v>
      </c>
      <c r="AI8" s="37">
        <f t="shared" si="5"/>
        <v>27322.591199999995</v>
      </c>
      <c r="AJ8" s="37">
        <f t="shared" si="5"/>
        <v>28932.645485714282</v>
      </c>
      <c r="AK8" s="37">
        <f t="shared" si="5"/>
        <v>30542.699771428568</v>
      </c>
      <c r="AL8" s="37">
        <f t="shared" ref="AL8" si="6">AK8+SUM(AL12:AL1048576)</f>
        <v>16654.754057142854</v>
      </c>
      <c r="AM8" s="37">
        <f t="shared" ref="AM8" si="7">AL8+SUM(AM12:AM1048576)</f>
        <v>18268.808342857141</v>
      </c>
      <c r="AN8" s="37">
        <f t="shared" ref="AN8" si="8">AM8+SUM(AN12:AN1048576)</f>
        <v>19884.862628571427</v>
      </c>
      <c r="AO8" s="37">
        <f t="shared" ref="AO8" si="9">AN8+SUM(AO12:AO1048576)</f>
        <v>21502.916914285714</v>
      </c>
      <c r="AP8" s="37">
        <f t="shared" ref="AP8" si="10">AO8+SUM(AP12:AP1048576)</f>
        <v>23122.9712</v>
      </c>
      <c r="AQ8" s="37">
        <f t="shared" ref="AQ8" si="11">AP8+SUM(AQ12:AQ1048576)</f>
        <v>24745.025485714286</v>
      </c>
      <c r="AR8" s="37">
        <f t="shared" ref="AR8" si="12">AQ8+SUM(AR12:AR1048576)</f>
        <v>26369.079771428573</v>
      </c>
      <c r="AS8" s="37">
        <f t="shared" ref="AS8:AT8" si="13">AR8+SUM(AS12:AS1048576)</f>
        <v>27995.134057142859</v>
      </c>
      <c r="AT8" s="37">
        <f t="shared" si="13"/>
        <v>29623.188342857145</v>
      </c>
      <c r="AU8" s="37">
        <f t="shared" ref="AU8" si="14">AT8+SUM(AU12:AU1048576)</f>
        <v>31253.242628571432</v>
      </c>
      <c r="AV8" s="37">
        <f t="shared" ref="AV8" si="15">AU8+SUM(AV12:AV1048576)</f>
        <v>32885.296914285718</v>
      </c>
      <c r="AW8" s="37">
        <f t="shared" ref="AW8" si="16">AV8+SUM(AW12:AW1048576)</f>
        <v>34519.351200000005</v>
      </c>
      <c r="AX8" s="37">
        <f t="shared" ref="AX8" si="17">AW8+SUM(AX12:AX1048576)</f>
        <v>36155.405485714291</v>
      </c>
      <c r="AY8" s="37">
        <f t="shared" ref="AY8" si="18">AX8+SUM(AY12:AY1048576)</f>
        <v>37793.459771428577</v>
      </c>
      <c r="AZ8" s="37">
        <f t="shared" ref="AZ8" si="19">AY8+SUM(AZ12:AZ1048576)</f>
        <v>39433.514057142864</v>
      </c>
      <c r="BA8" s="37">
        <f t="shared" ref="BA8" si="20">AZ8+SUM(BA12:BA1048576)</f>
        <v>41075.56834285715</v>
      </c>
      <c r="BB8" s="37">
        <f t="shared" ref="BB8" si="21">BA8+SUM(BB12:BB1048576)</f>
        <v>42719.622628571437</v>
      </c>
      <c r="BC8" s="37">
        <f t="shared" ref="BC8" si="22">BB8+SUM(BC12:BC1048576)</f>
        <v>44365.676914285723</v>
      </c>
      <c r="BD8" s="37">
        <f t="shared" ref="BD8" si="23">BC8+SUM(BD12:BD1048576)</f>
        <v>46013.731200000009</v>
      </c>
      <c r="BE8" s="37">
        <f t="shared" ref="BE8" si="24">BD8+SUM(BE12:BE1048576)</f>
        <v>47663.785485714296</v>
      </c>
      <c r="BF8" s="37">
        <f t="shared" ref="BF8" si="25">BE8+SUM(BF12:BF1048576)</f>
        <v>49315.839771428582</v>
      </c>
      <c r="BG8" s="37">
        <f t="shared" ref="BG8" si="26">BF8+SUM(BG12:BG1048576)</f>
        <v>50969.894057142868</v>
      </c>
      <c r="BH8" s="37">
        <f t="shared" ref="BH8" si="27">BG8+SUM(BH12:BH1048576)</f>
        <v>52625.948342857155</v>
      </c>
      <c r="BI8" s="37">
        <f t="shared" ref="BI8" si="28">BH8+SUM(BI12:BI1048576)</f>
        <v>54284.002628571441</v>
      </c>
      <c r="BJ8" s="37">
        <f t="shared" ref="BJ8" si="29">BI8+SUM(BJ12:BJ1048576)</f>
        <v>55944.056914285728</v>
      </c>
      <c r="BK8" s="37">
        <f t="shared" ref="BK8" si="30">BJ8+SUM(BK12:BK1048576)</f>
        <v>57606.111200000014</v>
      </c>
      <c r="BL8" s="37">
        <f t="shared" ref="BL8" si="31">BK8+SUM(BL12:BL1048576)</f>
        <v>59270.1654857143</v>
      </c>
      <c r="BM8" s="37">
        <f t="shared" ref="BM8" si="32">BL8+SUM(BM12:BM1048576)</f>
        <v>60936.219771428587</v>
      </c>
      <c r="BN8" s="37">
        <f t="shared" ref="BN8" si="33">BM8+SUM(BN12:BN1048576)</f>
        <v>62604.274057142873</v>
      </c>
      <c r="BO8" s="37">
        <f t="shared" ref="BO8" si="34">BN8+SUM(BO12:BO1048576)</f>
        <v>64274.328342857159</v>
      </c>
      <c r="BP8" s="37">
        <f t="shared" ref="BP8" si="35">BO8+SUM(BP12:BP1048576)</f>
        <v>65946.382628571446</v>
      </c>
      <c r="BQ8" s="37">
        <f t="shared" ref="BQ8" si="36">BP8+SUM(BQ12:BQ1048576)</f>
        <v>67620.436914285732</v>
      </c>
      <c r="BR8" s="37">
        <f t="shared" ref="BR8" si="37">BQ8+SUM(BR12:BR1048576)</f>
        <v>69296.491200000019</v>
      </c>
      <c r="BS8" s="37">
        <f t="shared" ref="BS8" si="38">BR8+SUM(BS12:BS1048576)</f>
        <v>70974.545485714305</v>
      </c>
      <c r="BT8" s="37">
        <f t="shared" ref="BT8" si="39">BS8+SUM(BT12:BT1048576)</f>
        <v>72654.599771428591</v>
      </c>
      <c r="BU8" s="37">
        <f t="shared" ref="BU8" si="40">BT8+SUM(BU12:BU1048576)</f>
        <v>74336.654057142878</v>
      </c>
      <c r="BV8" s="37">
        <f t="shared" ref="BV8" si="41">BU8+SUM(BV12:BV1048576)</f>
        <v>76020.708342857164</v>
      </c>
      <c r="BW8" s="37">
        <f t="shared" ref="BW8" si="42">BV8+SUM(BW12:BW1048576)</f>
        <v>77706.76262857145</v>
      </c>
      <c r="BX8" s="37">
        <f t="shared" ref="BX8" si="43">BW8+SUM(BX12:BX1048576)</f>
        <v>79396.816914285737</v>
      </c>
      <c r="BY8" s="37">
        <f t="shared" ref="BY8" si="44">BX8+SUM(BY12:BY1048576)</f>
        <v>81090.871200000023</v>
      </c>
      <c r="BZ8" s="37">
        <f t="shared" ref="BZ8" si="45">BY8+SUM(BZ12:BZ1048576)</f>
        <v>82788.92548571431</v>
      </c>
      <c r="CA8" s="37">
        <f t="shared" ref="CA8" si="46">BZ8+SUM(CA12:CA1048576)</f>
        <v>84490.979771428596</v>
      </c>
    </row>
    <row r="9" spans="1:100" s="52" customFormat="1" x14ac:dyDescent="0.45">
      <c r="A9" s="48"/>
      <c r="B9" s="48"/>
      <c r="C9" s="48"/>
      <c r="D9" s="48"/>
      <c r="E9" s="65"/>
      <c r="F9" s="54" t="s">
        <v>122</v>
      </c>
      <c r="G9" s="50"/>
      <c r="H9" s="51">
        <f>H8-G8</f>
        <v>-1248</v>
      </c>
      <c r="I9" s="51">
        <f t="shared" ref="I9:M9" si="47">I8-H8</f>
        <v>602</v>
      </c>
      <c r="J9" s="51">
        <f t="shared" si="47"/>
        <v>528.66666666666697</v>
      </c>
      <c r="K9" s="51">
        <f t="shared" si="47"/>
        <v>-82.800000000000182</v>
      </c>
      <c r="L9" s="51">
        <f t="shared" si="47"/>
        <v>780.53333333333376</v>
      </c>
      <c r="M9" s="51">
        <f t="shared" si="47"/>
        <v>-182.80000000000018</v>
      </c>
      <c r="N9" s="51">
        <f t="shared" ref="N9" si="48">N8-M8</f>
        <v>132.39999999999964</v>
      </c>
      <c r="O9" s="51">
        <f t="shared" ref="O9" si="49">O8-N8</f>
        <v>1032.3999999999996</v>
      </c>
      <c r="P9" s="51">
        <f t="shared" ref="P9" si="50">P8-O8</f>
        <v>1032.3999999999996</v>
      </c>
      <c r="Q9" s="51">
        <f t="shared" ref="Q9" si="51">Q8-P8</f>
        <v>978.82799999999952</v>
      </c>
      <c r="R9" s="51">
        <f t="shared" ref="R9" si="52">R8-Q8</f>
        <v>1118.8279999999995</v>
      </c>
      <c r="S9" s="51">
        <f t="shared" ref="S9" si="53">S8-R8</f>
        <v>1198.8279999999995</v>
      </c>
      <c r="T9" s="51">
        <f t="shared" ref="T9" si="54">T8-S8</f>
        <v>1198.8279999999995</v>
      </c>
      <c r="U9" s="51">
        <f t="shared" ref="U9" si="55">U8-T8</f>
        <v>1198.8279999999995</v>
      </c>
      <c r="V9" s="51">
        <f t="shared" ref="V9" si="56">V8-U8</f>
        <v>698.82799999999952</v>
      </c>
      <c r="W9" s="51">
        <f t="shared" ref="W9" si="57">W8-V8</f>
        <v>1198.8279999999995</v>
      </c>
      <c r="X9" s="51">
        <f t="shared" ref="X9" si="58">X8-W8</f>
        <v>1198.8279999999995</v>
      </c>
      <c r="Y9" s="51">
        <f t="shared" ref="Y9" si="59">Y8-X8</f>
        <v>1198.8280000000013</v>
      </c>
      <c r="Z9" s="51">
        <f t="shared" ref="Z9" si="60">Z8-Y8</f>
        <v>1523.6631999999991</v>
      </c>
      <c r="AA9" s="51">
        <f t="shared" ref="AA9" si="61">AA8-Z8</f>
        <v>1523.6631999999991</v>
      </c>
      <c r="AB9" s="51">
        <f t="shared" ref="AB9" si="62">AB8-AA8</f>
        <v>1523.6631999999991</v>
      </c>
      <c r="AC9" s="51">
        <f t="shared" ref="AC9" si="63">AC8-AB8</f>
        <v>1456.3774857142853</v>
      </c>
      <c r="AD9" s="51">
        <f t="shared" ref="AD9" si="64">AD8-AC8</f>
        <v>1457.3774857142853</v>
      </c>
      <c r="AE9" s="51">
        <f t="shared" ref="AE9" si="65">AE8-AD8</f>
        <v>1328.3774857142853</v>
      </c>
      <c r="AF9" s="51">
        <f t="shared" ref="AF9" si="66">AF8-AE8</f>
        <v>-4429.9457142857136</v>
      </c>
      <c r="AG9" s="51">
        <f t="shared" ref="AG9" si="67">AG8-AF8</f>
        <v>1910.0542857142864</v>
      </c>
      <c r="AH9" s="51">
        <f t="shared" ref="AH9" si="68">AH8-AG8</f>
        <v>1910.0542857142864</v>
      </c>
      <c r="AI9" s="51">
        <f t="shared" ref="AI9" si="69">AI8-AH8</f>
        <v>1610.0542857142864</v>
      </c>
      <c r="AJ9" s="51">
        <f t="shared" ref="AJ9" si="70">AJ8-AI8</f>
        <v>1610.0542857142864</v>
      </c>
      <c r="AK9" s="51">
        <f t="shared" ref="AK9" si="71">AK8-AJ8</f>
        <v>1610.0542857142864</v>
      </c>
      <c r="AL9" s="51">
        <f t="shared" ref="AL9" si="72">AL8-AK8</f>
        <v>-13887.945714285714</v>
      </c>
      <c r="AM9" s="51">
        <f t="shared" ref="AM9" si="73">AM8-AL8</f>
        <v>1614.0542857142864</v>
      </c>
      <c r="AN9" s="51">
        <f t="shared" ref="AN9" si="74">AN8-AM8</f>
        <v>1616.0542857142864</v>
      </c>
      <c r="AO9" s="51">
        <f t="shared" ref="AO9" si="75">AO8-AN8</f>
        <v>1618.0542857142864</v>
      </c>
      <c r="AP9" s="51">
        <f t="shared" ref="AP9" si="76">AP8-AO8</f>
        <v>1620.0542857142864</v>
      </c>
      <c r="AQ9" s="51">
        <f t="shared" ref="AQ9" si="77">AQ8-AP8</f>
        <v>1622.0542857142864</v>
      </c>
      <c r="AR9" s="51">
        <f t="shared" ref="AR9" si="78">AR8-AQ8</f>
        <v>1624.0542857142864</v>
      </c>
      <c r="AS9" s="51">
        <f t="shared" ref="AS9:AT9" si="79">AS8-AR8</f>
        <v>1626.0542857142864</v>
      </c>
      <c r="AT9" s="51">
        <f t="shared" si="79"/>
        <v>1628.0542857142864</v>
      </c>
      <c r="AU9" s="51">
        <f t="shared" ref="AU9" si="80">AU8-AT8</f>
        <v>1630.0542857142864</v>
      </c>
      <c r="AV9" s="51">
        <f t="shared" ref="AV9" si="81">AV8-AU8</f>
        <v>1632.0542857142864</v>
      </c>
      <c r="AW9" s="51">
        <f t="shared" ref="AW9" si="82">AW8-AV8</f>
        <v>1634.0542857142864</v>
      </c>
      <c r="AX9" s="51">
        <f t="shared" ref="AX9" si="83">AX8-AW8</f>
        <v>1636.0542857142864</v>
      </c>
      <c r="AY9" s="51">
        <f t="shared" ref="AY9" si="84">AY8-AX8</f>
        <v>1638.0542857142864</v>
      </c>
      <c r="AZ9" s="51">
        <f t="shared" ref="AZ9" si="85">AZ8-AY8</f>
        <v>1640.0542857142864</v>
      </c>
      <c r="BA9" s="51">
        <f t="shared" ref="BA9" si="86">BA8-AZ8</f>
        <v>1642.0542857142864</v>
      </c>
      <c r="BB9" s="51">
        <f t="shared" ref="BB9" si="87">BB8-BA8</f>
        <v>1644.0542857142864</v>
      </c>
      <c r="BC9" s="51">
        <f t="shared" ref="BC9" si="88">BC8-BB8</f>
        <v>1646.0542857142864</v>
      </c>
      <c r="BD9" s="51">
        <f t="shared" ref="BD9" si="89">BD8-BC8</f>
        <v>1648.0542857142864</v>
      </c>
      <c r="BE9" s="51">
        <f t="shared" ref="BE9" si="90">BE8-BD8</f>
        <v>1650.0542857142864</v>
      </c>
      <c r="BF9" s="51">
        <f t="shared" ref="BF9" si="91">BF8-BE8</f>
        <v>1652.0542857142864</v>
      </c>
      <c r="BG9" s="51">
        <f t="shared" ref="BG9" si="92">BG8-BF8</f>
        <v>1654.0542857142864</v>
      </c>
      <c r="BH9" s="51">
        <f t="shared" ref="BH9" si="93">BH8-BG8</f>
        <v>1656.0542857142864</v>
      </c>
      <c r="BI9" s="51">
        <f t="shared" ref="BI9" si="94">BI8-BH8</f>
        <v>1658.0542857142864</v>
      </c>
      <c r="BJ9" s="51">
        <f t="shared" ref="BJ9" si="95">BJ8-BI8</f>
        <v>1660.0542857142864</v>
      </c>
      <c r="BK9" s="51">
        <f t="shared" ref="BK9" si="96">BK8-BJ8</f>
        <v>1662.0542857142864</v>
      </c>
      <c r="BL9" s="51">
        <f t="shared" ref="BL9" si="97">BL8-BK8</f>
        <v>1664.0542857142864</v>
      </c>
      <c r="BM9" s="51">
        <f t="shared" ref="BM9" si="98">BM8-BL8</f>
        <v>1666.0542857142864</v>
      </c>
      <c r="BN9" s="51">
        <f t="shared" ref="BN9" si="99">BN8-BM8</f>
        <v>1668.0542857142864</v>
      </c>
      <c r="BO9" s="51">
        <f t="shared" ref="BO9" si="100">BO8-BN8</f>
        <v>1670.0542857142864</v>
      </c>
      <c r="BP9" s="51">
        <f t="shared" ref="BP9" si="101">BP8-BO8</f>
        <v>1672.0542857142864</v>
      </c>
      <c r="BQ9" s="51">
        <f t="shared" ref="BQ9" si="102">BQ8-BP8</f>
        <v>1674.0542857142864</v>
      </c>
      <c r="BR9" s="51">
        <f t="shared" ref="BR9" si="103">BR8-BQ8</f>
        <v>1676.0542857142864</v>
      </c>
      <c r="BS9" s="51">
        <f t="shared" ref="BS9" si="104">BS8-BR8</f>
        <v>1678.0542857142864</v>
      </c>
      <c r="BT9" s="51">
        <f t="shared" ref="BT9" si="105">BT8-BS8</f>
        <v>1680.0542857142864</v>
      </c>
      <c r="BU9" s="51">
        <f t="shared" ref="BU9" si="106">BU8-BT8</f>
        <v>1682.0542857142864</v>
      </c>
      <c r="BV9" s="51">
        <f t="shared" ref="BV9" si="107">BV8-BU8</f>
        <v>1684.0542857142864</v>
      </c>
      <c r="BW9" s="51">
        <f t="shared" ref="BW9" si="108">BW8-BV8</f>
        <v>1686.0542857142864</v>
      </c>
      <c r="BX9" s="51">
        <f t="shared" ref="BX9" si="109">BX8-BW8</f>
        <v>1690.0542857142864</v>
      </c>
      <c r="BY9" s="51">
        <f t="shared" ref="BY9" si="110">BY8-BX8</f>
        <v>1694.0542857142864</v>
      </c>
      <c r="BZ9" s="51">
        <f t="shared" ref="BZ9" si="111">BZ8-BY8</f>
        <v>1698.0542857142864</v>
      </c>
      <c r="CA9" s="51">
        <f t="shared" ref="CA9" si="112">CA8-BZ8</f>
        <v>1702.0542857142864</v>
      </c>
    </row>
    <row r="10" spans="1:100" s="37" customFormat="1" x14ac:dyDescent="0.45">
      <c r="A10" s="36"/>
      <c r="B10" s="36"/>
      <c r="C10" s="36"/>
      <c r="D10" s="36"/>
      <c r="E10" s="57"/>
      <c r="F10" s="32"/>
      <c r="G10" s="38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</row>
    <row r="11" spans="1:100" ht="14.65" thickBot="1" x14ac:dyDescent="0.5">
      <c r="F11" s="32"/>
    </row>
    <row r="12" spans="1:100" s="40" customFormat="1" x14ac:dyDescent="0.45">
      <c r="A12" s="45"/>
      <c r="B12" s="45"/>
      <c r="C12" s="45"/>
      <c r="D12" s="45"/>
      <c r="E12" s="67"/>
      <c r="F12" s="55" t="s">
        <v>95</v>
      </c>
      <c r="H12" s="40">
        <v>-250</v>
      </c>
      <c r="I12" s="40">
        <v>-250</v>
      </c>
      <c r="J12" s="40">
        <v>-250</v>
      </c>
      <c r="K12" s="40">
        <v>-250</v>
      </c>
      <c r="L12" s="40">
        <v>-250</v>
      </c>
      <c r="M12" s="40">
        <v>-250</v>
      </c>
      <c r="N12" s="40">
        <v>-250</v>
      </c>
      <c r="O12" s="40">
        <v>-250</v>
      </c>
      <c r="P12" s="40">
        <v>-250</v>
      </c>
      <c r="Q12" s="40">
        <v>-250</v>
      </c>
      <c r="R12" s="40">
        <v>-250</v>
      </c>
      <c r="S12" s="40">
        <v>-250</v>
      </c>
      <c r="T12" s="40">
        <v>-250</v>
      </c>
      <c r="U12" s="40">
        <v>-250</v>
      </c>
      <c r="V12" s="40">
        <v>-250</v>
      </c>
      <c r="W12" s="40">
        <v>-250</v>
      </c>
      <c r="X12" s="40">
        <v>-250</v>
      </c>
      <c r="Y12" s="40">
        <v>-250</v>
      </c>
      <c r="Z12" s="40">
        <v>-250</v>
      </c>
      <c r="AA12" s="40">
        <v>-250</v>
      </c>
      <c r="AB12" s="40">
        <v>-250</v>
      </c>
      <c r="AC12" s="40">
        <v>-250</v>
      </c>
      <c r="AD12" s="40">
        <v>-250</v>
      </c>
      <c r="AE12" s="40">
        <v>-250</v>
      </c>
      <c r="AF12" s="40">
        <v>-250</v>
      </c>
      <c r="AG12" s="40">
        <v>-250</v>
      </c>
      <c r="AH12" s="40">
        <v>-250</v>
      </c>
      <c r="AI12" s="40">
        <v>-250</v>
      </c>
      <c r="AJ12" s="40">
        <v>-250</v>
      </c>
      <c r="AK12" s="40">
        <v>-250</v>
      </c>
      <c r="AL12" s="40">
        <v>-250</v>
      </c>
      <c r="AM12" s="40">
        <v>-250</v>
      </c>
      <c r="AN12" s="40">
        <v>-250</v>
      </c>
      <c r="AO12" s="40">
        <v>-250</v>
      </c>
      <c r="AP12" s="40">
        <v>-250</v>
      </c>
      <c r="AQ12" s="40">
        <v>-250</v>
      </c>
      <c r="AR12" s="40">
        <v>-250</v>
      </c>
      <c r="AS12" s="40">
        <v>-250</v>
      </c>
      <c r="AT12" s="40">
        <v>-250</v>
      </c>
      <c r="AU12" s="40">
        <v>-250</v>
      </c>
      <c r="AV12" s="40">
        <v>-250</v>
      </c>
      <c r="AW12" s="40">
        <v>-250</v>
      </c>
      <c r="AX12" s="40">
        <v>-250</v>
      </c>
      <c r="AY12" s="40">
        <v>-250</v>
      </c>
      <c r="AZ12" s="40">
        <v>-250</v>
      </c>
      <c r="BA12" s="40">
        <v>-250</v>
      </c>
      <c r="BB12" s="40">
        <v>-250</v>
      </c>
      <c r="BC12" s="40">
        <v>-250</v>
      </c>
      <c r="BD12" s="40">
        <v>-250</v>
      </c>
      <c r="BE12" s="40">
        <v>-250</v>
      </c>
      <c r="BF12" s="40">
        <v>-250</v>
      </c>
      <c r="BG12" s="40">
        <v>-250</v>
      </c>
      <c r="BH12" s="40">
        <v>-250</v>
      </c>
      <c r="BI12" s="40">
        <v>-250</v>
      </c>
      <c r="BJ12" s="40">
        <v>-250</v>
      </c>
      <c r="BK12" s="40">
        <v>-250</v>
      </c>
      <c r="BL12" s="40">
        <v>-250</v>
      </c>
      <c r="BM12" s="40">
        <v>-250</v>
      </c>
      <c r="BN12" s="40">
        <v>-250</v>
      </c>
      <c r="BO12" s="40">
        <v>-250</v>
      </c>
      <c r="BP12" s="40">
        <v>-250</v>
      </c>
      <c r="BQ12" s="40">
        <v>-250</v>
      </c>
      <c r="BR12" s="40">
        <v>-250</v>
      </c>
      <c r="BS12" s="40">
        <v>-250</v>
      </c>
      <c r="BT12" s="40">
        <v>-250</v>
      </c>
      <c r="BU12" s="40">
        <v>-250</v>
      </c>
      <c r="BV12" s="40">
        <v>-250</v>
      </c>
      <c r="BW12" s="40">
        <v>-250</v>
      </c>
      <c r="BX12" s="40">
        <v>-250</v>
      </c>
      <c r="BY12" s="40">
        <v>-250</v>
      </c>
      <c r="BZ12" s="40">
        <v>-250</v>
      </c>
      <c r="CA12" s="40">
        <v>-250</v>
      </c>
    </row>
    <row r="13" spans="1:100" s="28" customFormat="1" ht="14.65" thickBot="1" x14ac:dyDescent="0.5">
      <c r="A13" s="46"/>
      <c r="B13" s="46"/>
      <c r="C13" s="46"/>
      <c r="D13" s="46"/>
      <c r="E13" s="68"/>
      <c r="F13" s="56" t="s">
        <v>96</v>
      </c>
      <c r="H13" s="28">
        <v>-90</v>
      </c>
      <c r="I13" s="28">
        <v>-90</v>
      </c>
      <c r="J13" s="28">
        <v>-90</v>
      </c>
      <c r="K13" s="28">
        <v>-90</v>
      </c>
      <c r="L13" s="28">
        <v>-90</v>
      </c>
      <c r="M13" s="28">
        <v>-90</v>
      </c>
      <c r="N13" s="28">
        <v>-90</v>
      </c>
      <c r="O13" s="28">
        <v>-90</v>
      </c>
      <c r="P13" s="28">
        <v>-90</v>
      </c>
      <c r="Q13" s="28">
        <v>-90</v>
      </c>
      <c r="R13" s="28">
        <v>-90</v>
      </c>
      <c r="S13" s="28">
        <v>-90</v>
      </c>
      <c r="T13" s="28">
        <v>-90</v>
      </c>
      <c r="U13" s="28">
        <v>-90</v>
      </c>
      <c r="V13" s="28">
        <v>-90</v>
      </c>
      <c r="W13" s="28">
        <v>-90</v>
      </c>
      <c r="X13" s="28">
        <v>-90</v>
      </c>
      <c r="Y13" s="28">
        <v>-90</v>
      </c>
      <c r="Z13" s="28">
        <v>-90</v>
      </c>
      <c r="AA13" s="28">
        <v>-90</v>
      </c>
      <c r="AB13" s="28">
        <v>-90</v>
      </c>
      <c r="AC13" s="28">
        <v>-90</v>
      </c>
      <c r="AD13" s="28">
        <v>-90</v>
      </c>
      <c r="AE13" s="28">
        <v>-90</v>
      </c>
      <c r="AF13" s="28">
        <v>-90</v>
      </c>
      <c r="AG13" s="28">
        <v>-90</v>
      </c>
      <c r="AH13" s="28">
        <v>-90</v>
      </c>
      <c r="AI13" s="28">
        <v>-90</v>
      </c>
      <c r="AJ13" s="28">
        <v>-90</v>
      </c>
      <c r="AK13" s="28">
        <v>-90</v>
      </c>
      <c r="AL13" s="28">
        <v>-90</v>
      </c>
      <c r="AM13" s="28">
        <v>-90</v>
      </c>
      <c r="AN13" s="28">
        <v>-90</v>
      </c>
      <c r="AO13" s="28">
        <v>-90</v>
      </c>
      <c r="AP13" s="28">
        <v>-90</v>
      </c>
      <c r="AQ13" s="28">
        <v>-90</v>
      </c>
      <c r="AR13" s="28">
        <v>-90</v>
      </c>
      <c r="AS13" s="28">
        <v>-90</v>
      </c>
      <c r="AT13" s="28">
        <v>-90</v>
      </c>
      <c r="AU13" s="28">
        <v>-90</v>
      </c>
      <c r="AV13" s="28">
        <v>-90</v>
      </c>
      <c r="AW13" s="28">
        <v>-90</v>
      </c>
      <c r="AX13" s="28">
        <v>-90</v>
      </c>
      <c r="AY13" s="28">
        <v>-90</v>
      </c>
      <c r="AZ13" s="28">
        <v>-90</v>
      </c>
      <c r="BA13" s="28">
        <v>-90</v>
      </c>
      <c r="BB13" s="28">
        <v>-90</v>
      </c>
      <c r="BC13" s="28">
        <v>-90</v>
      </c>
      <c r="BD13" s="28">
        <v>-90</v>
      </c>
      <c r="BE13" s="28">
        <v>-90</v>
      </c>
      <c r="BF13" s="28">
        <v>-90</v>
      </c>
      <c r="BG13" s="28">
        <v>-90</v>
      </c>
      <c r="BH13" s="28">
        <v>-90</v>
      </c>
      <c r="BI13" s="28">
        <v>-90</v>
      </c>
      <c r="BJ13" s="28">
        <v>-90</v>
      </c>
      <c r="BK13" s="28">
        <v>-90</v>
      </c>
      <c r="BL13" s="28">
        <v>-90</v>
      </c>
      <c r="BM13" s="28">
        <v>-90</v>
      </c>
      <c r="BN13" s="28">
        <v>-90</v>
      </c>
      <c r="BO13" s="28">
        <v>-90</v>
      </c>
      <c r="BP13" s="28">
        <v>-90</v>
      </c>
      <c r="BQ13" s="28">
        <v>-90</v>
      </c>
      <c r="BR13" s="28">
        <v>-90</v>
      </c>
      <c r="BS13" s="28">
        <v>-90</v>
      </c>
      <c r="BT13" s="28">
        <v>-90</v>
      </c>
      <c r="BU13" s="28">
        <v>-90</v>
      </c>
      <c r="BV13" s="28">
        <v>-90</v>
      </c>
      <c r="BW13" s="28">
        <v>-90</v>
      </c>
      <c r="BX13" s="28">
        <v>-90</v>
      </c>
      <c r="BY13" s="28">
        <v>-90</v>
      </c>
      <c r="BZ13" s="28">
        <v>-90</v>
      </c>
      <c r="CA13" s="28">
        <v>-90</v>
      </c>
    </row>
    <row r="14" spans="1:100" x14ac:dyDescent="0.45">
      <c r="E14" s="32">
        <f>COUNTA(B15:C56)</f>
        <v>11</v>
      </c>
      <c r="F14" s="57" t="s">
        <v>327</v>
      </c>
    </row>
    <row r="16" spans="1:100" s="28" customFormat="1" ht="18.399999999999999" thickBot="1" x14ac:dyDescent="0.6">
      <c r="A16" s="42"/>
      <c r="B16" s="42"/>
      <c r="C16" s="42"/>
      <c r="D16" s="42"/>
      <c r="E16" s="63"/>
      <c r="F16" s="113" t="s">
        <v>323</v>
      </c>
    </row>
    <row r="17" spans="1:79" x14ac:dyDescent="0.45">
      <c r="A17" s="43"/>
      <c r="B17" s="43"/>
      <c r="C17" s="43"/>
      <c r="D17" s="43"/>
      <c r="E17" s="72"/>
      <c r="F17" s="43" t="s">
        <v>221</v>
      </c>
    </row>
    <row r="18" spans="1:79" ht="14.65" thickBot="1" x14ac:dyDescent="0.5">
      <c r="A18" s="43"/>
      <c r="B18" s="43"/>
      <c r="C18" s="43"/>
      <c r="D18" s="43"/>
      <c r="E18" s="43"/>
      <c r="F18" s="43" t="s">
        <v>138</v>
      </c>
      <c r="H18" s="24">
        <f t="shared" ref="H18:BS18" si="113">$E$65</f>
        <v>1100</v>
      </c>
      <c r="I18" s="24">
        <f t="shared" si="113"/>
        <v>1100</v>
      </c>
      <c r="J18" s="24">
        <f t="shared" si="113"/>
        <v>1100</v>
      </c>
      <c r="K18" s="24">
        <f t="shared" si="113"/>
        <v>1100</v>
      </c>
      <c r="L18" s="24">
        <f t="shared" si="113"/>
        <v>1100</v>
      </c>
      <c r="M18" s="24">
        <f t="shared" si="113"/>
        <v>1100</v>
      </c>
      <c r="N18" s="24">
        <f t="shared" si="113"/>
        <v>1100</v>
      </c>
      <c r="O18" s="24">
        <f t="shared" si="113"/>
        <v>1100</v>
      </c>
      <c r="P18" s="24">
        <f t="shared" si="113"/>
        <v>1100</v>
      </c>
      <c r="Q18" s="24">
        <f t="shared" si="113"/>
        <v>1100</v>
      </c>
      <c r="R18" s="24">
        <f t="shared" si="113"/>
        <v>1100</v>
      </c>
      <c r="S18" s="24">
        <f t="shared" si="113"/>
        <v>1100</v>
      </c>
      <c r="T18" s="24">
        <f t="shared" si="113"/>
        <v>1100</v>
      </c>
      <c r="U18" s="24">
        <f t="shared" si="113"/>
        <v>1100</v>
      </c>
      <c r="V18" s="24">
        <f t="shared" si="113"/>
        <v>1100</v>
      </c>
      <c r="W18" s="24">
        <f t="shared" si="113"/>
        <v>1100</v>
      </c>
      <c r="X18" s="24">
        <f t="shared" si="113"/>
        <v>1100</v>
      </c>
      <c r="Y18" s="24">
        <f t="shared" si="113"/>
        <v>1100</v>
      </c>
      <c r="Z18" s="24">
        <f t="shared" si="113"/>
        <v>1100</v>
      </c>
      <c r="AA18" s="24">
        <f t="shared" si="113"/>
        <v>1100</v>
      </c>
      <c r="AB18" s="24">
        <f t="shared" si="113"/>
        <v>1100</v>
      </c>
      <c r="AC18" s="24">
        <f t="shared" si="113"/>
        <v>1100</v>
      </c>
      <c r="AD18" s="24">
        <f t="shared" si="113"/>
        <v>1100</v>
      </c>
      <c r="AE18" s="24">
        <f t="shared" si="113"/>
        <v>1100</v>
      </c>
      <c r="AF18" s="24">
        <f t="shared" si="113"/>
        <v>1100</v>
      </c>
      <c r="AG18" s="24">
        <f t="shared" si="113"/>
        <v>1100</v>
      </c>
      <c r="AH18" s="24">
        <f t="shared" si="113"/>
        <v>1100</v>
      </c>
      <c r="AI18" s="24">
        <f t="shared" si="113"/>
        <v>1100</v>
      </c>
      <c r="AJ18" s="24">
        <f t="shared" si="113"/>
        <v>1100</v>
      </c>
      <c r="AK18" s="24">
        <f t="shared" si="113"/>
        <v>1100</v>
      </c>
      <c r="AL18" s="24">
        <f t="shared" si="113"/>
        <v>1100</v>
      </c>
      <c r="AM18" s="24">
        <f t="shared" si="113"/>
        <v>1100</v>
      </c>
      <c r="AN18" s="24">
        <f t="shared" si="113"/>
        <v>1100</v>
      </c>
      <c r="AO18" s="24">
        <f t="shared" si="113"/>
        <v>1100</v>
      </c>
      <c r="AP18" s="24">
        <f t="shared" si="113"/>
        <v>1100</v>
      </c>
      <c r="AQ18" s="24">
        <f t="shared" si="113"/>
        <v>1100</v>
      </c>
      <c r="AR18" s="24">
        <f t="shared" si="113"/>
        <v>1100</v>
      </c>
      <c r="AS18" s="24">
        <f t="shared" si="113"/>
        <v>1100</v>
      </c>
      <c r="AT18" s="24">
        <f t="shared" si="113"/>
        <v>1100</v>
      </c>
      <c r="AU18" s="24">
        <f t="shared" si="113"/>
        <v>1100</v>
      </c>
      <c r="AV18" s="24">
        <f t="shared" si="113"/>
        <v>1100</v>
      </c>
      <c r="AW18" s="24">
        <f t="shared" si="113"/>
        <v>1100</v>
      </c>
      <c r="AX18" s="24">
        <f t="shared" si="113"/>
        <v>1100</v>
      </c>
      <c r="AY18" s="24">
        <f t="shared" si="113"/>
        <v>1100</v>
      </c>
      <c r="AZ18" s="24">
        <f t="shared" si="113"/>
        <v>1100</v>
      </c>
      <c r="BA18" s="24">
        <f t="shared" si="113"/>
        <v>1100</v>
      </c>
      <c r="BB18" s="24">
        <f t="shared" si="113"/>
        <v>1100</v>
      </c>
      <c r="BC18" s="24">
        <f t="shared" si="113"/>
        <v>1100</v>
      </c>
      <c r="BD18" s="24">
        <f t="shared" si="113"/>
        <v>1100</v>
      </c>
      <c r="BE18" s="24">
        <f t="shared" si="113"/>
        <v>1100</v>
      </c>
      <c r="BF18" s="24">
        <f t="shared" si="113"/>
        <v>1100</v>
      </c>
      <c r="BG18" s="24">
        <f t="shared" si="113"/>
        <v>1100</v>
      </c>
      <c r="BH18" s="24">
        <f t="shared" si="113"/>
        <v>1100</v>
      </c>
      <c r="BI18" s="24">
        <f t="shared" si="113"/>
        <v>1100</v>
      </c>
      <c r="BJ18" s="24">
        <f t="shared" si="113"/>
        <v>1100</v>
      </c>
      <c r="BK18" s="24">
        <f t="shared" si="113"/>
        <v>1100</v>
      </c>
      <c r="BL18" s="24">
        <f t="shared" si="113"/>
        <v>1100</v>
      </c>
      <c r="BM18" s="24">
        <f t="shared" si="113"/>
        <v>1100</v>
      </c>
      <c r="BN18" s="24">
        <f t="shared" si="113"/>
        <v>1100</v>
      </c>
      <c r="BO18" s="24">
        <f t="shared" si="113"/>
        <v>1100</v>
      </c>
      <c r="BP18" s="24">
        <f t="shared" si="113"/>
        <v>1100</v>
      </c>
      <c r="BQ18" s="24">
        <f t="shared" si="113"/>
        <v>1100</v>
      </c>
      <c r="BR18" s="24">
        <f t="shared" si="113"/>
        <v>1100</v>
      </c>
      <c r="BS18" s="24">
        <f t="shared" si="113"/>
        <v>1100</v>
      </c>
      <c r="BT18" s="24">
        <f t="shared" ref="BT18:CA18" si="114">$E$65</f>
        <v>1100</v>
      </c>
      <c r="BU18" s="24">
        <f t="shared" si="114"/>
        <v>1100</v>
      </c>
      <c r="BV18" s="24">
        <f t="shared" si="114"/>
        <v>1100</v>
      </c>
      <c r="BW18" s="24">
        <f t="shared" si="114"/>
        <v>1100</v>
      </c>
      <c r="BX18" s="24">
        <f t="shared" si="114"/>
        <v>1100</v>
      </c>
      <c r="BY18" s="24">
        <f t="shared" si="114"/>
        <v>1100</v>
      </c>
      <c r="BZ18" s="24">
        <f t="shared" si="114"/>
        <v>1100</v>
      </c>
      <c r="CA18" s="24">
        <f t="shared" si="114"/>
        <v>1100</v>
      </c>
    </row>
    <row r="19" spans="1:79" ht="14.65" thickBot="1" x14ac:dyDescent="0.5">
      <c r="A19" s="43"/>
      <c r="B19" s="69"/>
      <c r="C19" s="43"/>
      <c r="D19" s="43"/>
      <c r="E19" s="72" t="s">
        <v>147</v>
      </c>
      <c r="F19" s="43" t="s">
        <v>139</v>
      </c>
      <c r="Z19" s="24">
        <f t="shared" ref="Z19:CA19" si="115">$E$65*$E$67*$E$68</f>
        <v>528</v>
      </c>
      <c r="AA19" s="24">
        <f t="shared" si="115"/>
        <v>528</v>
      </c>
      <c r="AB19" s="24">
        <f t="shared" si="115"/>
        <v>528</v>
      </c>
      <c r="AC19" s="24">
        <f t="shared" si="115"/>
        <v>528</v>
      </c>
      <c r="AD19" s="24">
        <f t="shared" si="115"/>
        <v>528</v>
      </c>
      <c r="AE19" s="24">
        <f t="shared" si="115"/>
        <v>528</v>
      </c>
      <c r="AF19" s="24">
        <f t="shared" si="115"/>
        <v>528</v>
      </c>
      <c r="AG19" s="24">
        <f t="shared" si="115"/>
        <v>528</v>
      </c>
      <c r="AH19" s="24">
        <f t="shared" si="115"/>
        <v>528</v>
      </c>
      <c r="AI19" s="24">
        <f t="shared" si="115"/>
        <v>528</v>
      </c>
      <c r="AJ19" s="24">
        <f t="shared" si="115"/>
        <v>528</v>
      </c>
      <c r="AK19" s="24">
        <f t="shared" si="115"/>
        <v>528</v>
      </c>
      <c r="AL19" s="24">
        <f t="shared" si="115"/>
        <v>528</v>
      </c>
      <c r="AM19" s="24">
        <f t="shared" si="115"/>
        <v>528</v>
      </c>
      <c r="AN19" s="24">
        <f t="shared" si="115"/>
        <v>528</v>
      </c>
      <c r="AO19" s="24">
        <f t="shared" si="115"/>
        <v>528</v>
      </c>
      <c r="AP19" s="24">
        <f t="shared" si="115"/>
        <v>528</v>
      </c>
      <c r="AQ19" s="24">
        <f t="shared" si="115"/>
        <v>528</v>
      </c>
      <c r="AR19" s="24">
        <f t="shared" si="115"/>
        <v>528</v>
      </c>
      <c r="AS19" s="24">
        <f t="shared" si="115"/>
        <v>528</v>
      </c>
      <c r="AT19" s="24">
        <f t="shared" si="115"/>
        <v>528</v>
      </c>
      <c r="AU19" s="24">
        <f t="shared" si="115"/>
        <v>528</v>
      </c>
      <c r="AV19" s="24">
        <f t="shared" si="115"/>
        <v>528</v>
      </c>
      <c r="AW19" s="24">
        <f t="shared" si="115"/>
        <v>528</v>
      </c>
      <c r="AX19" s="24">
        <f t="shared" si="115"/>
        <v>528</v>
      </c>
      <c r="AY19" s="24">
        <f t="shared" si="115"/>
        <v>528</v>
      </c>
      <c r="AZ19" s="24">
        <f t="shared" si="115"/>
        <v>528</v>
      </c>
      <c r="BA19" s="24">
        <f t="shared" si="115"/>
        <v>528</v>
      </c>
      <c r="BB19" s="24">
        <f t="shared" si="115"/>
        <v>528</v>
      </c>
      <c r="BC19" s="24">
        <f t="shared" si="115"/>
        <v>528</v>
      </c>
      <c r="BD19" s="24">
        <f t="shared" si="115"/>
        <v>528</v>
      </c>
      <c r="BE19" s="24">
        <f t="shared" si="115"/>
        <v>528</v>
      </c>
      <c r="BF19" s="24">
        <f t="shared" si="115"/>
        <v>528</v>
      </c>
      <c r="BG19" s="24">
        <f t="shared" si="115"/>
        <v>528</v>
      </c>
      <c r="BH19" s="24">
        <f t="shared" si="115"/>
        <v>528</v>
      </c>
      <c r="BI19" s="24">
        <f t="shared" si="115"/>
        <v>528</v>
      </c>
      <c r="BJ19" s="24">
        <f t="shared" si="115"/>
        <v>528</v>
      </c>
      <c r="BK19" s="24">
        <f t="shared" si="115"/>
        <v>528</v>
      </c>
      <c r="BL19" s="24">
        <f t="shared" si="115"/>
        <v>528</v>
      </c>
      <c r="BM19" s="24">
        <f t="shared" si="115"/>
        <v>528</v>
      </c>
      <c r="BN19" s="24">
        <f t="shared" si="115"/>
        <v>528</v>
      </c>
      <c r="BO19" s="24">
        <f t="shared" si="115"/>
        <v>528</v>
      </c>
      <c r="BP19" s="24">
        <f t="shared" si="115"/>
        <v>528</v>
      </c>
      <c r="BQ19" s="24">
        <f t="shared" si="115"/>
        <v>528</v>
      </c>
      <c r="BR19" s="24">
        <f t="shared" si="115"/>
        <v>528</v>
      </c>
      <c r="BS19" s="24">
        <f t="shared" si="115"/>
        <v>528</v>
      </c>
      <c r="BT19" s="24">
        <f t="shared" si="115"/>
        <v>528</v>
      </c>
      <c r="BU19" s="24">
        <f t="shared" si="115"/>
        <v>528</v>
      </c>
      <c r="BV19" s="24">
        <f t="shared" si="115"/>
        <v>528</v>
      </c>
      <c r="BW19" s="24">
        <f t="shared" si="115"/>
        <v>528</v>
      </c>
      <c r="BX19" s="24">
        <f t="shared" si="115"/>
        <v>528</v>
      </c>
      <c r="BY19" s="24">
        <f t="shared" si="115"/>
        <v>528</v>
      </c>
      <c r="BZ19" s="24">
        <f t="shared" si="115"/>
        <v>528</v>
      </c>
      <c r="CA19" s="24">
        <f t="shared" si="115"/>
        <v>528</v>
      </c>
    </row>
    <row r="20" spans="1:79" ht="14.65" thickBot="1" x14ac:dyDescent="0.5">
      <c r="A20" s="43"/>
      <c r="B20" s="69"/>
      <c r="C20" s="43"/>
      <c r="D20" s="43"/>
      <c r="E20" s="43"/>
      <c r="F20" s="43" t="s">
        <v>137</v>
      </c>
      <c r="Z20" s="24">
        <f t="shared" ref="Z20:AH20" si="116">-$E$66</f>
        <v>-300</v>
      </c>
      <c r="AA20" s="24">
        <f t="shared" si="116"/>
        <v>-300</v>
      </c>
      <c r="AB20" s="24">
        <f t="shared" si="116"/>
        <v>-300</v>
      </c>
      <c r="AC20" s="24">
        <f t="shared" si="116"/>
        <v>-300</v>
      </c>
      <c r="AD20" s="24">
        <f t="shared" si="116"/>
        <v>-300</v>
      </c>
      <c r="AE20" s="24">
        <f t="shared" si="116"/>
        <v>-300</v>
      </c>
      <c r="AF20" s="24">
        <f t="shared" si="116"/>
        <v>-300</v>
      </c>
      <c r="AG20" s="24">
        <f t="shared" si="116"/>
        <v>-300</v>
      </c>
      <c r="AH20" s="24">
        <f t="shared" si="116"/>
        <v>-300</v>
      </c>
      <c r="AI20" s="24">
        <v>-400</v>
      </c>
      <c r="AJ20" s="24">
        <v>-400</v>
      </c>
      <c r="AK20" s="24">
        <v>-400</v>
      </c>
      <c r="AL20" s="24">
        <v>-400</v>
      </c>
      <c r="AM20" s="24">
        <v>-400</v>
      </c>
      <c r="AN20" s="24">
        <v>-400</v>
      </c>
      <c r="AO20" s="24">
        <v>-400</v>
      </c>
      <c r="AP20" s="24">
        <v>-400</v>
      </c>
      <c r="AQ20" s="24">
        <v>-400</v>
      </c>
      <c r="AR20" s="24">
        <v>-400</v>
      </c>
      <c r="AS20" s="24">
        <v>-400</v>
      </c>
      <c r="AT20" s="24">
        <v>-400</v>
      </c>
      <c r="AU20" s="24">
        <v>-400</v>
      </c>
      <c r="AV20" s="24">
        <v>-400</v>
      </c>
      <c r="AW20" s="24">
        <v>-400</v>
      </c>
      <c r="AX20" s="24">
        <v>-400</v>
      </c>
      <c r="AY20" s="24">
        <v>-400</v>
      </c>
      <c r="AZ20" s="24">
        <v>-400</v>
      </c>
      <c r="BA20" s="24">
        <v>-400</v>
      </c>
      <c r="BB20" s="24">
        <v>-400</v>
      </c>
      <c r="BC20" s="24">
        <v>-400</v>
      </c>
      <c r="BD20" s="24">
        <v>-400</v>
      </c>
      <c r="BE20" s="24">
        <v>-400</v>
      </c>
      <c r="BF20" s="24">
        <v>-400</v>
      </c>
      <c r="BG20" s="24">
        <v>-400</v>
      </c>
      <c r="BH20" s="24">
        <v>-400</v>
      </c>
      <c r="BI20" s="24">
        <v>-400</v>
      </c>
      <c r="BJ20" s="24">
        <v>-400</v>
      </c>
      <c r="BK20" s="24">
        <v>-400</v>
      </c>
      <c r="BL20" s="24">
        <v>-400</v>
      </c>
      <c r="BM20" s="24">
        <v>-400</v>
      </c>
      <c r="BN20" s="24">
        <v>-400</v>
      </c>
      <c r="BO20" s="24">
        <v>-400</v>
      </c>
      <c r="BP20" s="24">
        <v>-400</v>
      </c>
      <c r="BQ20" s="24">
        <v>-400</v>
      </c>
      <c r="BR20" s="24">
        <v>-400</v>
      </c>
      <c r="BS20" s="24">
        <v>-400</v>
      </c>
      <c r="BT20" s="24">
        <v>-400</v>
      </c>
      <c r="BU20" s="24">
        <v>-400</v>
      </c>
      <c r="BV20" s="24">
        <v>-400</v>
      </c>
      <c r="BW20" s="24">
        <v>-400</v>
      </c>
      <c r="BX20" s="24">
        <v>-399</v>
      </c>
      <c r="BY20" s="24">
        <v>-398</v>
      </c>
      <c r="BZ20" s="24">
        <v>-397</v>
      </c>
      <c r="CA20" s="24">
        <v>-396</v>
      </c>
    </row>
    <row r="21" spans="1:79" ht="14.65" thickBot="1" x14ac:dyDescent="0.5">
      <c r="A21" s="43"/>
      <c r="B21" s="69" t="s">
        <v>185</v>
      </c>
      <c r="C21" s="43"/>
      <c r="D21" s="43"/>
      <c r="E21" s="72"/>
      <c r="F21" s="43" t="s">
        <v>189</v>
      </c>
      <c r="H21" s="24">
        <f t="shared" ref="H21:BS21" si="117">-$E$70</f>
        <v>-100</v>
      </c>
      <c r="I21" s="24">
        <f t="shared" si="117"/>
        <v>-100</v>
      </c>
      <c r="J21" s="24">
        <f t="shared" si="117"/>
        <v>-100</v>
      </c>
      <c r="K21" s="24">
        <f t="shared" si="117"/>
        <v>-100</v>
      </c>
      <c r="L21" s="24">
        <f t="shared" si="117"/>
        <v>-100</v>
      </c>
      <c r="M21" s="24">
        <f t="shared" si="117"/>
        <v>-100</v>
      </c>
      <c r="N21" s="24">
        <f t="shared" si="117"/>
        <v>-100</v>
      </c>
      <c r="O21" s="24">
        <f t="shared" si="117"/>
        <v>-100</v>
      </c>
      <c r="P21" s="24">
        <f t="shared" si="117"/>
        <v>-100</v>
      </c>
      <c r="Q21" s="24">
        <f t="shared" si="117"/>
        <v>-100</v>
      </c>
      <c r="R21" s="24">
        <f t="shared" si="117"/>
        <v>-100</v>
      </c>
      <c r="S21" s="24">
        <f t="shared" si="117"/>
        <v>-100</v>
      </c>
      <c r="T21" s="24">
        <f t="shared" si="117"/>
        <v>-100</v>
      </c>
      <c r="U21" s="24">
        <f t="shared" si="117"/>
        <v>-100</v>
      </c>
      <c r="V21" s="24">
        <f t="shared" si="117"/>
        <v>-100</v>
      </c>
      <c r="W21" s="24">
        <f t="shared" si="117"/>
        <v>-100</v>
      </c>
      <c r="X21" s="24">
        <f t="shared" si="117"/>
        <v>-100</v>
      </c>
      <c r="Y21" s="24">
        <f t="shared" si="117"/>
        <v>-100</v>
      </c>
      <c r="Z21" s="24">
        <f t="shared" si="117"/>
        <v>-100</v>
      </c>
      <c r="AA21" s="24">
        <f t="shared" si="117"/>
        <v>-100</v>
      </c>
      <c r="AB21" s="24">
        <f t="shared" si="117"/>
        <v>-100</v>
      </c>
      <c r="AC21" s="24">
        <f t="shared" si="117"/>
        <v>-100</v>
      </c>
      <c r="AD21" s="24">
        <f t="shared" si="117"/>
        <v>-100</v>
      </c>
      <c r="AE21" s="24">
        <f t="shared" si="117"/>
        <v>-100</v>
      </c>
      <c r="AF21" s="24">
        <f t="shared" si="117"/>
        <v>-100</v>
      </c>
      <c r="AG21" s="24">
        <f t="shared" si="117"/>
        <v>-100</v>
      </c>
      <c r="AH21" s="24">
        <f t="shared" si="117"/>
        <v>-100</v>
      </c>
      <c r="AI21" s="24">
        <f t="shared" si="117"/>
        <v>-100</v>
      </c>
      <c r="AJ21" s="24">
        <f t="shared" si="117"/>
        <v>-100</v>
      </c>
      <c r="AK21" s="24">
        <f t="shared" si="117"/>
        <v>-100</v>
      </c>
      <c r="AL21" s="24">
        <f t="shared" si="117"/>
        <v>-100</v>
      </c>
      <c r="AM21" s="24">
        <f t="shared" si="117"/>
        <v>-100</v>
      </c>
      <c r="AN21" s="24">
        <f t="shared" si="117"/>
        <v>-100</v>
      </c>
      <c r="AO21" s="24">
        <f t="shared" si="117"/>
        <v>-100</v>
      </c>
      <c r="AP21" s="24">
        <f t="shared" si="117"/>
        <v>-100</v>
      </c>
      <c r="AQ21" s="24">
        <f t="shared" si="117"/>
        <v>-100</v>
      </c>
      <c r="AR21" s="24">
        <f t="shared" si="117"/>
        <v>-100</v>
      </c>
      <c r="AS21" s="24">
        <f t="shared" si="117"/>
        <v>-100</v>
      </c>
      <c r="AT21" s="24">
        <f t="shared" si="117"/>
        <v>-100</v>
      </c>
      <c r="AU21" s="24">
        <f t="shared" si="117"/>
        <v>-100</v>
      </c>
      <c r="AV21" s="24">
        <f t="shared" si="117"/>
        <v>-100</v>
      </c>
      <c r="AW21" s="24">
        <f t="shared" si="117"/>
        <v>-100</v>
      </c>
      <c r="AX21" s="24">
        <f t="shared" si="117"/>
        <v>-100</v>
      </c>
      <c r="AY21" s="24">
        <f t="shared" si="117"/>
        <v>-100</v>
      </c>
      <c r="AZ21" s="24">
        <f t="shared" si="117"/>
        <v>-100</v>
      </c>
      <c r="BA21" s="24">
        <f t="shared" si="117"/>
        <v>-100</v>
      </c>
      <c r="BB21" s="24">
        <f t="shared" si="117"/>
        <v>-100</v>
      </c>
      <c r="BC21" s="24">
        <f t="shared" si="117"/>
        <v>-100</v>
      </c>
      <c r="BD21" s="24">
        <f t="shared" si="117"/>
        <v>-100</v>
      </c>
      <c r="BE21" s="24">
        <f t="shared" si="117"/>
        <v>-100</v>
      </c>
      <c r="BF21" s="24">
        <f t="shared" si="117"/>
        <v>-100</v>
      </c>
      <c r="BG21" s="24">
        <f t="shared" si="117"/>
        <v>-100</v>
      </c>
      <c r="BH21" s="24">
        <f t="shared" si="117"/>
        <v>-100</v>
      </c>
      <c r="BI21" s="24">
        <f t="shared" si="117"/>
        <v>-100</v>
      </c>
      <c r="BJ21" s="24">
        <f t="shared" si="117"/>
        <v>-100</v>
      </c>
      <c r="BK21" s="24">
        <f t="shared" si="117"/>
        <v>-100</v>
      </c>
      <c r="BL21" s="24">
        <f t="shared" si="117"/>
        <v>-100</v>
      </c>
      <c r="BM21" s="24">
        <f t="shared" si="117"/>
        <v>-100</v>
      </c>
      <c r="BN21" s="24">
        <f t="shared" si="117"/>
        <v>-100</v>
      </c>
      <c r="BO21" s="24">
        <f t="shared" si="117"/>
        <v>-100</v>
      </c>
      <c r="BP21" s="24">
        <f t="shared" si="117"/>
        <v>-100</v>
      </c>
      <c r="BQ21" s="24">
        <f t="shared" si="117"/>
        <v>-100</v>
      </c>
      <c r="BR21" s="24">
        <f t="shared" si="117"/>
        <v>-100</v>
      </c>
      <c r="BS21" s="24">
        <f t="shared" si="117"/>
        <v>-100</v>
      </c>
      <c r="BT21" s="24">
        <f t="shared" ref="BT21:CA21" si="118">-$E$70</f>
        <v>-100</v>
      </c>
      <c r="BU21" s="24">
        <f t="shared" si="118"/>
        <v>-100</v>
      </c>
      <c r="BV21" s="24">
        <f t="shared" si="118"/>
        <v>-100</v>
      </c>
      <c r="BW21" s="24">
        <f t="shared" si="118"/>
        <v>-100</v>
      </c>
      <c r="BX21" s="24">
        <f t="shared" si="118"/>
        <v>-100</v>
      </c>
      <c r="BY21" s="24">
        <f t="shared" si="118"/>
        <v>-100</v>
      </c>
      <c r="BZ21" s="24">
        <f t="shared" si="118"/>
        <v>-100</v>
      </c>
      <c r="CA21" s="24">
        <f t="shared" si="118"/>
        <v>-100</v>
      </c>
    </row>
    <row r="22" spans="1:79" s="27" customFormat="1" x14ac:dyDescent="0.45">
      <c r="A22" s="44"/>
      <c r="B22" s="44"/>
      <c r="C22" s="44"/>
      <c r="D22" s="44"/>
      <c r="E22" s="73"/>
      <c r="F22" s="44" t="s">
        <v>143</v>
      </c>
      <c r="H22" s="82">
        <v>-900</v>
      </c>
    </row>
    <row r="23" spans="1:79" x14ac:dyDescent="0.45">
      <c r="A23" s="23"/>
      <c r="B23" s="23"/>
      <c r="C23" s="23"/>
      <c r="D23" s="23"/>
    </row>
    <row r="24" spans="1:79" x14ac:dyDescent="0.45">
      <c r="A24" s="23"/>
      <c r="B24" s="23"/>
      <c r="C24" s="23"/>
      <c r="D24" s="23"/>
    </row>
    <row r="25" spans="1:79" ht="18.399999999999999" thickBot="1" x14ac:dyDescent="0.6">
      <c r="A25" s="110"/>
      <c r="B25" s="111"/>
      <c r="C25" s="111"/>
      <c r="D25" s="111"/>
      <c r="E25" s="112"/>
      <c r="F25" s="113" t="s">
        <v>174</v>
      </c>
      <c r="K25" s="24">
        <f t="shared" ref="K25:BV25" si="119">$E$65*$E$67</f>
        <v>660</v>
      </c>
      <c r="L25" s="24">
        <f t="shared" si="119"/>
        <v>660</v>
      </c>
      <c r="M25" s="24">
        <f t="shared" si="119"/>
        <v>660</v>
      </c>
      <c r="N25" s="24">
        <f t="shared" si="119"/>
        <v>660</v>
      </c>
      <c r="O25" s="24">
        <f t="shared" si="119"/>
        <v>660</v>
      </c>
      <c r="P25" s="24">
        <f t="shared" si="119"/>
        <v>660</v>
      </c>
      <c r="Q25" s="24">
        <f t="shared" si="119"/>
        <v>660</v>
      </c>
      <c r="R25" s="24">
        <f t="shared" si="119"/>
        <v>660</v>
      </c>
      <c r="S25" s="24">
        <f t="shared" si="119"/>
        <v>660</v>
      </c>
      <c r="T25" s="24">
        <f t="shared" si="119"/>
        <v>660</v>
      </c>
      <c r="U25" s="24">
        <f t="shared" si="119"/>
        <v>660</v>
      </c>
      <c r="V25" s="24">
        <f t="shared" si="119"/>
        <v>660</v>
      </c>
      <c r="W25" s="24">
        <f t="shared" si="119"/>
        <v>660</v>
      </c>
      <c r="X25" s="24">
        <f t="shared" si="119"/>
        <v>660</v>
      </c>
      <c r="Y25" s="24">
        <f t="shared" si="119"/>
        <v>660</v>
      </c>
      <c r="Z25" s="24">
        <f t="shared" si="119"/>
        <v>660</v>
      </c>
      <c r="AA25" s="24">
        <f t="shared" si="119"/>
        <v>660</v>
      </c>
      <c r="AB25" s="24">
        <f t="shared" si="119"/>
        <v>660</v>
      </c>
      <c r="AC25" s="24">
        <f t="shared" si="119"/>
        <v>660</v>
      </c>
      <c r="AD25" s="24">
        <f t="shared" si="119"/>
        <v>660</v>
      </c>
      <c r="AE25" s="24">
        <f t="shared" si="119"/>
        <v>660</v>
      </c>
      <c r="AF25" s="24">
        <f t="shared" si="119"/>
        <v>660</v>
      </c>
      <c r="AG25" s="24">
        <f t="shared" si="119"/>
        <v>660</v>
      </c>
      <c r="AH25" s="24">
        <f t="shared" si="119"/>
        <v>660</v>
      </c>
      <c r="AI25" s="24">
        <f t="shared" si="119"/>
        <v>660</v>
      </c>
      <c r="AJ25" s="24">
        <f t="shared" si="119"/>
        <v>660</v>
      </c>
      <c r="AK25" s="24">
        <f t="shared" si="119"/>
        <v>660</v>
      </c>
      <c r="AL25" s="24">
        <f t="shared" si="119"/>
        <v>660</v>
      </c>
      <c r="AM25" s="24">
        <f t="shared" si="119"/>
        <v>660</v>
      </c>
      <c r="AN25" s="24">
        <f t="shared" si="119"/>
        <v>660</v>
      </c>
      <c r="AO25" s="24">
        <f t="shared" si="119"/>
        <v>660</v>
      </c>
      <c r="AP25" s="24">
        <f t="shared" si="119"/>
        <v>660</v>
      </c>
      <c r="AQ25" s="24">
        <f t="shared" si="119"/>
        <v>660</v>
      </c>
      <c r="AR25" s="24">
        <f t="shared" si="119"/>
        <v>660</v>
      </c>
      <c r="AS25" s="24">
        <f t="shared" si="119"/>
        <v>660</v>
      </c>
      <c r="AT25" s="24">
        <f t="shared" si="119"/>
        <v>660</v>
      </c>
      <c r="AU25" s="24">
        <f t="shared" si="119"/>
        <v>660</v>
      </c>
      <c r="AV25" s="24">
        <f t="shared" si="119"/>
        <v>660</v>
      </c>
      <c r="AW25" s="24">
        <f t="shared" si="119"/>
        <v>660</v>
      </c>
      <c r="AX25" s="24">
        <f t="shared" si="119"/>
        <v>660</v>
      </c>
      <c r="AY25" s="24">
        <f t="shared" si="119"/>
        <v>660</v>
      </c>
      <c r="AZ25" s="24">
        <f t="shared" si="119"/>
        <v>660</v>
      </c>
      <c r="BA25" s="24">
        <f t="shared" si="119"/>
        <v>660</v>
      </c>
      <c r="BB25" s="24">
        <f t="shared" si="119"/>
        <v>660</v>
      </c>
      <c r="BC25" s="24">
        <f t="shared" si="119"/>
        <v>660</v>
      </c>
      <c r="BD25" s="24">
        <f t="shared" si="119"/>
        <v>660</v>
      </c>
      <c r="BE25" s="24">
        <f t="shared" si="119"/>
        <v>660</v>
      </c>
      <c r="BF25" s="24">
        <f t="shared" si="119"/>
        <v>660</v>
      </c>
      <c r="BG25" s="24">
        <f t="shared" si="119"/>
        <v>660</v>
      </c>
      <c r="BH25" s="24">
        <f t="shared" si="119"/>
        <v>660</v>
      </c>
      <c r="BI25" s="24">
        <f t="shared" si="119"/>
        <v>660</v>
      </c>
      <c r="BJ25" s="24">
        <f t="shared" si="119"/>
        <v>660</v>
      </c>
      <c r="BK25" s="24">
        <f t="shared" si="119"/>
        <v>660</v>
      </c>
      <c r="BL25" s="24">
        <f t="shared" si="119"/>
        <v>660</v>
      </c>
      <c r="BM25" s="24">
        <f t="shared" si="119"/>
        <v>660</v>
      </c>
      <c r="BN25" s="24">
        <f t="shared" si="119"/>
        <v>660</v>
      </c>
      <c r="BO25" s="24">
        <f t="shared" si="119"/>
        <v>660</v>
      </c>
      <c r="BP25" s="24">
        <f t="shared" si="119"/>
        <v>660</v>
      </c>
      <c r="BQ25" s="24">
        <f t="shared" si="119"/>
        <v>660</v>
      </c>
      <c r="BR25" s="24">
        <f t="shared" si="119"/>
        <v>660</v>
      </c>
      <c r="BS25" s="24">
        <f t="shared" si="119"/>
        <v>660</v>
      </c>
      <c r="BT25" s="24">
        <f t="shared" si="119"/>
        <v>660</v>
      </c>
      <c r="BU25" s="24">
        <f t="shared" si="119"/>
        <v>660</v>
      </c>
      <c r="BV25" s="24">
        <f t="shared" si="119"/>
        <v>660</v>
      </c>
      <c r="BW25" s="24">
        <f t="shared" ref="BW25:CA25" si="120">$E$65*$E$67</f>
        <v>660</v>
      </c>
      <c r="BX25" s="24">
        <f t="shared" si="120"/>
        <v>660</v>
      </c>
      <c r="BY25" s="24">
        <f t="shared" si="120"/>
        <v>660</v>
      </c>
      <c r="BZ25" s="24">
        <f t="shared" si="120"/>
        <v>660</v>
      </c>
      <c r="CA25" s="24">
        <f t="shared" si="120"/>
        <v>660</v>
      </c>
    </row>
    <row r="26" spans="1:79" ht="14.65" thickBot="1" x14ac:dyDescent="0.5">
      <c r="A26" s="43"/>
      <c r="B26" s="69" t="s">
        <v>146</v>
      </c>
      <c r="C26" s="43"/>
      <c r="D26" s="43"/>
      <c r="E26" s="72"/>
      <c r="F26" s="43" t="s">
        <v>139</v>
      </c>
      <c r="K26" s="24">
        <f t="shared" ref="K26:AH26" si="121">-$E$66</f>
        <v>-300</v>
      </c>
      <c r="L26" s="24">
        <f t="shared" si="121"/>
        <v>-300</v>
      </c>
      <c r="M26" s="24">
        <f t="shared" si="121"/>
        <v>-300</v>
      </c>
      <c r="N26" s="24">
        <f t="shared" si="121"/>
        <v>-300</v>
      </c>
      <c r="O26" s="24">
        <f t="shared" si="121"/>
        <v>-300</v>
      </c>
      <c r="P26" s="24">
        <f t="shared" si="121"/>
        <v>-300</v>
      </c>
      <c r="Q26" s="24">
        <f t="shared" si="121"/>
        <v>-300</v>
      </c>
      <c r="R26" s="24">
        <f t="shared" si="121"/>
        <v>-300</v>
      </c>
      <c r="S26" s="24">
        <f t="shared" si="121"/>
        <v>-300</v>
      </c>
      <c r="T26" s="24">
        <f t="shared" si="121"/>
        <v>-300</v>
      </c>
      <c r="U26" s="24">
        <f t="shared" si="121"/>
        <v>-300</v>
      </c>
      <c r="V26" s="24">
        <f t="shared" si="121"/>
        <v>-300</v>
      </c>
      <c r="W26" s="24">
        <f t="shared" si="121"/>
        <v>-300</v>
      </c>
      <c r="X26" s="24">
        <f t="shared" si="121"/>
        <v>-300</v>
      </c>
      <c r="Y26" s="24">
        <f t="shared" si="121"/>
        <v>-300</v>
      </c>
      <c r="Z26" s="24">
        <f t="shared" si="121"/>
        <v>-300</v>
      </c>
      <c r="AA26" s="24">
        <f t="shared" si="121"/>
        <v>-300</v>
      </c>
      <c r="AB26" s="24">
        <f t="shared" si="121"/>
        <v>-300</v>
      </c>
      <c r="AC26" s="24">
        <f t="shared" si="121"/>
        <v>-300</v>
      </c>
      <c r="AD26" s="24">
        <f t="shared" si="121"/>
        <v>-300</v>
      </c>
      <c r="AE26" s="24">
        <f t="shared" si="121"/>
        <v>-300</v>
      </c>
      <c r="AF26" s="24">
        <f t="shared" si="121"/>
        <v>-300</v>
      </c>
      <c r="AG26" s="24">
        <f t="shared" si="121"/>
        <v>-300</v>
      </c>
      <c r="AH26" s="24">
        <f t="shared" si="121"/>
        <v>-300</v>
      </c>
      <c r="AI26" s="24">
        <v>-400</v>
      </c>
      <c r="AJ26" s="24">
        <v>-400</v>
      </c>
      <c r="AK26" s="24">
        <v>-400</v>
      </c>
      <c r="AL26" s="24">
        <v>-399</v>
      </c>
      <c r="AM26" s="24">
        <v>-398</v>
      </c>
      <c r="AN26" s="24">
        <v>-397</v>
      </c>
      <c r="AO26" s="24">
        <v>-396</v>
      </c>
      <c r="AP26" s="24">
        <v>-395</v>
      </c>
      <c r="AQ26" s="24">
        <v>-394</v>
      </c>
      <c r="AR26" s="24">
        <v>-393</v>
      </c>
      <c r="AS26" s="24">
        <v>-392</v>
      </c>
      <c r="AT26" s="24">
        <v>-391</v>
      </c>
      <c r="AU26" s="24">
        <v>-390</v>
      </c>
      <c r="AV26" s="24">
        <v>-389</v>
      </c>
      <c r="AW26" s="24">
        <v>-388</v>
      </c>
      <c r="AX26" s="24">
        <v>-387</v>
      </c>
      <c r="AY26" s="24">
        <v>-386</v>
      </c>
      <c r="AZ26" s="24">
        <v>-385</v>
      </c>
      <c r="BA26" s="24">
        <v>-384</v>
      </c>
      <c r="BB26" s="24">
        <v>-383</v>
      </c>
      <c r="BC26" s="24">
        <v>-382</v>
      </c>
      <c r="BD26" s="24">
        <v>-381</v>
      </c>
      <c r="BE26" s="24">
        <v>-380</v>
      </c>
      <c r="BF26" s="24">
        <v>-379</v>
      </c>
      <c r="BG26" s="24">
        <v>-378</v>
      </c>
      <c r="BH26" s="24">
        <v>-377</v>
      </c>
      <c r="BI26" s="24">
        <v>-376</v>
      </c>
      <c r="BJ26" s="24">
        <v>-375</v>
      </c>
      <c r="BK26" s="24">
        <v>-374</v>
      </c>
      <c r="BL26" s="24">
        <v>-373</v>
      </c>
      <c r="BM26" s="24">
        <v>-372</v>
      </c>
      <c r="BN26" s="24">
        <v>-371</v>
      </c>
      <c r="BO26" s="24">
        <v>-370</v>
      </c>
      <c r="BP26" s="24">
        <v>-369</v>
      </c>
      <c r="BQ26" s="24">
        <v>-368</v>
      </c>
      <c r="BR26" s="24">
        <v>-367</v>
      </c>
      <c r="BS26" s="24">
        <v>-366</v>
      </c>
      <c r="BT26" s="24">
        <v>-365</v>
      </c>
      <c r="BU26" s="24">
        <v>-364</v>
      </c>
      <c r="BV26" s="24">
        <v>-363</v>
      </c>
      <c r="BW26" s="24">
        <v>-362</v>
      </c>
      <c r="BX26" s="24">
        <v>-361</v>
      </c>
      <c r="BY26" s="24">
        <v>-360</v>
      </c>
      <c r="BZ26" s="24">
        <v>-359</v>
      </c>
      <c r="CA26" s="24">
        <v>-358</v>
      </c>
    </row>
    <row r="27" spans="1:79" ht="14.65" thickBot="1" x14ac:dyDescent="0.5">
      <c r="A27" s="43"/>
      <c r="B27" s="69" t="s">
        <v>185</v>
      </c>
      <c r="C27" s="43"/>
      <c r="D27" s="43"/>
      <c r="E27" s="72"/>
      <c r="F27" s="43" t="s">
        <v>189</v>
      </c>
      <c r="K27" s="24">
        <f t="shared" ref="K27:BV27" si="122">-$E$70</f>
        <v>-100</v>
      </c>
      <c r="L27" s="24">
        <f t="shared" si="122"/>
        <v>-100</v>
      </c>
      <c r="M27" s="24">
        <f t="shared" si="122"/>
        <v>-100</v>
      </c>
      <c r="N27" s="24">
        <f t="shared" si="122"/>
        <v>-100</v>
      </c>
      <c r="O27" s="24">
        <f t="shared" si="122"/>
        <v>-100</v>
      </c>
      <c r="P27" s="24">
        <f t="shared" si="122"/>
        <v>-100</v>
      </c>
      <c r="Q27" s="24">
        <f t="shared" si="122"/>
        <v>-100</v>
      </c>
      <c r="R27" s="24">
        <f t="shared" si="122"/>
        <v>-100</v>
      </c>
      <c r="S27" s="24">
        <f t="shared" si="122"/>
        <v>-100</v>
      </c>
      <c r="T27" s="24">
        <f t="shared" si="122"/>
        <v>-100</v>
      </c>
      <c r="U27" s="24">
        <f t="shared" si="122"/>
        <v>-100</v>
      </c>
      <c r="V27" s="24">
        <f t="shared" si="122"/>
        <v>-100</v>
      </c>
      <c r="W27" s="24">
        <f t="shared" si="122"/>
        <v>-100</v>
      </c>
      <c r="X27" s="24">
        <f t="shared" si="122"/>
        <v>-100</v>
      </c>
      <c r="Y27" s="24">
        <f t="shared" si="122"/>
        <v>-100</v>
      </c>
      <c r="Z27" s="24">
        <f t="shared" si="122"/>
        <v>-100</v>
      </c>
      <c r="AA27" s="24">
        <f t="shared" si="122"/>
        <v>-100</v>
      </c>
      <c r="AB27" s="24">
        <f t="shared" si="122"/>
        <v>-100</v>
      </c>
      <c r="AC27" s="24">
        <f t="shared" si="122"/>
        <v>-100</v>
      </c>
      <c r="AD27" s="24">
        <f t="shared" si="122"/>
        <v>-100</v>
      </c>
      <c r="AE27" s="24">
        <f t="shared" si="122"/>
        <v>-100</v>
      </c>
      <c r="AF27" s="24">
        <f t="shared" si="122"/>
        <v>-100</v>
      </c>
      <c r="AG27" s="24">
        <f t="shared" si="122"/>
        <v>-100</v>
      </c>
      <c r="AH27" s="24">
        <f t="shared" si="122"/>
        <v>-100</v>
      </c>
      <c r="AI27" s="24">
        <f t="shared" si="122"/>
        <v>-100</v>
      </c>
      <c r="AJ27" s="24">
        <f t="shared" si="122"/>
        <v>-100</v>
      </c>
      <c r="AK27" s="24">
        <f t="shared" si="122"/>
        <v>-100</v>
      </c>
      <c r="AL27" s="24">
        <f t="shared" si="122"/>
        <v>-100</v>
      </c>
      <c r="AM27" s="24">
        <f t="shared" si="122"/>
        <v>-100</v>
      </c>
      <c r="AN27" s="24">
        <f t="shared" si="122"/>
        <v>-100</v>
      </c>
      <c r="AO27" s="24">
        <f t="shared" si="122"/>
        <v>-100</v>
      </c>
      <c r="AP27" s="24">
        <f t="shared" si="122"/>
        <v>-100</v>
      </c>
      <c r="AQ27" s="24">
        <f t="shared" si="122"/>
        <v>-100</v>
      </c>
      <c r="AR27" s="24">
        <f t="shared" si="122"/>
        <v>-100</v>
      </c>
      <c r="AS27" s="24">
        <f t="shared" si="122"/>
        <v>-100</v>
      </c>
      <c r="AT27" s="24">
        <f t="shared" si="122"/>
        <v>-100</v>
      </c>
      <c r="AU27" s="24">
        <f t="shared" si="122"/>
        <v>-100</v>
      </c>
      <c r="AV27" s="24">
        <f t="shared" si="122"/>
        <v>-100</v>
      </c>
      <c r="AW27" s="24">
        <f t="shared" si="122"/>
        <v>-100</v>
      </c>
      <c r="AX27" s="24">
        <f t="shared" si="122"/>
        <v>-100</v>
      </c>
      <c r="AY27" s="24">
        <f t="shared" si="122"/>
        <v>-100</v>
      </c>
      <c r="AZ27" s="24">
        <f t="shared" si="122"/>
        <v>-100</v>
      </c>
      <c r="BA27" s="24">
        <f t="shared" si="122"/>
        <v>-100</v>
      </c>
      <c r="BB27" s="24">
        <f t="shared" si="122"/>
        <v>-100</v>
      </c>
      <c r="BC27" s="24">
        <f t="shared" si="122"/>
        <v>-100</v>
      </c>
      <c r="BD27" s="24">
        <f t="shared" si="122"/>
        <v>-100</v>
      </c>
      <c r="BE27" s="24">
        <f t="shared" si="122"/>
        <v>-100</v>
      </c>
      <c r="BF27" s="24">
        <f t="shared" si="122"/>
        <v>-100</v>
      </c>
      <c r="BG27" s="24">
        <f t="shared" si="122"/>
        <v>-100</v>
      </c>
      <c r="BH27" s="24">
        <f t="shared" si="122"/>
        <v>-100</v>
      </c>
      <c r="BI27" s="24">
        <f t="shared" si="122"/>
        <v>-100</v>
      </c>
      <c r="BJ27" s="24">
        <f t="shared" si="122"/>
        <v>-100</v>
      </c>
      <c r="BK27" s="24">
        <f t="shared" si="122"/>
        <v>-100</v>
      </c>
      <c r="BL27" s="24">
        <f t="shared" si="122"/>
        <v>-100</v>
      </c>
      <c r="BM27" s="24">
        <f t="shared" si="122"/>
        <v>-100</v>
      </c>
      <c r="BN27" s="24">
        <f t="shared" si="122"/>
        <v>-100</v>
      </c>
      <c r="BO27" s="24">
        <f t="shared" si="122"/>
        <v>-100</v>
      </c>
      <c r="BP27" s="24">
        <f t="shared" si="122"/>
        <v>-100</v>
      </c>
      <c r="BQ27" s="24">
        <f t="shared" si="122"/>
        <v>-100</v>
      </c>
      <c r="BR27" s="24">
        <f t="shared" si="122"/>
        <v>-100</v>
      </c>
      <c r="BS27" s="24">
        <f t="shared" si="122"/>
        <v>-100</v>
      </c>
      <c r="BT27" s="24">
        <f t="shared" si="122"/>
        <v>-100</v>
      </c>
      <c r="BU27" s="24">
        <f t="shared" si="122"/>
        <v>-100</v>
      </c>
      <c r="BV27" s="24">
        <f t="shared" si="122"/>
        <v>-100</v>
      </c>
      <c r="BW27" s="24">
        <f t="shared" ref="BW27:CA27" si="123">-$E$70</f>
        <v>-100</v>
      </c>
      <c r="BX27" s="24">
        <f t="shared" si="123"/>
        <v>-100</v>
      </c>
      <c r="BY27" s="24">
        <f t="shared" si="123"/>
        <v>-100</v>
      </c>
      <c r="BZ27" s="24">
        <f t="shared" si="123"/>
        <v>-100</v>
      </c>
      <c r="CA27" s="24">
        <f t="shared" si="123"/>
        <v>-100</v>
      </c>
    </row>
    <row r="28" spans="1:79" s="27" customFormat="1" x14ac:dyDescent="0.45">
      <c r="A28" s="44"/>
      <c r="B28" s="44"/>
      <c r="C28" s="44"/>
      <c r="D28" s="44"/>
      <c r="E28" s="73"/>
      <c r="F28" s="44" t="s">
        <v>143</v>
      </c>
      <c r="K28" s="82">
        <v>-900</v>
      </c>
    </row>
    <row r="29" spans="1:79" x14ac:dyDescent="0.45">
      <c r="A29" s="23"/>
      <c r="B29" s="23"/>
      <c r="C29" s="23"/>
      <c r="D29" s="23"/>
    </row>
    <row r="30" spans="1:79" x14ac:dyDescent="0.45">
      <c r="A30" s="23"/>
      <c r="B30" s="23"/>
      <c r="C30" s="23"/>
      <c r="D30" s="23"/>
    </row>
    <row r="31" spans="1:79" ht="18.399999999999999" thickBot="1" x14ac:dyDescent="0.6">
      <c r="A31" s="110"/>
      <c r="B31" s="111"/>
      <c r="C31" s="111"/>
      <c r="D31" s="111"/>
      <c r="E31" s="112"/>
      <c r="F31" s="113" t="s">
        <v>194</v>
      </c>
      <c r="N31" s="24">
        <f t="shared" ref="N31:BY31" si="124">$E$65*$E$67</f>
        <v>660</v>
      </c>
      <c r="O31" s="24">
        <f t="shared" si="124"/>
        <v>660</v>
      </c>
      <c r="P31" s="24">
        <f t="shared" si="124"/>
        <v>660</v>
      </c>
      <c r="Q31" s="24">
        <f t="shared" si="124"/>
        <v>660</v>
      </c>
      <c r="R31" s="24">
        <f t="shared" si="124"/>
        <v>660</v>
      </c>
      <c r="S31" s="24">
        <f t="shared" si="124"/>
        <v>660</v>
      </c>
      <c r="T31" s="24">
        <f t="shared" si="124"/>
        <v>660</v>
      </c>
      <c r="U31" s="24">
        <f t="shared" si="124"/>
        <v>660</v>
      </c>
      <c r="V31" s="24">
        <f t="shared" si="124"/>
        <v>660</v>
      </c>
      <c r="W31" s="24">
        <f t="shared" si="124"/>
        <v>660</v>
      </c>
      <c r="X31" s="24">
        <f t="shared" si="124"/>
        <v>660</v>
      </c>
      <c r="Y31" s="24">
        <f t="shared" si="124"/>
        <v>660</v>
      </c>
      <c r="Z31" s="24">
        <f t="shared" si="124"/>
        <v>660</v>
      </c>
      <c r="AA31" s="24">
        <f t="shared" si="124"/>
        <v>660</v>
      </c>
      <c r="AB31" s="24">
        <f t="shared" si="124"/>
        <v>660</v>
      </c>
      <c r="AC31" s="24">
        <f t="shared" si="124"/>
        <v>660</v>
      </c>
      <c r="AD31" s="24">
        <f t="shared" si="124"/>
        <v>660</v>
      </c>
      <c r="AE31" s="24">
        <f t="shared" si="124"/>
        <v>660</v>
      </c>
      <c r="AF31" s="24">
        <f t="shared" si="124"/>
        <v>660</v>
      </c>
      <c r="AG31" s="24">
        <f t="shared" si="124"/>
        <v>660</v>
      </c>
      <c r="AH31" s="24">
        <f t="shared" si="124"/>
        <v>660</v>
      </c>
      <c r="AI31" s="24">
        <f t="shared" si="124"/>
        <v>660</v>
      </c>
      <c r="AJ31" s="24">
        <f t="shared" si="124"/>
        <v>660</v>
      </c>
      <c r="AK31" s="24">
        <f t="shared" si="124"/>
        <v>660</v>
      </c>
      <c r="AL31" s="24">
        <f t="shared" si="124"/>
        <v>660</v>
      </c>
      <c r="AM31" s="24">
        <f t="shared" si="124"/>
        <v>660</v>
      </c>
      <c r="AN31" s="24">
        <f t="shared" si="124"/>
        <v>660</v>
      </c>
      <c r="AO31" s="24">
        <f t="shared" si="124"/>
        <v>660</v>
      </c>
      <c r="AP31" s="24">
        <f t="shared" si="124"/>
        <v>660</v>
      </c>
      <c r="AQ31" s="24">
        <f t="shared" si="124"/>
        <v>660</v>
      </c>
      <c r="AR31" s="24">
        <f t="shared" si="124"/>
        <v>660</v>
      </c>
      <c r="AS31" s="24">
        <f t="shared" si="124"/>
        <v>660</v>
      </c>
      <c r="AT31" s="24">
        <f t="shared" si="124"/>
        <v>660</v>
      </c>
      <c r="AU31" s="24">
        <f t="shared" si="124"/>
        <v>660</v>
      </c>
      <c r="AV31" s="24">
        <f t="shared" si="124"/>
        <v>660</v>
      </c>
      <c r="AW31" s="24">
        <f t="shared" si="124"/>
        <v>660</v>
      </c>
      <c r="AX31" s="24">
        <f t="shared" si="124"/>
        <v>660</v>
      </c>
      <c r="AY31" s="24">
        <f t="shared" si="124"/>
        <v>660</v>
      </c>
      <c r="AZ31" s="24">
        <f t="shared" si="124"/>
        <v>660</v>
      </c>
      <c r="BA31" s="24">
        <f t="shared" si="124"/>
        <v>660</v>
      </c>
      <c r="BB31" s="24">
        <f t="shared" si="124"/>
        <v>660</v>
      </c>
      <c r="BC31" s="24">
        <f t="shared" si="124"/>
        <v>660</v>
      </c>
      <c r="BD31" s="24">
        <f t="shared" si="124"/>
        <v>660</v>
      </c>
      <c r="BE31" s="24">
        <f t="shared" si="124"/>
        <v>660</v>
      </c>
      <c r="BF31" s="24">
        <f t="shared" si="124"/>
        <v>660</v>
      </c>
      <c r="BG31" s="24">
        <f t="shared" si="124"/>
        <v>660</v>
      </c>
      <c r="BH31" s="24">
        <f t="shared" si="124"/>
        <v>660</v>
      </c>
      <c r="BI31" s="24">
        <f t="shared" si="124"/>
        <v>660</v>
      </c>
      <c r="BJ31" s="24">
        <f t="shared" si="124"/>
        <v>660</v>
      </c>
      <c r="BK31" s="24">
        <f t="shared" si="124"/>
        <v>660</v>
      </c>
      <c r="BL31" s="24">
        <f t="shared" si="124"/>
        <v>660</v>
      </c>
      <c r="BM31" s="24">
        <f t="shared" si="124"/>
        <v>660</v>
      </c>
      <c r="BN31" s="24">
        <f t="shared" si="124"/>
        <v>660</v>
      </c>
      <c r="BO31" s="24">
        <f t="shared" si="124"/>
        <v>660</v>
      </c>
      <c r="BP31" s="24">
        <f t="shared" si="124"/>
        <v>660</v>
      </c>
      <c r="BQ31" s="24">
        <f t="shared" si="124"/>
        <v>660</v>
      </c>
      <c r="BR31" s="24">
        <f t="shared" si="124"/>
        <v>660</v>
      </c>
      <c r="BS31" s="24">
        <f t="shared" si="124"/>
        <v>660</v>
      </c>
      <c r="BT31" s="24">
        <f t="shared" si="124"/>
        <v>660</v>
      </c>
      <c r="BU31" s="24">
        <f t="shared" si="124"/>
        <v>660</v>
      </c>
      <c r="BV31" s="24">
        <f t="shared" si="124"/>
        <v>660</v>
      </c>
      <c r="BW31" s="24">
        <f t="shared" si="124"/>
        <v>660</v>
      </c>
      <c r="BX31" s="24">
        <f t="shared" si="124"/>
        <v>660</v>
      </c>
      <c r="BY31" s="24">
        <f t="shared" si="124"/>
        <v>660</v>
      </c>
      <c r="BZ31" s="24">
        <f t="shared" ref="BZ31:CA31" si="125">$E$65*$E$67</f>
        <v>660</v>
      </c>
      <c r="CA31" s="24">
        <f t="shared" si="125"/>
        <v>660</v>
      </c>
    </row>
    <row r="32" spans="1:79" ht="14.65" thickBot="1" x14ac:dyDescent="0.5">
      <c r="A32" s="43"/>
      <c r="B32" s="69" t="s">
        <v>146</v>
      </c>
      <c r="C32" s="43"/>
      <c r="D32" s="43"/>
      <c r="E32" s="72"/>
      <c r="F32" s="43" t="s">
        <v>139</v>
      </c>
      <c r="N32" s="24">
        <f t="shared" ref="N32:AH32" si="126">-$E$66</f>
        <v>-300</v>
      </c>
      <c r="O32" s="24">
        <f t="shared" si="126"/>
        <v>-300</v>
      </c>
      <c r="P32" s="24">
        <f t="shared" si="126"/>
        <v>-300</v>
      </c>
      <c r="Q32" s="24">
        <f t="shared" si="126"/>
        <v>-300</v>
      </c>
      <c r="R32" s="24">
        <f t="shared" si="126"/>
        <v>-300</v>
      </c>
      <c r="S32" s="24">
        <f t="shared" si="126"/>
        <v>-300</v>
      </c>
      <c r="T32" s="24">
        <f t="shared" si="126"/>
        <v>-300</v>
      </c>
      <c r="U32" s="24">
        <f t="shared" si="126"/>
        <v>-300</v>
      </c>
      <c r="V32" s="24">
        <f t="shared" si="126"/>
        <v>-300</v>
      </c>
      <c r="W32" s="24">
        <f t="shared" si="126"/>
        <v>-300</v>
      </c>
      <c r="X32" s="24">
        <f t="shared" si="126"/>
        <v>-300</v>
      </c>
      <c r="Y32" s="24">
        <f t="shared" si="126"/>
        <v>-300</v>
      </c>
      <c r="Z32" s="24">
        <f t="shared" si="126"/>
        <v>-300</v>
      </c>
      <c r="AA32" s="24">
        <f t="shared" si="126"/>
        <v>-300</v>
      </c>
      <c r="AB32" s="24">
        <f t="shared" si="126"/>
        <v>-300</v>
      </c>
      <c r="AC32" s="24">
        <f t="shared" si="126"/>
        <v>-300</v>
      </c>
      <c r="AD32" s="24">
        <f t="shared" si="126"/>
        <v>-300</v>
      </c>
      <c r="AE32" s="24">
        <f t="shared" si="126"/>
        <v>-300</v>
      </c>
      <c r="AF32" s="24">
        <f t="shared" si="126"/>
        <v>-300</v>
      </c>
      <c r="AG32" s="24">
        <f t="shared" si="126"/>
        <v>-300</v>
      </c>
      <c r="AH32" s="24">
        <f t="shared" si="126"/>
        <v>-300</v>
      </c>
      <c r="AI32" s="24">
        <v>-400</v>
      </c>
      <c r="AJ32" s="24">
        <v>-400</v>
      </c>
      <c r="AK32" s="24">
        <v>-400</v>
      </c>
      <c r="AL32" s="24">
        <v>-399</v>
      </c>
      <c r="AM32" s="24">
        <v>-398</v>
      </c>
      <c r="AN32" s="24">
        <v>-397</v>
      </c>
      <c r="AO32" s="24">
        <v>-396</v>
      </c>
      <c r="AP32" s="24">
        <v>-395</v>
      </c>
      <c r="AQ32" s="24">
        <v>-394</v>
      </c>
      <c r="AR32" s="24">
        <v>-393</v>
      </c>
      <c r="AS32" s="24">
        <v>-392</v>
      </c>
      <c r="AT32" s="24">
        <v>-391</v>
      </c>
      <c r="AU32" s="24">
        <v>-390</v>
      </c>
      <c r="AV32" s="24">
        <v>-389</v>
      </c>
      <c r="AW32" s="24">
        <v>-388</v>
      </c>
      <c r="AX32" s="24">
        <v>-387</v>
      </c>
      <c r="AY32" s="24">
        <v>-386</v>
      </c>
      <c r="AZ32" s="24">
        <v>-385</v>
      </c>
      <c r="BA32" s="24">
        <v>-384</v>
      </c>
      <c r="BB32" s="24">
        <v>-383</v>
      </c>
      <c r="BC32" s="24">
        <v>-382</v>
      </c>
      <c r="BD32" s="24">
        <v>-381</v>
      </c>
      <c r="BE32" s="24">
        <v>-380</v>
      </c>
      <c r="BF32" s="24">
        <v>-379</v>
      </c>
      <c r="BG32" s="24">
        <v>-378</v>
      </c>
      <c r="BH32" s="24">
        <v>-377</v>
      </c>
      <c r="BI32" s="24">
        <v>-376</v>
      </c>
      <c r="BJ32" s="24">
        <v>-375</v>
      </c>
      <c r="BK32" s="24">
        <v>-374</v>
      </c>
      <c r="BL32" s="24">
        <v>-373</v>
      </c>
      <c r="BM32" s="24">
        <v>-372</v>
      </c>
      <c r="BN32" s="24">
        <v>-371</v>
      </c>
      <c r="BO32" s="24">
        <v>-370</v>
      </c>
      <c r="BP32" s="24">
        <v>-369</v>
      </c>
      <c r="BQ32" s="24">
        <v>-368</v>
      </c>
      <c r="BR32" s="24">
        <v>-367</v>
      </c>
      <c r="BS32" s="24">
        <v>-366</v>
      </c>
      <c r="BT32" s="24">
        <v>-365</v>
      </c>
      <c r="BU32" s="24">
        <v>-364</v>
      </c>
      <c r="BV32" s="24">
        <v>-363</v>
      </c>
      <c r="BW32" s="24">
        <v>-362</v>
      </c>
      <c r="BX32" s="24">
        <v>-361</v>
      </c>
      <c r="BY32" s="24">
        <v>-360</v>
      </c>
      <c r="BZ32" s="24">
        <v>-359</v>
      </c>
      <c r="CA32" s="24">
        <v>-358</v>
      </c>
    </row>
    <row r="33" spans="1:79" ht="14.65" thickBot="1" x14ac:dyDescent="0.5">
      <c r="A33" s="43"/>
      <c r="B33" s="69" t="s">
        <v>185</v>
      </c>
      <c r="C33" s="43"/>
      <c r="D33" s="43"/>
      <c r="E33" s="72"/>
      <c r="F33" s="43" t="s">
        <v>189</v>
      </c>
      <c r="N33" s="24">
        <f t="shared" ref="N33:BY33" si="127">-$E$70</f>
        <v>-100</v>
      </c>
      <c r="O33" s="24">
        <f t="shared" si="127"/>
        <v>-100</v>
      </c>
      <c r="P33" s="24">
        <f t="shared" si="127"/>
        <v>-100</v>
      </c>
      <c r="Q33" s="24">
        <f t="shared" si="127"/>
        <v>-100</v>
      </c>
      <c r="R33" s="24">
        <f t="shared" si="127"/>
        <v>-100</v>
      </c>
      <c r="S33" s="24">
        <f t="shared" si="127"/>
        <v>-100</v>
      </c>
      <c r="T33" s="24">
        <f t="shared" si="127"/>
        <v>-100</v>
      </c>
      <c r="U33" s="24">
        <f t="shared" si="127"/>
        <v>-100</v>
      </c>
      <c r="V33" s="24">
        <f t="shared" si="127"/>
        <v>-100</v>
      </c>
      <c r="W33" s="24">
        <f t="shared" si="127"/>
        <v>-100</v>
      </c>
      <c r="X33" s="24">
        <f t="shared" si="127"/>
        <v>-100</v>
      </c>
      <c r="Y33" s="24">
        <f t="shared" si="127"/>
        <v>-100</v>
      </c>
      <c r="Z33" s="24">
        <f t="shared" si="127"/>
        <v>-100</v>
      </c>
      <c r="AA33" s="24">
        <f t="shared" si="127"/>
        <v>-100</v>
      </c>
      <c r="AB33" s="24">
        <f t="shared" si="127"/>
        <v>-100</v>
      </c>
      <c r="AC33" s="24">
        <f t="shared" si="127"/>
        <v>-100</v>
      </c>
      <c r="AD33" s="24">
        <f t="shared" si="127"/>
        <v>-100</v>
      </c>
      <c r="AE33" s="24">
        <f t="shared" si="127"/>
        <v>-100</v>
      </c>
      <c r="AF33" s="24">
        <f t="shared" si="127"/>
        <v>-100</v>
      </c>
      <c r="AG33" s="24">
        <f t="shared" si="127"/>
        <v>-100</v>
      </c>
      <c r="AH33" s="24">
        <f t="shared" si="127"/>
        <v>-100</v>
      </c>
      <c r="AI33" s="24">
        <f t="shared" si="127"/>
        <v>-100</v>
      </c>
      <c r="AJ33" s="24">
        <f t="shared" si="127"/>
        <v>-100</v>
      </c>
      <c r="AK33" s="24">
        <f t="shared" si="127"/>
        <v>-100</v>
      </c>
      <c r="AL33" s="24">
        <f t="shared" si="127"/>
        <v>-100</v>
      </c>
      <c r="AM33" s="24">
        <f t="shared" si="127"/>
        <v>-100</v>
      </c>
      <c r="AN33" s="24">
        <f t="shared" si="127"/>
        <v>-100</v>
      </c>
      <c r="AO33" s="24">
        <f t="shared" si="127"/>
        <v>-100</v>
      </c>
      <c r="AP33" s="24">
        <f t="shared" si="127"/>
        <v>-100</v>
      </c>
      <c r="AQ33" s="24">
        <f t="shared" si="127"/>
        <v>-100</v>
      </c>
      <c r="AR33" s="24">
        <f t="shared" si="127"/>
        <v>-100</v>
      </c>
      <c r="AS33" s="24">
        <f t="shared" si="127"/>
        <v>-100</v>
      </c>
      <c r="AT33" s="24">
        <f t="shared" si="127"/>
        <v>-100</v>
      </c>
      <c r="AU33" s="24">
        <f t="shared" si="127"/>
        <v>-100</v>
      </c>
      <c r="AV33" s="24">
        <f t="shared" si="127"/>
        <v>-100</v>
      </c>
      <c r="AW33" s="24">
        <f t="shared" si="127"/>
        <v>-100</v>
      </c>
      <c r="AX33" s="24">
        <f t="shared" si="127"/>
        <v>-100</v>
      </c>
      <c r="AY33" s="24">
        <f t="shared" si="127"/>
        <v>-100</v>
      </c>
      <c r="AZ33" s="24">
        <f t="shared" si="127"/>
        <v>-100</v>
      </c>
      <c r="BA33" s="24">
        <f t="shared" si="127"/>
        <v>-100</v>
      </c>
      <c r="BB33" s="24">
        <f t="shared" si="127"/>
        <v>-100</v>
      </c>
      <c r="BC33" s="24">
        <f t="shared" si="127"/>
        <v>-100</v>
      </c>
      <c r="BD33" s="24">
        <f t="shared" si="127"/>
        <v>-100</v>
      </c>
      <c r="BE33" s="24">
        <f t="shared" si="127"/>
        <v>-100</v>
      </c>
      <c r="BF33" s="24">
        <f t="shared" si="127"/>
        <v>-100</v>
      </c>
      <c r="BG33" s="24">
        <f t="shared" si="127"/>
        <v>-100</v>
      </c>
      <c r="BH33" s="24">
        <f t="shared" si="127"/>
        <v>-100</v>
      </c>
      <c r="BI33" s="24">
        <f t="shared" si="127"/>
        <v>-100</v>
      </c>
      <c r="BJ33" s="24">
        <f t="shared" si="127"/>
        <v>-100</v>
      </c>
      <c r="BK33" s="24">
        <f t="shared" si="127"/>
        <v>-100</v>
      </c>
      <c r="BL33" s="24">
        <f t="shared" si="127"/>
        <v>-100</v>
      </c>
      <c r="BM33" s="24">
        <f t="shared" si="127"/>
        <v>-100</v>
      </c>
      <c r="BN33" s="24">
        <f t="shared" si="127"/>
        <v>-100</v>
      </c>
      <c r="BO33" s="24">
        <f t="shared" si="127"/>
        <v>-100</v>
      </c>
      <c r="BP33" s="24">
        <f t="shared" si="127"/>
        <v>-100</v>
      </c>
      <c r="BQ33" s="24">
        <f t="shared" si="127"/>
        <v>-100</v>
      </c>
      <c r="BR33" s="24">
        <f t="shared" si="127"/>
        <v>-100</v>
      </c>
      <c r="BS33" s="24">
        <f t="shared" si="127"/>
        <v>-100</v>
      </c>
      <c r="BT33" s="24">
        <f t="shared" si="127"/>
        <v>-100</v>
      </c>
      <c r="BU33" s="24">
        <f t="shared" si="127"/>
        <v>-100</v>
      </c>
      <c r="BV33" s="24">
        <f t="shared" si="127"/>
        <v>-100</v>
      </c>
      <c r="BW33" s="24">
        <f t="shared" si="127"/>
        <v>-100</v>
      </c>
      <c r="BX33" s="24">
        <f t="shared" si="127"/>
        <v>-100</v>
      </c>
      <c r="BY33" s="24">
        <f t="shared" si="127"/>
        <v>-100</v>
      </c>
      <c r="BZ33" s="24">
        <f t="shared" ref="BZ33:CA33" si="128">-$E$70</f>
        <v>-100</v>
      </c>
      <c r="CA33" s="24">
        <f t="shared" si="128"/>
        <v>-100</v>
      </c>
    </row>
    <row r="34" spans="1:79" s="27" customFormat="1" x14ac:dyDescent="0.45">
      <c r="A34" s="44"/>
      <c r="B34" s="44"/>
      <c r="C34" s="44"/>
      <c r="D34" s="44"/>
      <c r="E34" s="73"/>
      <c r="F34" s="44" t="s">
        <v>143</v>
      </c>
      <c r="N34" s="82">
        <v>-900</v>
      </c>
    </row>
    <row r="35" spans="1:79" x14ac:dyDescent="0.45">
      <c r="A35" s="23"/>
      <c r="B35" s="23"/>
      <c r="C35" s="23"/>
      <c r="D35" s="23"/>
    </row>
    <row r="36" spans="1:79" x14ac:dyDescent="0.45">
      <c r="A36" s="23"/>
      <c r="B36" s="23"/>
      <c r="C36" s="23"/>
      <c r="D36" s="23"/>
    </row>
    <row r="37" spans="1:79" ht="18" x14ac:dyDescent="0.55000000000000004">
      <c r="A37" s="110"/>
      <c r="B37" s="111"/>
      <c r="C37" s="111"/>
      <c r="D37" s="111"/>
      <c r="E37" s="112"/>
      <c r="F37" s="113" t="s">
        <v>320</v>
      </c>
    </row>
    <row r="38" spans="1:79" ht="14.65" thickBot="1" x14ac:dyDescent="0.5">
      <c r="A38" s="43"/>
      <c r="B38" s="43"/>
      <c r="C38" s="43"/>
      <c r="D38" s="43"/>
      <c r="E38" s="72"/>
      <c r="F38" s="43" t="s">
        <v>164</v>
      </c>
      <c r="Q38" s="24">
        <f t="shared" ref="Q38:Y38" si="129">(Q18+Q25+Q31)*$E$71</f>
        <v>532.4</v>
      </c>
      <c r="R38" s="24">
        <f t="shared" si="129"/>
        <v>532.4</v>
      </c>
      <c r="S38" s="24">
        <f t="shared" si="129"/>
        <v>532.4</v>
      </c>
      <c r="T38" s="24">
        <f t="shared" si="129"/>
        <v>532.4</v>
      </c>
      <c r="U38" s="24">
        <f t="shared" si="129"/>
        <v>532.4</v>
      </c>
      <c r="V38" s="24">
        <f t="shared" si="129"/>
        <v>532.4</v>
      </c>
      <c r="W38" s="24">
        <f t="shared" si="129"/>
        <v>532.4</v>
      </c>
      <c r="X38" s="24">
        <f t="shared" si="129"/>
        <v>532.4</v>
      </c>
      <c r="Y38" s="24">
        <f t="shared" si="129"/>
        <v>532.4</v>
      </c>
      <c r="Z38" s="24">
        <f t="shared" ref="Z38:AE38" si="130">(Z18+Z25+Z31+Z19)*$E$71</f>
        <v>648.56000000000006</v>
      </c>
      <c r="AA38" s="24">
        <f t="shared" si="130"/>
        <v>648.56000000000006</v>
      </c>
      <c r="AB38" s="24">
        <f t="shared" si="130"/>
        <v>648.56000000000006</v>
      </c>
      <c r="AC38" s="24">
        <f t="shared" si="130"/>
        <v>648.56000000000006</v>
      </c>
      <c r="AD38" s="24">
        <f t="shared" si="130"/>
        <v>648.56000000000006</v>
      </c>
      <c r="AE38" s="24">
        <f t="shared" si="130"/>
        <v>648.56000000000006</v>
      </c>
      <c r="AF38" s="24">
        <f t="shared" ref="AF38:AJ38" si="131">(AF18+AF25+AF31+AF19)*$E$72</f>
        <v>1474</v>
      </c>
      <c r="AG38" s="24">
        <f t="shared" si="131"/>
        <v>1474</v>
      </c>
      <c r="AH38" s="24">
        <f t="shared" si="131"/>
        <v>1474</v>
      </c>
      <c r="AI38" s="24">
        <f t="shared" si="131"/>
        <v>1474</v>
      </c>
      <c r="AJ38" s="24">
        <f t="shared" si="131"/>
        <v>1474</v>
      </c>
      <c r="AK38" s="24">
        <f t="shared" ref="AK38:AN38" si="132">(AK18+AK25+AK31+AK19)*$E$72</f>
        <v>1474</v>
      </c>
      <c r="AL38" s="24">
        <f t="shared" si="132"/>
        <v>1474</v>
      </c>
      <c r="AM38" s="24">
        <f t="shared" si="132"/>
        <v>1474</v>
      </c>
      <c r="AN38" s="24">
        <f t="shared" si="132"/>
        <v>1474</v>
      </c>
      <c r="AO38" s="24">
        <f t="shared" ref="AO38:AQ38" si="133">(AO18+AO25+AO31+AO19)*$E$72</f>
        <v>1474</v>
      </c>
      <c r="AP38" s="24">
        <f t="shared" si="133"/>
        <v>1474</v>
      </c>
      <c r="AQ38" s="24">
        <f t="shared" si="133"/>
        <v>1474</v>
      </c>
      <c r="AR38" s="24">
        <f t="shared" ref="AR38:AS38" si="134">(AR18+AR25+AR31+AR19)*$E$72</f>
        <v>1474</v>
      </c>
      <c r="AS38" s="24">
        <f t="shared" si="134"/>
        <v>1474</v>
      </c>
      <c r="AT38" s="24">
        <f t="shared" ref="AT38:AU38" si="135">(AT18+AT25+AT31+AT19)*$E$72</f>
        <v>1474</v>
      </c>
      <c r="AU38" s="24">
        <f t="shared" si="135"/>
        <v>1474</v>
      </c>
      <c r="AV38" s="24">
        <f t="shared" ref="AV38:BW38" si="136">(AV18+AV25+AV31+AV19)*$E$72</f>
        <v>1474</v>
      </c>
      <c r="AW38" s="24">
        <f t="shared" si="136"/>
        <v>1474</v>
      </c>
      <c r="AX38" s="24">
        <f t="shared" si="136"/>
        <v>1474</v>
      </c>
      <c r="AY38" s="24">
        <f t="shared" si="136"/>
        <v>1474</v>
      </c>
      <c r="AZ38" s="24">
        <f t="shared" si="136"/>
        <v>1474</v>
      </c>
      <c r="BA38" s="24">
        <f t="shared" si="136"/>
        <v>1474</v>
      </c>
      <c r="BB38" s="24">
        <f t="shared" si="136"/>
        <v>1474</v>
      </c>
      <c r="BC38" s="24">
        <f t="shared" si="136"/>
        <v>1474</v>
      </c>
      <c r="BD38" s="24">
        <f t="shared" si="136"/>
        <v>1474</v>
      </c>
      <c r="BE38" s="24">
        <f t="shared" si="136"/>
        <v>1474</v>
      </c>
      <c r="BF38" s="24">
        <f t="shared" si="136"/>
        <v>1474</v>
      </c>
      <c r="BG38" s="24">
        <f t="shared" si="136"/>
        <v>1474</v>
      </c>
      <c r="BH38" s="24">
        <f t="shared" si="136"/>
        <v>1474</v>
      </c>
      <c r="BI38" s="24">
        <f t="shared" si="136"/>
        <v>1474</v>
      </c>
      <c r="BJ38" s="24">
        <f t="shared" si="136"/>
        <v>1474</v>
      </c>
      <c r="BK38" s="24">
        <f t="shared" si="136"/>
        <v>1474</v>
      </c>
      <c r="BL38" s="24">
        <f t="shared" si="136"/>
        <v>1474</v>
      </c>
      <c r="BM38" s="24">
        <f t="shared" si="136"/>
        <v>1474</v>
      </c>
      <c r="BN38" s="24">
        <f t="shared" si="136"/>
        <v>1474</v>
      </c>
      <c r="BO38" s="24">
        <f t="shared" si="136"/>
        <v>1474</v>
      </c>
      <c r="BP38" s="24">
        <f t="shared" si="136"/>
        <v>1474</v>
      </c>
      <c r="BQ38" s="24">
        <f t="shared" si="136"/>
        <v>1474</v>
      </c>
      <c r="BR38" s="24">
        <f t="shared" si="136"/>
        <v>1474</v>
      </c>
      <c r="BS38" s="24">
        <f t="shared" si="136"/>
        <v>1474</v>
      </c>
      <c r="BT38" s="24">
        <f t="shared" si="136"/>
        <v>1474</v>
      </c>
      <c r="BU38" s="24">
        <f t="shared" si="136"/>
        <v>1474</v>
      </c>
      <c r="BV38" s="24">
        <f t="shared" si="136"/>
        <v>1474</v>
      </c>
      <c r="BW38" s="24">
        <f t="shared" si="136"/>
        <v>1474</v>
      </c>
      <c r="BX38" s="24">
        <f t="shared" ref="BX38:CA38" si="137">(BX18+BX25+BX31+BX19)*$E$72</f>
        <v>1474</v>
      </c>
      <c r="BY38" s="24">
        <f t="shared" si="137"/>
        <v>1474</v>
      </c>
      <c r="BZ38" s="24">
        <f t="shared" si="137"/>
        <v>1474</v>
      </c>
      <c r="CA38" s="24">
        <f t="shared" si="137"/>
        <v>1474</v>
      </c>
    </row>
    <row r="39" spans="1:79" ht="14.65" thickBot="1" x14ac:dyDescent="0.5">
      <c r="A39" s="43"/>
      <c r="B39" s="69" t="s">
        <v>146</v>
      </c>
      <c r="C39" s="69" t="s">
        <v>146</v>
      </c>
      <c r="D39" s="72"/>
      <c r="E39" s="72"/>
      <c r="F39" s="43" t="s">
        <v>168</v>
      </c>
      <c r="Q39" s="24">
        <f t="shared" ref="Q39:AE39" si="138">-$E$74</f>
        <v>-350</v>
      </c>
      <c r="R39" s="24">
        <f t="shared" si="138"/>
        <v>-350</v>
      </c>
      <c r="S39" s="24">
        <f t="shared" si="138"/>
        <v>-350</v>
      </c>
      <c r="T39" s="24">
        <f t="shared" si="138"/>
        <v>-350</v>
      </c>
      <c r="U39" s="24">
        <f t="shared" si="138"/>
        <v>-350</v>
      </c>
      <c r="V39" s="24">
        <f t="shared" si="138"/>
        <v>-350</v>
      </c>
      <c r="W39" s="24">
        <f t="shared" si="138"/>
        <v>-350</v>
      </c>
      <c r="X39" s="24">
        <f t="shared" si="138"/>
        <v>-350</v>
      </c>
      <c r="Y39" s="24">
        <f t="shared" si="138"/>
        <v>-350</v>
      </c>
      <c r="Z39" s="24">
        <f t="shared" si="138"/>
        <v>-350</v>
      </c>
      <c r="AA39" s="24">
        <f t="shared" si="138"/>
        <v>-350</v>
      </c>
      <c r="AB39" s="24">
        <f t="shared" si="138"/>
        <v>-350</v>
      </c>
      <c r="AC39" s="24">
        <f t="shared" si="138"/>
        <v>-350</v>
      </c>
      <c r="AD39" s="24">
        <f t="shared" si="138"/>
        <v>-350</v>
      </c>
      <c r="AE39" s="24">
        <f t="shared" si="138"/>
        <v>-350</v>
      </c>
      <c r="AF39" s="24">
        <f t="shared" ref="AF39:CA39" si="139">-$E$74*2</f>
        <v>-700</v>
      </c>
      <c r="AG39" s="24">
        <f t="shared" si="139"/>
        <v>-700</v>
      </c>
      <c r="AH39" s="24">
        <f t="shared" si="139"/>
        <v>-700</v>
      </c>
      <c r="AI39" s="24">
        <f t="shared" si="139"/>
        <v>-700</v>
      </c>
      <c r="AJ39" s="24">
        <f t="shared" si="139"/>
        <v>-700</v>
      </c>
      <c r="AK39" s="24">
        <f t="shared" si="139"/>
        <v>-700</v>
      </c>
      <c r="AL39" s="24">
        <f t="shared" si="139"/>
        <v>-700</v>
      </c>
      <c r="AM39" s="24">
        <f t="shared" si="139"/>
        <v>-700</v>
      </c>
      <c r="AN39" s="24">
        <f t="shared" si="139"/>
        <v>-700</v>
      </c>
      <c r="AO39" s="24">
        <f t="shared" si="139"/>
        <v>-700</v>
      </c>
      <c r="AP39" s="24">
        <f t="shared" si="139"/>
        <v>-700</v>
      </c>
      <c r="AQ39" s="24">
        <f t="shared" si="139"/>
        <v>-700</v>
      </c>
      <c r="AR39" s="24">
        <f t="shared" si="139"/>
        <v>-700</v>
      </c>
      <c r="AS39" s="24">
        <f t="shared" si="139"/>
        <v>-700</v>
      </c>
      <c r="AT39" s="24">
        <f t="shared" si="139"/>
        <v>-700</v>
      </c>
      <c r="AU39" s="24">
        <f t="shared" si="139"/>
        <v>-700</v>
      </c>
      <c r="AV39" s="24">
        <f t="shared" si="139"/>
        <v>-700</v>
      </c>
      <c r="AW39" s="24">
        <f t="shared" si="139"/>
        <v>-700</v>
      </c>
      <c r="AX39" s="24">
        <f t="shared" si="139"/>
        <v>-700</v>
      </c>
      <c r="AY39" s="24">
        <f t="shared" si="139"/>
        <v>-700</v>
      </c>
      <c r="AZ39" s="24">
        <f t="shared" si="139"/>
        <v>-700</v>
      </c>
      <c r="BA39" s="24">
        <f t="shared" si="139"/>
        <v>-700</v>
      </c>
      <c r="BB39" s="24">
        <f t="shared" si="139"/>
        <v>-700</v>
      </c>
      <c r="BC39" s="24">
        <f t="shared" si="139"/>
        <v>-700</v>
      </c>
      <c r="BD39" s="24">
        <f t="shared" si="139"/>
        <v>-700</v>
      </c>
      <c r="BE39" s="24">
        <f t="shared" si="139"/>
        <v>-700</v>
      </c>
      <c r="BF39" s="24">
        <f t="shared" si="139"/>
        <v>-700</v>
      </c>
      <c r="BG39" s="24">
        <f t="shared" si="139"/>
        <v>-700</v>
      </c>
      <c r="BH39" s="24">
        <f t="shared" si="139"/>
        <v>-700</v>
      </c>
      <c r="BI39" s="24">
        <f t="shared" si="139"/>
        <v>-700</v>
      </c>
      <c r="BJ39" s="24">
        <f t="shared" si="139"/>
        <v>-700</v>
      </c>
      <c r="BK39" s="24">
        <f t="shared" si="139"/>
        <v>-700</v>
      </c>
      <c r="BL39" s="24">
        <f t="shared" si="139"/>
        <v>-700</v>
      </c>
      <c r="BM39" s="24">
        <f t="shared" si="139"/>
        <v>-700</v>
      </c>
      <c r="BN39" s="24">
        <f t="shared" si="139"/>
        <v>-700</v>
      </c>
      <c r="BO39" s="24">
        <f t="shared" si="139"/>
        <v>-700</v>
      </c>
      <c r="BP39" s="24">
        <f t="shared" si="139"/>
        <v>-700</v>
      </c>
      <c r="BQ39" s="24">
        <f t="shared" si="139"/>
        <v>-700</v>
      </c>
      <c r="BR39" s="24">
        <f t="shared" si="139"/>
        <v>-700</v>
      </c>
      <c r="BS39" s="24">
        <f t="shared" si="139"/>
        <v>-700</v>
      </c>
      <c r="BT39" s="24">
        <f t="shared" si="139"/>
        <v>-700</v>
      </c>
      <c r="BU39" s="24">
        <f t="shared" si="139"/>
        <v>-700</v>
      </c>
      <c r="BV39" s="24">
        <f t="shared" si="139"/>
        <v>-700</v>
      </c>
      <c r="BW39" s="24">
        <f t="shared" si="139"/>
        <v>-700</v>
      </c>
      <c r="BX39" s="24">
        <f t="shared" si="139"/>
        <v>-700</v>
      </c>
      <c r="BY39" s="24">
        <f t="shared" si="139"/>
        <v>-700</v>
      </c>
      <c r="BZ39" s="24">
        <f t="shared" si="139"/>
        <v>-700</v>
      </c>
      <c r="CA39" s="24">
        <f t="shared" si="139"/>
        <v>-700</v>
      </c>
    </row>
    <row r="40" spans="1:79" ht="14.65" thickBot="1" x14ac:dyDescent="0.5">
      <c r="A40" s="43"/>
      <c r="B40" s="43"/>
      <c r="C40" s="43"/>
      <c r="D40" s="43"/>
      <c r="E40" s="72"/>
      <c r="F40" s="124" t="s">
        <v>321</v>
      </c>
      <c r="P40" s="115" t="s">
        <v>317</v>
      </c>
      <c r="Q40" s="27" t="s">
        <v>316</v>
      </c>
    </row>
    <row r="41" spans="1:79" s="27" customFormat="1" ht="14.65" thickBot="1" x14ac:dyDescent="0.5">
      <c r="A41" s="44"/>
      <c r="B41" s="69" t="s">
        <v>185</v>
      </c>
      <c r="C41" s="43"/>
      <c r="D41" s="43"/>
      <c r="E41" s="73"/>
      <c r="F41" s="124" t="s">
        <v>322</v>
      </c>
      <c r="AE41" s="122" t="s">
        <v>318</v>
      </c>
      <c r="AF41" s="118">
        <v>-12000</v>
      </c>
    </row>
    <row r="42" spans="1:79" x14ac:dyDescent="0.45">
      <c r="A42" s="23"/>
      <c r="B42" s="23"/>
      <c r="C42" s="23"/>
      <c r="D42" s="23"/>
    </row>
    <row r="43" spans="1:79" x14ac:dyDescent="0.45">
      <c r="A43" s="23"/>
      <c r="B43" s="23"/>
      <c r="C43" s="23"/>
      <c r="D43" s="23"/>
    </row>
    <row r="44" spans="1:79" ht="18.399999999999999" thickBot="1" x14ac:dyDescent="0.6">
      <c r="A44" s="110"/>
      <c r="B44" s="111"/>
      <c r="C44" s="111"/>
      <c r="D44" s="111"/>
      <c r="E44" s="112"/>
      <c r="F44" s="113" t="s">
        <v>263</v>
      </c>
    </row>
    <row r="45" spans="1:79" ht="14.65" thickBot="1" x14ac:dyDescent="0.5">
      <c r="A45" s="43"/>
      <c r="B45" s="70" t="s">
        <v>185</v>
      </c>
      <c r="C45" s="43"/>
      <c r="D45" s="43"/>
      <c r="E45" s="72"/>
      <c r="F45" s="43" t="s">
        <v>182</v>
      </c>
      <c r="H45" s="24">
        <f t="shared" ref="H44:AU45" si="140">-$E$69</f>
        <v>-25</v>
      </c>
      <c r="I45" s="24">
        <f t="shared" si="140"/>
        <v>-25</v>
      </c>
      <c r="J45" s="24">
        <f t="shared" si="140"/>
        <v>-25</v>
      </c>
      <c r="K45" s="24">
        <f t="shared" si="140"/>
        <v>-25</v>
      </c>
      <c r="L45" s="24">
        <f t="shared" si="140"/>
        <v>-25</v>
      </c>
      <c r="M45" s="24">
        <f t="shared" si="140"/>
        <v>-25</v>
      </c>
      <c r="N45" s="24">
        <f t="shared" si="140"/>
        <v>-25</v>
      </c>
      <c r="O45" s="24">
        <f t="shared" si="140"/>
        <v>-25</v>
      </c>
      <c r="P45" s="24">
        <f t="shared" si="140"/>
        <v>-25</v>
      </c>
      <c r="Q45" s="24">
        <f t="shared" si="140"/>
        <v>-25</v>
      </c>
      <c r="R45" s="24">
        <f t="shared" si="140"/>
        <v>-25</v>
      </c>
      <c r="S45" s="24">
        <f t="shared" si="140"/>
        <v>-25</v>
      </c>
      <c r="T45" s="24">
        <f t="shared" si="140"/>
        <v>-25</v>
      </c>
      <c r="U45" s="24">
        <f t="shared" si="140"/>
        <v>-25</v>
      </c>
      <c r="V45" s="24">
        <f t="shared" si="140"/>
        <v>-25</v>
      </c>
      <c r="W45" s="24">
        <f t="shared" si="140"/>
        <v>-25</v>
      </c>
      <c r="X45" s="24">
        <f t="shared" si="140"/>
        <v>-25</v>
      </c>
      <c r="Y45" s="24">
        <f t="shared" si="140"/>
        <v>-25</v>
      </c>
      <c r="Z45" s="24">
        <f t="shared" si="140"/>
        <v>-25</v>
      </c>
      <c r="AA45" s="24">
        <f t="shared" si="140"/>
        <v>-25</v>
      </c>
      <c r="AB45" s="24">
        <f t="shared" si="140"/>
        <v>-25</v>
      </c>
      <c r="AC45" s="24">
        <f t="shared" si="140"/>
        <v>-25</v>
      </c>
      <c r="AD45" s="24">
        <f t="shared" si="140"/>
        <v>-25</v>
      </c>
      <c r="AE45" s="24">
        <f t="shared" si="140"/>
        <v>-25</v>
      </c>
      <c r="AF45" s="24">
        <f t="shared" si="140"/>
        <v>-25</v>
      </c>
      <c r="AG45" s="24">
        <f t="shared" si="140"/>
        <v>-25</v>
      </c>
      <c r="AH45" s="24">
        <f t="shared" si="140"/>
        <v>-25</v>
      </c>
      <c r="AI45" s="24">
        <f t="shared" si="140"/>
        <v>-25</v>
      </c>
      <c r="AJ45" s="24">
        <f t="shared" si="140"/>
        <v>-25</v>
      </c>
      <c r="AK45" s="24">
        <f t="shared" si="140"/>
        <v>-25</v>
      </c>
      <c r="AL45" s="24">
        <f t="shared" si="140"/>
        <v>-25</v>
      </c>
      <c r="AM45" s="24">
        <f t="shared" si="140"/>
        <v>-25</v>
      </c>
      <c r="AN45" s="24">
        <f t="shared" si="140"/>
        <v>-25</v>
      </c>
      <c r="AO45" s="24">
        <f t="shared" si="140"/>
        <v>-25</v>
      </c>
      <c r="AP45" s="24">
        <f t="shared" si="140"/>
        <v>-25</v>
      </c>
      <c r="AQ45" s="24">
        <f t="shared" si="140"/>
        <v>-25</v>
      </c>
      <c r="AR45" s="24">
        <f t="shared" si="140"/>
        <v>-25</v>
      </c>
      <c r="AS45" s="24">
        <f t="shared" si="140"/>
        <v>-25</v>
      </c>
      <c r="AT45" s="24">
        <f t="shared" si="140"/>
        <v>-25</v>
      </c>
      <c r="AU45" s="24">
        <f t="shared" si="140"/>
        <v>-25</v>
      </c>
      <c r="AV45" s="24">
        <f t="shared" ref="AV45:BX46" si="141">-$E$69</f>
        <v>-25</v>
      </c>
      <c r="AW45" s="24">
        <f t="shared" si="141"/>
        <v>-25</v>
      </c>
      <c r="AX45" s="24">
        <f t="shared" si="141"/>
        <v>-25</v>
      </c>
      <c r="AY45" s="24">
        <f t="shared" si="141"/>
        <v>-25</v>
      </c>
      <c r="AZ45" s="24">
        <f t="shared" si="141"/>
        <v>-25</v>
      </c>
      <c r="BA45" s="24">
        <f t="shared" si="141"/>
        <v>-25</v>
      </c>
      <c r="BB45" s="24">
        <f t="shared" si="141"/>
        <v>-25</v>
      </c>
      <c r="BC45" s="24">
        <f t="shared" si="141"/>
        <v>-25</v>
      </c>
      <c r="BD45" s="24">
        <f t="shared" si="141"/>
        <v>-25</v>
      </c>
      <c r="BE45" s="24">
        <f t="shared" si="141"/>
        <v>-25</v>
      </c>
      <c r="BF45" s="24">
        <f t="shared" si="141"/>
        <v>-25</v>
      </c>
      <c r="BG45" s="24">
        <f t="shared" si="141"/>
        <v>-25</v>
      </c>
      <c r="BH45" s="24">
        <f t="shared" si="141"/>
        <v>-25</v>
      </c>
      <c r="BI45" s="24">
        <f t="shared" si="141"/>
        <v>-25</v>
      </c>
      <c r="BJ45" s="24">
        <f t="shared" si="141"/>
        <v>-25</v>
      </c>
      <c r="BK45" s="24">
        <f t="shared" si="141"/>
        <v>-25</v>
      </c>
      <c r="BL45" s="24">
        <f t="shared" si="141"/>
        <v>-25</v>
      </c>
      <c r="BM45" s="24">
        <f t="shared" si="141"/>
        <v>-25</v>
      </c>
      <c r="BN45" s="24">
        <f t="shared" si="141"/>
        <v>-25</v>
      </c>
      <c r="BO45" s="24">
        <f t="shared" si="141"/>
        <v>-25</v>
      </c>
      <c r="BP45" s="24">
        <f t="shared" si="141"/>
        <v>-25</v>
      </c>
      <c r="BQ45" s="24">
        <f t="shared" si="141"/>
        <v>-25</v>
      </c>
      <c r="BR45" s="24">
        <f t="shared" si="141"/>
        <v>-25</v>
      </c>
      <c r="BS45" s="24">
        <f t="shared" si="141"/>
        <v>-25</v>
      </c>
      <c r="BT45" s="24">
        <f t="shared" si="141"/>
        <v>-25</v>
      </c>
      <c r="BU45" s="24">
        <f t="shared" si="141"/>
        <v>-25</v>
      </c>
      <c r="BV45" s="24">
        <f t="shared" si="141"/>
        <v>-25</v>
      </c>
      <c r="BW45" s="24">
        <f t="shared" si="141"/>
        <v>-25</v>
      </c>
      <c r="BX45" s="24">
        <f t="shared" si="141"/>
        <v>-25</v>
      </c>
      <c r="BY45" s="24">
        <f t="shared" ref="BX45:CA47" si="142">-$E$69</f>
        <v>-25</v>
      </c>
      <c r="BZ45" s="24">
        <f t="shared" si="142"/>
        <v>-25</v>
      </c>
      <c r="CA45" s="24">
        <f t="shared" si="142"/>
        <v>-25</v>
      </c>
    </row>
    <row r="46" spans="1:79" ht="14.65" thickBot="1" x14ac:dyDescent="0.5">
      <c r="A46" s="43"/>
      <c r="B46" s="69" t="s">
        <v>185</v>
      </c>
      <c r="C46" s="43"/>
      <c r="D46" s="43"/>
      <c r="E46" s="72"/>
      <c r="F46" s="43" t="s">
        <v>183</v>
      </c>
      <c r="K46" s="24">
        <f t="shared" ref="K45:AU46" si="143">-$E$69</f>
        <v>-25</v>
      </c>
      <c r="L46" s="24">
        <f t="shared" si="143"/>
        <v>-25</v>
      </c>
      <c r="M46" s="24">
        <f t="shared" si="143"/>
        <v>-25</v>
      </c>
      <c r="N46" s="24">
        <f t="shared" si="143"/>
        <v>-25</v>
      </c>
      <c r="O46" s="24">
        <f t="shared" si="143"/>
        <v>-25</v>
      </c>
      <c r="P46" s="24">
        <f t="shared" si="143"/>
        <v>-25</v>
      </c>
      <c r="Q46" s="24">
        <f t="shared" si="143"/>
        <v>-25</v>
      </c>
      <c r="R46" s="24">
        <f t="shared" si="143"/>
        <v>-25</v>
      </c>
      <c r="S46" s="24">
        <f t="shared" si="143"/>
        <v>-25</v>
      </c>
      <c r="T46" s="24">
        <f t="shared" si="143"/>
        <v>-25</v>
      </c>
      <c r="U46" s="24">
        <f t="shared" si="143"/>
        <v>-25</v>
      </c>
      <c r="V46" s="24">
        <f t="shared" si="143"/>
        <v>-25</v>
      </c>
      <c r="W46" s="24">
        <f t="shared" si="143"/>
        <v>-25</v>
      </c>
      <c r="X46" s="24">
        <f t="shared" si="143"/>
        <v>-25</v>
      </c>
      <c r="Y46" s="24">
        <f t="shared" si="143"/>
        <v>-25</v>
      </c>
      <c r="Z46" s="24">
        <f t="shared" si="143"/>
        <v>-25</v>
      </c>
      <c r="AA46" s="24">
        <f t="shared" si="143"/>
        <v>-25</v>
      </c>
      <c r="AB46" s="24">
        <f t="shared" si="143"/>
        <v>-25</v>
      </c>
      <c r="AC46" s="24">
        <f t="shared" si="143"/>
        <v>-25</v>
      </c>
      <c r="AD46" s="24">
        <f t="shared" si="143"/>
        <v>-25</v>
      </c>
      <c r="AE46" s="24">
        <f t="shared" si="143"/>
        <v>-25</v>
      </c>
      <c r="AF46" s="24">
        <f t="shared" si="143"/>
        <v>-25</v>
      </c>
      <c r="AG46" s="24">
        <f t="shared" si="143"/>
        <v>-25</v>
      </c>
      <c r="AH46" s="24">
        <f t="shared" si="143"/>
        <v>-25</v>
      </c>
      <c r="AI46" s="24">
        <f t="shared" si="143"/>
        <v>-25</v>
      </c>
      <c r="AJ46" s="24">
        <f t="shared" si="143"/>
        <v>-25</v>
      </c>
      <c r="AK46" s="24">
        <f t="shared" si="143"/>
        <v>-25</v>
      </c>
      <c r="AL46" s="24">
        <f t="shared" si="143"/>
        <v>-25</v>
      </c>
      <c r="AM46" s="24">
        <f t="shared" si="143"/>
        <v>-25</v>
      </c>
      <c r="AN46" s="24">
        <f t="shared" si="143"/>
        <v>-25</v>
      </c>
      <c r="AO46" s="24">
        <f t="shared" si="143"/>
        <v>-25</v>
      </c>
      <c r="AP46" s="24">
        <f t="shared" si="143"/>
        <v>-25</v>
      </c>
      <c r="AQ46" s="24">
        <f t="shared" si="143"/>
        <v>-25</v>
      </c>
      <c r="AR46" s="24">
        <f t="shared" si="143"/>
        <v>-25</v>
      </c>
      <c r="AS46" s="24">
        <f t="shared" si="143"/>
        <v>-25</v>
      </c>
      <c r="AT46" s="24">
        <f t="shared" si="143"/>
        <v>-25</v>
      </c>
      <c r="AU46" s="24">
        <f t="shared" si="143"/>
        <v>-25</v>
      </c>
      <c r="AV46" s="24">
        <f t="shared" si="141"/>
        <v>-25</v>
      </c>
      <c r="AW46" s="24">
        <f t="shared" si="141"/>
        <v>-25</v>
      </c>
      <c r="AX46" s="24">
        <f t="shared" si="141"/>
        <v>-25</v>
      </c>
      <c r="AY46" s="24">
        <f t="shared" si="141"/>
        <v>-25</v>
      </c>
      <c r="AZ46" s="24">
        <f t="shared" si="141"/>
        <v>-25</v>
      </c>
      <c r="BA46" s="24">
        <f t="shared" si="141"/>
        <v>-25</v>
      </c>
      <c r="BB46" s="24">
        <f t="shared" si="141"/>
        <v>-25</v>
      </c>
      <c r="BC46" s="24">
        <f t="shared" si="141"/>
        <v>-25</v>
      </c>
      <c r="BD46" s="24">
        <f t="shared" si="141"/>
        <v>-25</v>
      </c>
      <c r="BE46" s="24">
        <f t="shared" si="141"/>
        <v>-25</v>
      </c>
      <c r="BF46" s="24">
        <f t="shared" si="141"/>
        <v>-25</v>
      </c>
      <c r="BG46" s="24">
        <f t="shared" si="141"/>
        <v>-25</v>
      </c>
      <c r="BH46" s="24">
        <f t="shared" si="141"/>
        <v>-25</v>
      </c>
      <c r="BI46" s="24">
        <f t="shared" si="141"/>
        <v>-25</v>
      </c>
      <c r="BJ46" s="24">
        <f t="shared" si="141"/>
        <v>-25</v>
      </c>
      <c r="BK46" s="24">
        <f t="shared" si="141"/>
        <v>-25</v>
      </c>
      <c r="BL46" s="24">
        <f t="shared" si="141"/>
        <v>-25</v>
      </c>
      <c r="BM46" s="24">
        <f t="shared" si="141"/>
        <v>-25</v>
      </c>
      <c r="BN46" s="24">
        <f t="shared" si="141"/>
        <v>-25</v>
      </c>
      <c r="BO46" s="24">
        <f t="shared" si="141"/>
        <v>-25</v>
      </c>
      <c r="BP46" s="24">
        <f t="shared" si="141"/>
        <v>-25</v>
      </c>
      <c r="BQ46" s="24">
        <f t="shared" si="141"/>
        <v>-25</v>
      </c>
      <c r="BR46" s="24">
        <f t="shared" si="141"/>
        <v>-25</v>
      </c>
      <c r="BS46" s="24">
        <f t="shared" si="141"/>
        <v>-25</v>
      </c>
      <c r="BT46" s="24">
        <f t="shared" si="141"/>
        <v>-25</v>
      </c>
      <c r="BU46" s="24">
        <f t="shared" si="141"/>
        <v>-25</v>
      </c>
      <c r="BV46" s="24">
        <f t="shared" si="141"/>
        <v>-25</v>
      </c>
      <c r="BW46" s="24">
        <f t="shared" si="141"/>
        <v>-25</v>
      </c>
      <c r="BX46" s="24">
        <f t="shared" si="142"/>
        <v>-25</v>
      </c>
      <c r="BY46" s="24">
        <f t="shared" si="142"/>
        <v>-25</v>
      </c>
      <c r="BZ46" s="24">
        <f t="shared" si="142"/>
        <v>-25</v>
      </c>
      <c r="CA46" s="24">
        <f t="shared" si="142"/>
        <v>-25</v>
      </c>
    </row>
    <row r="47" spans="1:79" ht="14.65" thickBot="1" x14ac:dyDescent="0.5">
      <c r="A47" s="43"/>
      <c r="B47" s="71" t="s">
        <v>185</v>
      </c>
      <c r="C47" s="43"/>
      <c r="D47" s="43"/>
      <c r="E47" s="72"/>
      <c r="F47" s="43" t="s">
        <v>184</v>
      </c>
      <c r="N47" s="24">
        <f t="shared" ref="N47:BY47" si="144">-$E$69</f>
        <v>-25</v>
      </c>
      <c r="O47" s="24">
        <f t="shared" si="144"/>
        <v>-25</v>
      </c>
      <c r="P47" s="24">
        <f t="shared" si="144"/>
        <v>-25</v>
      </c>
      <c r="Q47" s="24">
        <f t="shared" si="144"/>
        <v>-25</v>
      </c>
      <c r="R47" s="24">
        <f t="shared" si="144"/>
        <v>-25</v>
      </c>
      <c r="S47" s="24">
        <f t="shared" si="144"/>
        <v>-25</v>
      </c>
      <c r="T47" s="24">
        <f t="shared" si="144"/>
        <v>-25</v>
      </c>
      <c r="U47" s="24">
        <f t="shared" si="144"/>
        <v>-25</v>
      </c>
      <c r="V47" s="24">
        <f t="shared" si="144"/>
        <v>-25</v>
      </c>
      <c r="W47" s="24">
        <f t="shared" si="144"/>
        <v>-25</v>
      </c>
      <c r="X47" s="24">
        <f t="shared" si="144"/>
        <v>-25</v>
      </c>
      <c r="Y47" s="24">
        <f t="shared" si="144"/>
        <v>-25</v>
      </c>
      <c r="Z47" s="24">
        <f t="shared" si="144"/>
        <v>-25</v>
      </c>
      <c r="AA47" s="24">
        <f t="shared" si="144"/>
        <v>-25</v>
      </c>
      <c r="AB47" s="24">
        <f t="shared" si="144"/>
        <v>-25</v>
      </c>
      <c r="AC47" s="24">
        <f t="shared" si="144"/>
        <v>-25</v>
      </c>
      <c r="AD47" s="24">
        <f t="shared" si="144"/>
        <v>-25</v>
      </c>
      <c r="AE47" s="24">
        <f t="shared" si="144"/>
        <v>-25</v>
      </c>
      <c r="AF47" s="24">
        <f t="shared" si="144"/>
        <v>-25</v>
      </c>
      <c r="AG47" s="24">
        <f t="shared" si="144"/>
        <v>-25</v>
      </c>
      <c r="AH47" s="24">
        <f t="shared" si="144"/>
        <v>-25</v>
      </c>
      <c r="AI47" s="24">
        <f t="shared" si="144"/>
        <v>-25</v>
      </c>
      <c r="AJ47" s="24">
        <f t="shared" si="144"/>
        <v>-25</v>
      </c>
      <c r="AK47" s="24">
        <f t="shared" si="144"/>
        <v>-25</v>
      </c>
      <c r="AL47" s="24">
        <f t="shared" si="144"/>
        <v>-25</v>
      </c>
      <c r="AM47" s="24">
        <f t="shared" si="144"/>
        <v>-25</v>
      </c>
      <c r="AN47" s="24">
        <f t="shared" si="144"/>
        <v>-25</v>
      </c>
      <c r="AO47" s="24">
        <f t="shared" si="144"/>
        <v>-25</v>
      </c>
      <c r="AP47" s="24">
        <f t="shared" si="144"/>
        <v>-25</v>
      </c>
      <c r="AQ47" s="24">
        <f t="shared" si="144"/>
        <v>-25</v>
      </c>
      <c r="AR47" s="24">
        <f t="shared" si="144"/>
        <v>-25</v>
      </c>
      <c r="AS47" s="24">
        <f t="shared" si="144"/>
        <v>-25</v>
      </c>
      <c r="AT47" s="24">
        <f t="shared" si="144"/>
        <v>-25</v>
      </c>
      <c r="AU47" s="24">
        <f t="shared" si="144"/>
        <v>-25</v>
      </c>
      <c r="AV47" s="24">
        <f t="shared" si="144"/>
        <v>-25</v>
      </c>
      <c r="AW47" s="24">
        <f t="shared" si="144"/>
        <v>-25</v>
      </c>
      <c r="AX47" s="24">
        <f t="shared" si="144"/>
        <v>-25</v>
      </c>
      <c r="AY47" s="24">
        <f t="shared" si="144"/>
        <v>-25</v>
      </c>
      <c r="AZ47" s="24">
        <f t="shared" si="144"/>
        <v>-25</v>
      </c>
      <c r="BA47" s="24">
        <f t="shared" si="144"/>
        <v>-25</v>
      </c>
      <c r="BB47" s="24">
        <f t="shared" si="144"/>
        <v>-25</v>
      </c>
      <c r="BC47" s="24">
        <f t="shared" si="144"/>
        <v>-25</v>
      </c>
      <c r="BD47" s="24">
        <f t="shared" si="144"/>
        <v>-25</v>
      </c>
      <c r="BE47" s="24">
        <f t="shared" si="144"/>
        <v>-25</v>
      </c>
      <c r="BF47" s="24">
        <f t="shared" si="144"/>
        <v>-25</v>
      </c>
      <c r="BG47" s="24">
        <f t="shared" si="144"/>
        <v>-25</v>
      </c>
      <c r="BH47" s="24">
        <f t="shared" si="144"/>
        <v>-25</v>
      </c>
      <c r="BI47" s="24">
        <f t="shared" si="144"/>
        <v>-25</v>
      </c>
      <c r="BJ47" s="24">
        <f t="shared" si="144"/>
        <v>-25</v>
      </c>
      <c r="BK47" s="24">
        <f t="shared" si="144"/>
        <v>-25</v>
      </c>
      <c r="BL47" s="24">
        <f t="shared" si="144"/>
        <v>-25</v>
      </c>
      <c r="BM47" s="24">
        <f t="shared" si="144"/>
        <v>-25</v>
      </c>
      <c r="BN47" s="24">
        <f t="shared" si="144"/>
        <v>-25</v>
      </c>
      <c r="BO47" s="24">
        <f t="shared" si="144"/>
        <v>-25</v>
      </c>
      <c r="BP47" s="24">
        <f t="shared" si="144"/>
        <v>-25</v>
      </c>
      <c r="BQ47" s="24">
        <f t="shared" si="144"/>
        <v>-25</v>
      </c>
      <c r="BR47" s="24">
        <f t="shared" si="144"/>
        <v>-25</v>
      </c>
      <c r="BS47" s="24">
        <f t="shared" si="144"/>
        <v>-25</v>
      </c>
      <c r="BT47" s="24">
        <f t="shared" si="144"/>
        <v>-25</v>
      </c>
      <c r="BU47" s="24">
        <f t="shared" si="144"/>
        <v>-25</v>
      </c>
      <c r="BV47" s="24">
        <f t="shared" si="144"/>
        <v>-25</v>
      </c>
      <c r="BW47" s="24">
        <f t="shared" si="144"/>
        <v>-25</v>
      </c>
      <c r="BX47" s="24">
        <f t="shared" si="144"/>
        <v>-25</v>
      </c>
      <c r="BY47" s="24">
        <f t="shared" si="144"/>
        <v>-25</v>
      </c>
      <c r="BZ47" s="24">
        <f t="shared" si="142"/>
        <v>-25</v>
      </c>
      <c r="CA47" s="24">
        <f t="shared" si="142"/>
        <v>-25</v>
      </c>
    </row>
    <row r="48" spans="1:79" s="27" customFormat="1" x14ac:dyDescent="0.45">
      <c r="A48" s="44"/>
      <c r="B48" s="44"/>
      <c r="C48" s="44"/>
      <c r="D48" s="44"/>
      <c r="E48" s="73"/>
      <c r="F48" s="44" t="s">
        <v>145</v>
      </c>
    </row>
    <row r="49" spans="1:79" x14ac:dyDescent="0.45">
      <c r="A49" s="23"/>
      <c r="B49" s="23"/>
      <c r="C49" s="23"/>
      <c r="D49" s="23"/>
    </row>
    <row r="50" spans="1:79" x14ac:dyDescent="0.45">
      <c r="A50" s="72"/>
      <c r="B50" s="72"/>
      <c r="C50" s="72"/>
      <c r="D50" s="72"/>
      <c r="E50" s="72" t="s">
        <v>147</v>
      </c>
      <c r="F50" s="43" t="s">
        <v>289</v>
      </c>
      <c r="AC50" s="24">
        <f t="shared" ref="AC50:AE50" si="145">1/7*500/2</f>
        <v>35.714285714285715</v>
      </c>
      <c r="AD50" s="24">
        <f t="shared" si="145"/>
        <v>35.714285714285715</v>
      </c>
      <c r="AE50" s="24">
        <f t="shared" si="145"/>
        <v>35.714285714285715</v>
      </c>
      <c r="AF50" s="24">
        <f>1/7*500/2</f>
        <v>35.714285714285715</v>
      </c>
      <c r="AG50" s="24">
        <f t="shared" ref="AG50:CA50" si="146">1/7*500/2</f>
        <v>35.714285714285715</v>
      </c>
      <c r="AH50" s="24">
        <f t="shared" si="146"/>
        <v>35.714285714285715</v>
      </c>
      <c r="AI50" s="24">
        <f>1/7*500/2</f>
        <v>35.714285714285715</v>
      </c>
      <c r="AJ50" s="24">
        <f t="shared" si="146"/>
        <v>35.714285714285715</v>
      </c>
      <c r="AK50" s="24">
        <f t="shared" si="146"/>
        <v>35.714285714285715</v>
      </c>
      <c r="AL50" s="24">
        <f t="shared" si="146"/>
        <v>35.714285714285715</v>
      </c>
      <c r="AM50" s="24">
        <f t="shared" si="146"/>
        <v>35.714285714285715</v>
      </c>
      <c r="AN50" s="24">
        <f t="shared" si="146"/>
        <v>35.714285714285715</v>
      </c>
      <c r="AO50" s="24">
        <f t="shared" si="146"/>
        <v>35.714285714285715</v>
      </c>
      <c r="AP50" s="24">
        <f t="shared" si="146"/>
        <v>35.714285714285715</v>
      </c>
      <c r="AQ50" s="24">
        <f t="shared" si="146"/>
        <v>35.714285714285715</v>
      </c>
      <c r="AR50" s="24">
        <f t="shared" si="146"/>
        <v>35.714285714285715</v>
      </c>
      <c r="AS50" s="24">
        <f t="shared" si="146"/>
        <v>35.714285714285715</v>
      </c>
      <c r="AT50" s="24">
        <f t="shared" si="146"/>
        <v>35.714285714285715</v>
      </c>
      <c r="AU50" s="24">
        <f t="shared" si="146"/>
        <v>35.714285714285715</v>
      </c>
      <c r="AV50" s="24">
        <f t="shared" si="146"/>
        <v>35.714285714285715</v>
      </c>
      <c r="AW50" s="24">
        <f t="shared" si="146"/>
        <v>35.714285714285715</v>
      </c>
      <c r="AX50" s="24">
        <f t="shared" si="146"/>
        <v>35.714285714285715</v>
      </c>
      <c r="AY50" s="24">
        <f t="shared" si="146"/>
        <v>35.714285714285715</v>
      </c>
      <c r="AZ50" s="24">
        <f t="shared" si="146"/>
        <v>35.714285714285715</v>
      </c>
      <c r="BA50" s="24">
        <f t="shared" si="146"/>
        <v>35.714285714285715</v>
      </c>
      <c r="BB50" s="24">
        <f t="shared" si="146"/>
        <v>35.714285714285715</v>
      </c>
      <c r="BC50" s="24">
        <f t="shared" si="146"/>
        <v>35.714285714285715</v>
      </c>
      <c r="BD50" s="24">
        <f t="shared" si="146"/>
        <v>35.714285714285715</v>
      </c>
      <c r="BE50" s="24">
        <f t="shared" si="146"/>
        <v>35.714285714285715</v>
      </c>
      <c r="BF50" s="24">
        <f t="shared" si="146"/>
        <v>35.714285714285715</v>
      </c>
      <c r="BG50" s="24">
        <f t="shared" si="146"/>
        <v>35.714285714285715</v>
      </c>
      <c r="BH50" s="24">
        <f t="shared" si="146"/>
        <v>35.714285714285715</v>
      </c>
      <c r="BI50" s="24">
        <f t="shared" si="146"/>
        <v>35.714285714285715</v>
      </c>
      <c r="BJ50" s="24">
        <f t="shared" si="146"/>
        <v>35.714285714285715</v>
      </c>
      <c r="BK50" s="24">
        <f t="shared" si="146"/>
        <v>35.714285714285715</v>
      </c>
      <c r="BL50" s="24">
        <f t="shared" si="146"/>
        <v>35.714285714285715</v>
      </c>
      <c r="BM50" s="24">
        <f t="shared" si="146"/>
        <v>35.714285714285715</v>
      </c>
      <c r="BN50" s="24">
        <f t="shared" si="146"/>
        <v>35.714285714285715</v>
      </c>
      <c r="BO50" s="24">
        <f t="shared" si="146"/>
        <v>35.714285714285715</v>
      </c>
      <c r="BP50" s="24">
        <f t="shared" si="146"/>
        <v>35.714285714285715</v>
      </c>
      <c r="BQ50" s="24">
        <f t="shared" si="146"/>
        <v>35.714285714285715</v>
      </c>
      <c r="BR50" s="24">
        <f t="shared" si="146"/>
        <v>35.714285714285715</v>
      </c>
      <c r="BS50" s="24">
        <f t="shared" si="146"/>
        <v>35.714285714285715</v>
      </c>
      <c r="BT50" s="24">
        <f t="shared" si="146"/>
        <v>35.714285714285715</v>
      </c>
      <c r="BU50" s="24">
        <f t="shared" si="146"/>
        <v>35.714285714285715</v>
      </c>
      <c r="BV50" s="24">
        <f t="shared" si="146"/>
        <v>35.714285714285715</v>
      </c>
      <c r="BW50" s="24">
        <f t="shared" si="146"/>
        <v>35.714285714285715</v>
      </c>
      <c r="BX50" s="24">
        <f t="shared" si="146"/>
        <v>35.714285714285715</v>
      </c>
      <c r="BY50" s="24">
        <f t="shared" si="146"/>
        <v>35.714285714285715</v>
      </c>
      <c r="BZ50" s="24">
        <f t="shared" si="146"/>
        <v>35.714285714285715</v>
      </c>
      <c r="CA50" s="24">
        <f t="shared" si="146"/>
        <v>35.714285714285715</v>
      </c>
    </row>
    <row r="51" spans="1:79" x14ac:dyDescent="0.45">
      <c r="A51" s="23"/>
      <c r="B51" s="23"/>
      <c r="C51" s="23"/>
      <c r="D51" s="23"/>
      <c r="F51" s="43" t="s">
        <v>331</v>
      </c>
      <c r="AC51" s="24">
        <v>-103</v>
      </c>
      <c r="AD51" s="24">
        <v>-102</v>
      </c>
      <c r="AE51" s="24">
        <v>-101</v>
      </c>
      <c r="AF51" s="24">
        <v>-100</v>
      </c>
      <c r="AG51" s="24">
        <v>-100</v>
      </c>
      <c r="AH51" s="24">
        <v>-100</v>
      </c>
      <c r="AI51" s="24">
        <v>-100</v>
      </c>
      <c r="AJ51" s="24">
        <v>-100</v>
      </c>
      <c r="AK51" s="24">
        <v>-100</v>
      </c>
      <c r="AL51" s="24">
        <v>-100</v>
      </c>
      <c r="AM51" s="24">
        <v>-100</v>
      </c>
      <c r="AN51" s="24">
        <v>-100</v>
      </c>
      <c r="AO51" s="24">
        <v>-100</v>
      </c>
      <c r="AP51" s="24">
        <v>-100</v>
      </c>
      <c r="AQ51" s="24">
        <v>-100</v>
      </c>
      <c r="AR51" s="24">
        <v>-100</v>
      </c>
      <c r="AS51" s="24">
        <v>-100</v>
      </c>
      <c r="AT51" s="24">
        <v>-100</v>
      </c>
      <c r="AU51" s="24">
        <v>-100</v>
      </c>
      <c r="AV51" s="24">
        <v>-100</v>
      </c>
      <c r="AW51" s="24">
        <v>-100</v>
      </c>
      <c r="AX51" s="24">
        <v>-100</v>
      </c>
      <c r="AY51" s="24">
        <v>-100</v>
      </c>
      <c r="AZ51" s="24">
        <v>-100</v>
      </c>
      <c r="BA51" s="24">
        <v>-100</v>
      </c>
      <c r="BB51" s="24">
        <v>-100</v>
      </c>
      <c r="BC51" s="24">
        <v>-100</v>
      </c>
      <c r="BD51" s="24">
        <v>-100</v>
      </c>
      <c r="BE51" s="24">
        <v>-100</v>
      </c>
      <c r="BF51" s="24">
        <v>-100</v>
      </c>
      <c r="BG51" s="24">
        <v>-100</v>
      </c>
      <c r="BH51" s="24">
        <v>-100</v>
      </c>
      <c r="BI51" s="24">
        <v>-100</v>
      </c>
      <c r="BJ51" s="24">
        <v>-100</v>
      </c>
      <c r="BK51" s="24">
        <v>-100</v>
      </c>
      <c r="BL51" s="24">
        <v>-100</v>
      </c>
      <c r="BM51" s="24">
        <v>-100</v>
      </c>
      <c r="BN51" s="24">
        <v>-100</v>
      </c>
      <c r="BO51" s="24">
        <v>-100</v>
      </c>
      <c r="BP51" s="24">
        <v>-100</v>
      </c>
      <c r="BQ51" s="24">
        <v>-100</v>
      </c>
      <c r="BR51" s="24">
        <v>-100</v>
      </c>
      <c r="BS51" s="24">
        <v>-100</v>
      </c>
      <c r="BT51" s="24">
        <v>-100</v>
      </c>
      <c r="BU51" s="24">
        <v>-100</v>
      </c>
      <c r="BV51" s="24">
        <v>-100</v>
      </c>
      <c r="BW51" s="24">
        <v>-100</v>
      </c>
      <c r="BX51" s="24">
        <v>-99</v>
      </c>
      <c r="BY51" s="24">
        <v>-98</v>
      </c>
      <c r="BZ51" s="24">
        <v>-97</v>
      </c>
      <c r="CA51" s="24">
        <v>-96</v>
      </c>
    </row>
    <row r="52" spans="1:79" x14ac:dyDescent="0.45">
      <c r="A52" s="23"/>
      <c r="B52" s="23"/>
      <c r="C52" s="23"/>
      <c r="D52" s="23"/>
    </row>
    <row r="53" spans="1:79" x14ac:dyDescent="0.45">
      <c r="A53" s="23"/>
      <c r="B53" s="23"/>
      <c r="C53" s="23"/>
      <c r="D53" s="23"/>
    </row>
    <row r="54" spans="1:79" s="116" customFormat="1" x14ac:dyDescent="0.45">
      <c r="A54" s="129"/>
      <c r="B54" s="129"/>
      <c r="C54" s="129"/>
      <c r="D54" s="129"/>
      <c r="E54" s="127"/>
      <c r="F54" s="130" t="s">
        <v>288</v>
      </c>
      <c r="H54" s="116">
        <f>-SUMIF(H17:H48, "&gt;=0")*$E$78</f>
        <v>-33</v>
      </c>
      <c r="I54" s="116">
        <f t="shared" ref="I54:AK54" si="147">-SUMIF(I17:I48, "&gt;=0")*$E$78</f>
        <v>-33</v>
      </c>
      <c r="J54" s="116">
        <f t="shared" si="147"/>
        <v>-33</v>
      </c>
      <c r="K54" s="116">
        <f t="shared" si="147"/>
        <v>-52.8</v>
      </c>
      <c r="L54" s="116">
        <f t="shared" si="147"/>
        <v>-52.8</v>
      </c>
      <c r="M54" s="116">
        <f t="shared" si="147"/>
        <v>-52.8</v>
      </c>
      <c r="N54" s="116">
        <f t="shared" si="147"/>
        <v>-72.599999999999994</v>
      </c>
      <c r="O54" s="116">
        <f t="shared" si="147"/>
        <v>-72.599999999999994</v>
      </c>
      <c r="P54" s="116">
        <f t="shared" si="147"/>
        <v>-72.599999999999994</v>
      </c>
      <c r="Q54" s="116">
        <f t="shared" si="147"/>
        <v>-88.572000000000003</v>
      </c>
      <c r="R54" s="116">
        <f t="shared" si="147"/>
        <v>-88.572000000000003</v>
      </c>
      <c r="S54" s="116">
        <f t="shared" si="147"/>
        <v>-88.572000000000003</v>
      </c>
      <c r="T54" s="116">
        <f t="shared" si="147"/>
        <v>-88.572000000000003</v>
      </c>
      <c r="U54" s="116">
        <f t="shared" si="147"/>
        <v>-88.572000000000003</v>
      </c>
      <c r="V54" s="116">
        <f t="shared" si="147"/>
        <v>-88.572000000000003</v>
      </c>
      <c r="W54" s="116">
        <f t="shared" si="147"/>
        <v>-88.572000000000003</v>
      </c>
      <c r="X54" s="116">
        <f t="shared" si="147"/>
        <v>-88.572000000000003</v>
      </c>
      <c r="Y54" s="116">
        <f t="shared" si="147"/>
        <v>-88.572000000000003</v>
      </c>
      <c r="Z54" s="116">
        <f t="shared" si="147"/>
        <v>-107.8968</v>
      </c>
      <c r="AA54" s="116">
        <f t="shared" si="147"/>
        <v>-107.8968</v>
      </c>
      <c r="AB54" s="116">
        <f t="shared" si="147"/>
        <v>-107.8968</v>
      </c>
      <c r="AC54" s="116">
        <f t="shared" si="147"/>
        <v>-107.8968</v>
      </c>
      <c r="AD54" s="116">
        <f t="shared" si="147"/>
        <v>-107.8968</v>
      </c>
      <c r="AE54" s="116">
        <f t="shared" si="147"/>
        <v>-107.8968</v>
      </c>
      <c r="AF54" s="116">
        <f t="shared" si="147"/>
        <v>-132.66</v>
      </c>
      <c r="AG54" s="116">
        <f t="shared" si="147"/>
        <v>-132.66</v>
      </c>
      <c r="AH54" s="116">
        <f t="shared" si="147"/>
        <v>-132.66</v>
      </c>
      <c r="AI54" s="116">
        <f t="shared" si="147"/>
        <v>-132.66</v>
      </c>
      <c r="AJ54" s="116">
        <f t="shared" si="147"/>
        <v>-132.66</v>
      </c>
      <c r="AK54" s="116">
        <f t="shared" si="147"/>
        <v>-132.66</v>
      </c>
      <c r="AL54" s="116">
        <f t="shared" ref="AL54:AN54" si="148">-SUMIF(AL17:AL48, "&gt;=0")*$E$78</f>
        <v>-132.66</v>
      </c>
      <c r="AM54" s="116">
        <f t="shared" si="148"/>
        <v>-132.66</v>
      </c>
      <c r="AN54" s="116">
        <f t="shared" si="148"/>
        <v>-132.66</v>
      </c>
      <c r="AO54" s="116">
        <f t="shared" ref="AO54:AQ54" si="149">-SUMIF(AO17:AO48, "&gt;=0")*$E$78</f>
        <v>-132.66</v>
      </c>
      <c r="AP54" s="116">
        <f t="shared" si="149"/>
        <v>-132.66</v>
      </c>
      <c r="AQ54" s="116">
        <f t="shared" si="149"/>
        <v>-132.66</v>
      </c>
      <c r="AR54" s="116">
        <f t="shared" ref="AR54:AS54" si="150">-SUMIF(AR17:AR48, "&gt;=0")*$E$78</f>
        <v>-132.66</v>
      </c>
      <c r="AS54" s="116">
        <f t="shared" si="150"/>
        <v>-132.66</v>
      </c>
      <c r="AT54" s="116">
        <f t="shared" ref="AT54:AU54" si="151">-SUMIF(AT17:AT48, "&gt;=0")*$E$78</f>
        <v>-132.66</v>
      </c>
      <c r="AU54" s="116">
        <f t="shared" si="151"/>
        <v>-132.66</v>
      </c>
      <c r="AV54" s="116">
        <f t="shared" ref="AV54:BW54" si="152">-SUMIF(AV17:AV48, "&gt;=0")*$E$78</f>
        <v>-132.66</v>
      </c>
      <c r="AW54" s="116">
        <f t="shared" si="152"/>
        <v>-132.66</v>
      </c>
      <c r="AX54" s="116">
        <f t="shared" si="152"/>
        <v>-132.66</v>
      </c>
      <c r="AY54" s="116">
        <f t="shared" si="152"/>
        <v>-132.66</v>
      </c>
      <c r="AZ54" s="116">
        <f t="shared" si="152"/>
        <v>-132.66</v>
      </c>
      <c r="BA54" s="116">
        <f t="shared" si="152"/>
        <v>-132.66</v>
      </c>
      <c r="BB54" s="116">
        <f t="shared" si="152"/>
        <v>-132.66</v>
      </c>
      <c r="BC54" s="116">
        <f t="shared" si="152"/>
        <v>-132.66</v>
      </c>
      <c r="BD54" s="116">
        <f t="shared" si="152"/>
        <v>-132.66</v>
      </c>
      <c r="BE54" s="116">
        <f t="shared" si="152"/>
        <v>-132.66</v>
      </c>
      <c r="BF54" s="116">
        <f t="shared" si="152"/>
        <v>-132.66</v>
      </c>
      <c r="BG54" s="116">
        <f t="shared" si="152"/>
        <v>-132.66</v>
      </c>
      <c r="BH54" s="116">
        <f t="shared" si="152"/>
        <v>-132.66</v>
      </c>
      <c r="BI54" s="116">
        <f t="shared" si="152"/>
        <v>-132.66</v>
      </c>
      <c r="BJ54" s="116">
        <f t="shared" si="152"/>
        <v>-132.66</v>
      </c>
      <c r="BK54" s="116">
        <f t="shared" si="152"/>
        <v>-132.66</v>
      </c>
      <c r="BL54" s="116">
        <f t="shared" si="152"/>
        <v>-132.66</v>
      </c>
      <c r="BM54" s="116">
        <f t="shared" si="152"/>
        <v>-132.66</v>
      </c>
      <c r="BN54" s="116">
        <f t="shared" si="152"/>
        <v>-132.66</v>
      </c>
      <c r="BO54" s="116">
        <f t="shared" si="152"/>
        <v>-132.66</v>
      </c>
      <c r="BP54" s="116">
        <f t="shared" si="152"/>
        <v>-132.66</v>
      </c>
      <c r="BQ54" s="116">
        <f t="shared" si="152"/>
        <v>-132.66</v>
      </c>
      <c r="BR54" s="116">
        <f t="shared" si="152"/>
        <v>-132.66</v>
      </c>
      <c r="BS54" s="116">
        <f t="shared" si="152"/>
        <v>-132.66</v>
      </c>
      <c r="BT54" s="116">
        <f t="shared" si="152"/>
        <v>-132.66</v>
      </c>
      <c r="BU54" s="116">
        <f t="shared" si="152"/>
        <v>-132.66</v>
      </c>
      <c r="BV54" s="116">
        <f t="shared" si="152"/>
        <v>-132.66</v>
      </c>
      <c r="BW54" s="116">
        <f t="shared" si="152"/>
        <v>-132.66</v>
      </c>
      <c r="BX54" s="116">
        <f t="shared" ref="BX54:CA54" si="153">-SUMIF(BX17:BX48, "&gt;=0")*$E$78</f>
        <v>-132.66</v>
      </c>
      <c r="BY54" s="116">
        <f t="shared" si="153"/>
        <v>-132.66</v>
      </c>
      <c r="BZ54" s="116">
        <f t="shared" si="153"/>
        <v>-132.66</v>
      </c>
      <c r="CA54" s="116">
        <f t="shared" si="153"/>
        <v>-132.66</v>
      </c>
    </row>
    <row r="55" spans="1:79" x14ac:dyDescent="0.45">
      <c r="F55" s="117"/>
    </row>
    <row r="56" spans="1:79" ht="71.25" x14ac:dyDescent="0.45">
      <c r="A56" s="23"/>
      <c r="B56" s="23"/>
      <c r="C56" s="23"/>
      <c r="D56" s="23"/>
      <c r="G56" s="25" t="s">
        <v>119</v>
      </c>
      <c r="M56" s="25" t="s">
        <v>197</v>
      </c>
      <c r="Q56" s="25" t="s">
        <v>212</v>
      </c>
      <c r="R56" s="25" t="s">
        <v>213</v>
      </c>
      <c r="AE56" s="115" t="s">
        <v>325</v>
      </c>
      <c r="AF56" s="24">
        <v>-700</v>
      </c>
    </row>
    <row r="57" spans="1:79" x14ac:dyDescent="0.45">
      <c r="A57" s="23"/>
      <c r="B57" s="23"/>
      <c r="C57" s="23"/>
      <c r="D57" s="23"/>
      <c r="G57" s="24">
        <v>5000</v>
      </c>
      <c r="I57" s="26"/>
      <c r="M57" s="109">
        <v>-1000</v>
      </c>
      <c r="Q57" s="109">
        <v>-320</v>
      </c>
      <c r="R57" s="109">
        <v>-30</v>
      </c>
      <c r="AE57" s="115" t="s">
        <v>326</v>
      </c>
      <c r="AF57" s="109">
        <v>-300</v>
      </c>
      <c r="AK57" s="24" t="s">
        <v>372</v>
      </c>
      <c r="AL57" s="37">
        <v>-2000</v>
      </c>
    </row>
    <row r="58" spans="1:79" x14ac:dyDescent="0.45">
      <c r="AE58" s="115" t="s">
        <v>319</v>
      </c>
      <c r="AF58" s="24">
        <f>(69+5)*0.9*100</f>
        <v>6660.0000000000009</v>
      </c>
      <c r="AK58" s="24" t="s">
        <v>372</v>
      </c>
      <c r="AL58" s="37">
        <v>-13500</v>
      </c>
    </row>
    <row r="59" spans="1:79" ht="57" x14ac:dyDescent="0.45">
      <c r="G59" s="24" t="s">
        <v>110</v>
      </c>
      <c r="H59" s="25" t="s">
        <v>196</v>
      </c>
      <c r="J59" s="24" t="s">
        <v>144</v>
      </c>
      <c r="L59" s="24" t="s">
        <v>195</v>
      </c>
      <c r="Q59" s="25" t="s">
        <v>215</v>
      </c>
      <c r="R59" s="25" t="s">
        <v>214</v>
      </c>
      <c r="V59" s="24" t="s">
        <v>220</v>
      </c>
    </row>
    <row r="60" spans="1:79" x14ac:dyDescent="0.45">
      <c r="G60" s="109">
        <v>-75</v>
      </c>
      <c r="H60" s="109">
        <v>-950</v>
      </c>
      <c r="J60" s="24">
        <f>-J18*2/30</f>
        <v>-73.333333333333329</v>
      </c>
      <c r="L60" s="24">
        <f>-L18/30</f>
        <v>-36.666666666666664</v>
      </c>
      <c r="Q60" s="24">
        <v>100</v>
      </c>
      <c r="R60" s="24">
        <v>-50</v>
      </c>
      <c r="V60" s="109">
        <v>-500</v>
      </c>
    </row>
    <row r="61" spans="1:79" x14ac:dyDescent="0.45">
      <c r="AD61" s="24" t="s">
        <v>287</v>
      </c>
      <c r="AE61" s="109">
        <v>-130</v>
      </c>
    </row>
    <row r="63" spans="1:79" s="27" customFormat="1" x14ac:dyDescent="0.45">
      <c r="A63" s="58"/>
      <c r="B63" s="58"/>
      <c r="C63" s="58"/>
      <c r="D63" s="58"/>
      <c r="E63" s="66"/>
      <c r="F63" s="61"/>
    </row>
    <row r="65" spans="1:6" x14ac:dyDescent="0.45">
      <c r="E65" s="23">
        <v>1100</v>
      </c>
      <c r="F65" s="23" t="s">
        <v>142</v>
      </c>
    </row>
    <row r="66" spans="1:6" x14ac:dyDescent="0.45">
      <c r="E66" s="34">
        <v>300</v>
      </c>
      <c r="F66" s="34" t="s">
        <v>135</v>
      </c>
    </row>
    <row r="67" spans="1:6" x14ac:dyDescent="0.45">
      <c r="E67" s="35">
        <v>0.6</v>
      </c>
      <c r="F67" s="23" t="s">
        <v>140</v>
      </c>
    </row>
    <row r="68" spans="1:6" x14ac:dyDescent="0.45">
      <c r="E68" s="35">
        <v>0.8</v>
      </c>
      <c r="F68" s="23" t="s">
        <v>265</v>
      </c>
    </row>
    <row r="69" spans="1:6" x14ac:dyDescent="0.45">
      <c r="E69" s="23">
        <v>25</v>
      </c>
      <c r="F69" s="23" t="s">
        <v>188</v>
      </c>
    </row>
    <row r="70" spans="1:6" x14ac:dyDescent="0.45">
      <c r="E70" s="23">
        <v>100</v>
      </c>
      <c r="F70" s="23" t="s">
        <v>189</v>
      </c>
    </row>
    <row r="71" spans="1:6" x14ac:dyDescent="0.45">
      <c r="E71" s="35">
        <v>0.22</v>
      </c>
      <c r="F71" s="23" t="s">
        <v>211</v>
      </c>
    </row>
    <row r="72" spans="1:6" x14ac:dyDescent="0.45">
      <c r="E72" s="35">
        <v>0.5</v>
      </c>
      <c r="F72" s="23" t="s">
        <v>324</v>
      </c>
    </row>
    <row r="73" spans="1:6" x14ac:dyDescent="0.45">
      <c r="A73" s="47"/>
      <c r="B73" s="47"/>
      <c r="C73" s="47"/>
      <c r="D73" s="47"/>
      <c r="E73" s="23">
        <v>6900</v>
      </c>
      <c r="F73" s="23" t="s">
        <v>209</v>
      </c>
    </row>
    <row r="74" spans="1:6" x14ac:dyDescent="0.45">
      <c r="E74" s="23">
        <v>350</v>
      </c>
      <c r="F74" s="23" t="s">
        <v>166</v>
      </c>
    </row>
    <row r="75" spans="1:6" x14ac:dyDescent="0.45">
      <c r="E75" s="23">
        <v>25</v>
      </c>
      <c r="F75" s="23" t="s">
        <v>157</v>
      </c>
    </row>
    <row r="76" spans="1:6" x14ac:dyDescent="0.45">
      <c r="E76" s="23">
        <v>100</v>
      </c>
      <c r="F76" s="23" t="s">
        <v>189</v>
      </c>
    </row>
    <row r="78" spans="1:6" x14ac:dyDescent="0.45">
      <c r="E78" s="35">
        <v>0.03</v>
      </c>
      <c r="F78" s="23" t="s">
        <v>329</v>
      </c>
    </row>
    <row r="80" spans="1:6" x14ac:dyDescent="0.45">
      <c r="E80" s="23"/>
    </row>
    <row r="82" spans="1:5" x14ac:dyDescent="0.45">
      <c r="A82" s="23"/>
    </row>
    <row r="83" spans="1:5" x14ac:dyDescent="0.45">
      <c r="A83" s="23"/>
    </row>
    <row r="84" spans="1:5" x14ac:dyDescent="0.45">
      <c r="A84" s="23"/>
      <c r="E84" s="23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AC81-2417-4F29-A4FB-764D8BB28F95}">
  <sheetPr>
    <tabColor rgb="FF7030A0"/>
  </sheetPr>
  <dimension ref="A1:CT49"/>
  <sheetViews>
    <sheetView topLeftCell="BM1" zoomScaleNormal="100" workbookViewId="0">
      <selection activeCell="BZ5" sqref="BZ5:BZ26"/>
    </sheetView>
  </sheetViews>
  <sheetFormatPr defaultColWidth="11.6640625" defaultRowHeight="14.25" x14ac:dyDescent="0.45"/>
  <cols>
    <col min="1" max="2" width="3.9296875" style="36" customWidth="1"/>
    <col min="3" max="3" width="11.6640625" style="36"/>
    <col min="4" max="4" width="20.46484375" style="23" bestFit="1" customWidth="1"/>
    <col min="5" max="16384" width="11.6640625" style="24"/>
  </cols>
  <sheetData>
    <row r="1" spans="1:98" s="22" customFormat="1" ht="21" x14ac:dyDescent="0.65">
      <c r="A1" s="33"/>
      <c r="B1" s="59"/>
      <c r="C1" s="59"/>
      <c r="D1" s="107" t="s">
        <v>128</v>
      </c>
      <c r="E1" s="100"/>
      <c r="F1" s="102" t="s">
        <v>98</v>
      </c>
      <c r="G1" s="102" t="s">
        <v>99</v>
      </c>
      <c r="H1" s="102" t="s">
        <v>100</v>
      </c>
      <c r="I1" s="103" t="s">
        <v>101</v>
      </c>
      <c r="J1" s="103" t="s">
        <v>102</v>
      </c>
      <c r="K1" s="103" t="s">
        <v>103</v>
      </c>
      <c r="L1" s="104" t="s">
        <v>104</v>
      </c>
      <c r="M1" s="104" t="s">
        <v>105</v>
      </c>
      <c r="N1" s="104" t="s">
        <v>106</v>
      </c>
      <c r="O1" s="105" t="s">
        <v>107</v>
      </c>
      <c r="P1" s="105" t="s">
        <v>108</v>
      </c>
      <c r="Q1" s="105" t="s">
        <v>109</v>
      </c>
      <c r="R1" s="102" t="s">
        <v>98</v>
      </c>
      <c r="S1" s="102" t="s">
        <v>99</v>
      </c>
      <c r="T1" s="102" t="s">
        <v>100</v>
      </c>
      <c r="U1" s="103" t="s">
        <v>101</v>
      </c>
      <c r="V1" s="103" t="s">
        <v>102</v>
      </c>
      <c r="W1" s="103" t="s">
        <v>103</v>
      </c>
      <c r="X1" s="104" t="s">
        <v>104</v>
      </c>
      <c r="Y1" s="104" t="s">
        <v>105</v>
      </c>
      <c r="Z1" s="104" t="s">
        <v>106</v>
      </c>
      <c r="AA1" s="105" t="s">
        <v>107</v>
      </c>
      <c r="AB1" s="105" t="s">
        <v>108</v>
      </c>
      <c r="AC1" s="105" t="s">
        <v>109</v>
      </c>
      <c r="AD1" s="102" t="s">
        <v>98</v>
      </c>
      <c r="AE1" s="102" t="s">
        <v>99</v>
      </c>
      <c r="AF1" s="102" t="s">
        <v>100</v>
      </c>
      <c r="AG1" s="103" t="s">
        <v>101</v>
      </c>
      <c r="AH1" s="103" t="s">
        <v>102</v>
      </c>
      <c r="AI1" s="103" t="s">
        <v>103</v>
      </c>
      <c r="AJ1" s="104" t="s">
        <v>104</v>
      </c>
      <c r="AK1" s="104" t="s">
        <v>105</v>
      </c>
      <c r="AL1" s="104" t="s">
        <v>106</v>
      </c>
      <c r="AM1" s="105" t="s">
        <v>107</v>
      </c>
      <c r="AN1" s="105" t="s">
        <v>108</v>
      </c>
      <c r="AO1" s="105" t="s">
        <v>109</v>
      </c>
      <c r="AP1" s="102" t="s">
        <v>98</v>
      </c>
      <c r="AQ1" s="102" t="s">
        <v>99</v>
      </c>
      <c r="AR1" s="102" t="s">
        <v>100</v>
      </c>
      <c r="AS1" s="103" t="s">
        <v>101</v>
      </c>
      <c r="AT1" s="103" t="s">
        <v>102</v>
      </c>
      <c r="AU1" s="103" t="s">
        <v>103</v>
      </c>
      <c r="AV1" s="104" t="s">
        <v>104</v>
      </c>
      <c r="AW1" s="104" t="s">
        <v>105</v>
      </c>
      <c r="AX1" s="104" t="s">
        <v>106</v>
      </c>
      <c r="AY1" s="105" t="s">
        <v>107</v>
      </c>
      <c r="AZ1" s="105" t="s">
        <v>108</v>
      </c>
      <c r="BA1" s="105" t="s">
        <v>109</v>
      </c>
      <c r="BB1" s="102" t="s">
        <v>98</v>
      </c>
      <c r="BC1" s="102" t="s">
        <v>99</v>
      </c>
      <c r="BD1" s="102" t="s">
        <v>100</v>
      </c>
      <c r="BE1" s="103" t="s">
        <v>101</v>
      </c>
      <c r="BF1" s="103" t="s">
        <v>102</v>
      </c>
      <c r="BG1" s="103" t="s">
        <v>103</v>
      </c>
      <c r="BH1" s="104" t="s">
        <v>104</v>
      </c>
      <c r="BI1" s="104" t="s">
        <v>105</v>
      </c>
      <c r="BJ1" s="104" t="s">
        <v>106</v>
      </c>
      <c r="BK1" s="105" t="s">
        <v>107</v>
      </c>
      <c r="BL1" s="105" t="s">
        <v>108</v>
      </c>
      <c r="BM1" s="105" t="s">
        <v>109</v>
      </c>
      <c r="BN1" s="102" t="s">
        <v>98</v>
      </c>
      <c r="BO1" s="102" t="s">
        <v>99</v>
      </c>
      <c r="BP1" s="102" t="s">
        <v>100</v>
      </c>
      <c r="BQ1" s="103" t="s">
        <v>101</v>
      </c>
      <c r="BR1" s="103" t="s">
        <v>102</v>
      </c>
      <c r="BS1" s="103" t="s">
        <v>103</v>
      </c>
      <c r="BT1" s="104" t="s">
        <v>104</v>
      </c>
      <c r="BU1" s="104" t="s">
        <v>105</v>
      </c>
      <c r="BV1" s="104" t="s">
        <v>106</v>
      </c>
      <c r="BW1" s="105" t="s">
        <v>107</v>
      </c>
      <c r="BX1" s="105" t="s">
        <v>108</v>
      </c>
      <c r="BY1" s="105" t="s">
        <v>109</v>
      </c>
      <c r="BZ1" s="102" t="s">
        <v>98</v>
      </c>
      <c r="CA1" s="102" t="s">
        <v>99</v>
      </c>
      <c r="CB1" s="102" t="s">
        <v>100</v>
      </c>
      <c r="CC1" s="103" t="s">
        <v>101</v>
      </c>
      <c r="CD1" s="103" t="s">
        <v>102</v>
      </c>
      <c r="CE1" s="103" t="s">
        <v>103</v>
      </c>
      <c r="CF1" s="104" t="s">
        <v>104</v>
      </c>
      <c r="CG1" s="104" t="s">
        <v>105</v>
      </c>
      <c r="CH1" s="104" t="s">
        <v>106</v>
      </c>
      <c r="CI1" s="105" t="s">
        <v>107</v>
      </c>
      <c r="CJ1" s="105" t="s">
        <v>108</v>
      </c>
      <c r="CK1" s="105" t="s">
        <v>109</v>
      </c>
      <c r="CL1" s="102" t="s">
        <v>98</v>
      </c>
      <c r="CM1" s="102" t="s">
        <v>99</v>
      </c>
      <c r="CN1" s="102" t="s">
        <v>100</v>
      </c>
      <c r="CO1" s="103" t="s">
        <v>101</v>
      </c>
      <c r="CP1" s="103" t="s">
        <v>102</v>
      </c>
      <c r="CQ1" s="103" t="s">
        <v>103</v>
      </c>
      <c r="CR1" s="104" t="s">
        <v>104</v>
      </c>
      <c r="CS1" s="104" t="s">
        <v>105</v>
      </c>
      <c r="CT1" s="104" t="s">
        <v>106</v>
      </c>
    </row>
    <row r="2" spans="1:98" s="36" customFormat="1" x14ac:dyDescent="0.45">
      <c r="D2" s="97" t="s">
        <v>1</v>
      </c>
      <c r="F2" s="36">
        <v>1532</v>
      </c>
      <c r="G2" s="36">
        <f t="shared" ref="G2:AL2" si="0">F2+IF(G1="Gennaio",1,0)</f>
        <v>1532</v>
      </c>
      <c r="H2" s="36">
        <f t="shared" si="0"/>
        <v>1532</v>
      </c>
      <c r="I2" s="36">
        <f t="shared" si="0"/>
        <v>1532</v>
      </c>
      <c r="J2" s="36">
        <f t="shared" si="0"/>
        <v>1532</v>
      </c>
      <c r="K2" s="36">
        <f t="shared" si="0"/>
        <v>1532</v>
      </c>
      <c r="L2" s="36">
        <f t="shared" si="0"/>
        <v>1532</v>
      </c>
      <c r="M2" s="36">
        <f t="shared" si="0"/>
        <v>1532</v>
      </c>
      <c r="N2" s="36">
        <f t="shared" si="0"/>
        <v>1532</v>
      </c>
      <c r="O2" s="36">
        <f t="shared" si="0"/>
        <v>1533</v>
      </c>
      <c r="P2" s="36">
        <f t="shared" si="0"/>
        <v>1533</v>
      </c>
      <c r="Q2" s="36">
        <f t="shared" si="0"/>
        <v>1533</v>
      </c>
      <c r="R2" s="36">
        <f t="shared" si="0"/>
        <v>1533</v>
      </c>
      <c r="S2" s="36">
        <f t="shared" si="0"/>
        <v>1533</v>
      </c>
      <c r="T2" s="36">
        <f t="shared" si="0"/>
        <v>1533</v>
      </c>
      <c r="U2" s="36">
        <f t="shared" si="0"/>
        <v>1533</v>
      </c>
      <c r="V2" s="36">
        <f t="shared" si="0"/>
        <v>1533</v>
      </c>
      <c r="W2" s="36">
        <f t="shared" si="0"/>
        <v>1533</v>
      </c>
      <c r="X2" s="36">
        <f t="shared" si="0"/>
        <v>1533</v>
      </c>
      <c r="Y2" s="36">
        <f t="shared" si="0"/>
        <v>1533</v>
      </c>
      <c r="Z2" s="36">
        <f t="shared" si="0"/>
        <v>1533</v>
      </c>
      <c r="AA2" s="36">
        <f t="shared" si="0"/>
        <v>1534</v>
      </c>
      <c r="AB2" s="36">
        <f t="shared" si="0"/>
        <v>1534</v>
      </c>
      <c r="AC2" s="36">
        <f t="shared" si="0"/>
        <v>1534</v>
      </c>
      <c r="AD2" s="36">
        <f t="shared" si="0"/>
        <v>1534</v>
      </c>
      <c r="AE2" s="36">
        <f t="shared" si="0"/>
        <v>1534</v>
      </c>
      <c r="AF2" s="36">
        <f t="shared" si="0"/>
        <v>1534</v>
      </c>
      <c r="AG2" s="36">
        <f t="shared" si="0"/>
        <v>1534</v>
      </c>
      <c r="AH2" s="36">
        <f t="shared" si="0"/>
        <v>1534</v>
      </c>
      <c r="AI2" s="36">
        <f t="shared" si="0"/>
        <v>1534</v>
      </c>
      <c r="AJ2" s="36">
        <f t="shared" si="0"/>
        <v>1534</v>
      </c>
      <c r="AK2" s="36">
        <f t="shared" si="0"/>
        <v>1534</v>
      </c>
      <c r="AL2" s="36">
        <f t="shared" si="0"/>
        <v>1534</v>
      </c>
      <c r="AM2" s="36">
        <f t="shared" ref="AM2:BR2" si="1">AL2+IF(AM1="Gennaio",1,0)</f>
        <v>1535</v>
      </c>
      <c r="AN2" s="36">
        <f t="shared" si="1"/>
        <v>1535</v>
      </c>
      <c r="AO2" s="36">
        <f t="shared" si="1"/>
        <v>1535</v>
      </c>
      <c r="AP2" s="36">
        <f t="shared" si="1"/>
        <v>1535</v>
      </c>
      <c r="AQ2" s="36">
        <f t="shared" si="1"/>
        <v>1535</v>
      </c>
      <c r="AR2" s="36">
        <f t="shared" si="1"/>
        <v>1535</v>
      </c>
      <c r="AS2" s="36">
        <f t="shared" si="1"/>
        <v>1535</v>
      </c>
      <c r="AT2" s="36">
        <f t="shared" si="1"/>
        <v>1535</v>
      </c>
      <c r="AU2" s="36">
        <f t="shared" si="1"/>
        <v>1535</v>
      </c>
      <c r="AV2" s="36">
        <f t="shared" si="1"/>
        <v>1535</v>
      </c>
      <c r="AW2" s="36">
        <f t="shared" si="1"/>
        <v>1535</v>
      </c>
      <c r="AX2" s="36">
        <f t="shared" si="1"/>
        <v>1535</v>
      </c>
      <c r="AY2" s="36">
        <f t="shared" si="1"/>
        <v>1536</v>
      </c>
      <c r="AZ2" s="36">
        <f t="shared" si="1"/>
        <v>1536</v>
      </c>
      <c r="BA2" s="36">
        <f t="shared" si="1"/>
        <v>1536</v>
      </c>
      <c r="BB2" s="36">
        <f t="shared" si="1"/>
        <v>1536</v>
      </c>
      <c r="BC2" s="36">
        <f t="shared" si="1"/>
        <v>1536</v>
      </c>
      <c r="BD2" s="36">
        <f t="shared" si="1"/>
        <v>1536</v>
      </c>
      <c r="BE2" s="36">
        <f t="shared" si="1"/>
        <v>1536</v>
      </c>
      <c r="BF2" s="36">
        <f t="shared" si="1"/>
        <v>1536</v>
      </c>
      <c r="BG2" s="36">
        <f t="shared" si="1"/>
        <v>1536</v>
      </c>
      <c r="BH2" s="36">
        <f t="shared" si="1"/>
        <v>1536</v>
      </c>
      <c r="BI2" s="36">
        <f t="shared" si="1"/>
        <v>1536</v>
      </c>
      <c r="BJ2" s="36">
        <f t="shared" si="1"/>
        <v>1536</v>
      </c>
      <c r="BK2" s="36">
        <f t="shared" si="1"/>
        <v>1537</v>
      </c>
      <c r="BL2" s="36">
        <f t="shared" si="1"/>
        <v>1537</v>
      </c>
      <c r="BM2" s="36">
        <f t="shared" si="1"/>
        <v>1537</v>
      </c>
      <c r="BN2" s="36">
        <f t="shared" si="1"/>
        <v>1537</v>
      </c>
      <c r="BO2" s="36">
        <f t="shared" si="1"/>
        <v>1537</v>
      </c>
      <c r="BP2" s="36">
        <f t="shared" si="1"/>
        <v>1537</v>
      </c>
      <c r="BQ2" s="36">
        <f t="shared" si="1"/>
        <v>1537</v>
      </c>
      <c r="BR2" s="36">
        <f t="shared" si="1"/>
        <v>1537</v>
      </c>
      <c r="BS2" s="36">
        <f t="shared" ref="BS2:CT2" si="2">BR2+IF(BS1="Gennaio",1,0)</f>
        <v>1537</v>
      </c>
      <c r="BT2" s="36">
        <f t="shared" si="2"/>
        <v>1537</v>
      </c>
      <c r="BU2" s="36">
        <f t="shared" si="2"/>
        <v>1537</v>
      </c>
      <c r="BV2" s="36">
        <f t="shared" si="2"/>
        <v>1537</v>
      </c>
      <c r="BW2" s="36">
        <f t="shared" si="2"/>
        <v>1538</v>
      </c>
      <c r="BX2" s="36">
        <f t="shared" si="2"/>
        <v>1538</v>
      </c>
      <c r="BY2" s="36">
        <f t="shared" si="2"/>
        <v>1538</v>
      </c>
      <c r="BZ2" s="36">
        <f t="shared" si="2"/>
        <v>1538</v>
      </c>
      <c r="CA2" s="36">
        <f t="shared" si="2"/>
        <v>1538</v>
      </c>
      <c r="CB2" s="36">
        <f t="shared" si="2"/>
        <v>1538</v>
      </c>
      <c r="CC2" s="36">
        <f t="shared" si="2"/>
        <v>1538</v>
      </c>
      <c r="CD2" s="36">
        <f t="shared" si="2"/>
        <v>1538</v>
      </c>
      <c r="CE2" s="36">
        <f t="shared" si="2"/>
        <v>1538</v>
      </c>
      <c r="CF2" s="36">
        <f t="shared" si="2"/>
        <v>1538</v>
      </c>
      <c r="CG2" s="36">
        <f t="shared" si="2"/>
        <v>1538</v>
      </c>
      <c r="CH2" s="36">
        <f t="shared" si="2"/>
        <v>1538</v>
      </c>
      <c r="CI2" s="36">
        <f t="shared" si="2"/>
        <v>1539</v>
      </c>
      <c r="CJ2" s="36">
        <f t="shared" si="2"/>
        <v>1539</v>
      </c>
      <c r="CK2" s="36">
        <f t="shared" si="2"/>
        <v>1539</v>
      </c>
      <c r="CL2" s="36">
        <f t="shared" si="2"/>
        <v>1539</v>
      </c>
      <c r="CM2" s="36">
        <f t="shared" si="2"/>
        <v>1539</v>
      </c>
      <c r="CN2" s="36">
        <f t="shared" si="2"/>
        <v>1539</v>
      </c>
      <c r="CO2" s="36">
        <f t="shared" si="2"/>
        <v>1539</v>
      </c>
      <c r="CP2" s="36">
        <f t="shared" si="2"/>
        <v>1539</v>
      </c>
      <c r="CQ2" s="36">
        <f t="shared" si="2"/>
        <v>1539</v>
      </c>
      <c r="CR2" s="36">
        <f t="shared" si="2"/>
        <v>1539</v>
      </c>
      <c r="CS2" s="36">
        <f t="shared" si="2"/>
        <v>1539</v>
      </c>
      <c r="CT2" s="36">
        <f t="shared" si="2"/>
        <v>1539</v>
      </c>
    </row>
    <row r="3" spans="1:98" s="36" customFormat="1" x14ac:dyDescent="0.45">
      <c r="D3" s="23" t="s">
        <v>94</v>
      </c>
      <c r="F3" s="36">
        <f>E3+1</f>
        <v>1</v>
      </c>
      <c r="G3" s="36">
        <f t="shared" ref="G3:BR3" si="3">F3+1</f>
        <v>2</v>
      </c>
      <c r="H3" s="36">
        <f t="shared" si="3"/>
        <v>3</v>
      </c>
      <c r="I3" s="36">
        <f t="shared" si="3"/>
        <v>4</v>
      </c>
      <c r="J3" s="36">
        <f t="shared" si="3"/>
        <v>5</v>
      </c>
      <c r="K3" s="36">
        <f t="shared" si="3"/>
        <v>6</v>
      </c>
      <c r="L3" s="36">
        <f t="shared" si="3"/>
        <v>7</v>
      </c>
      <c r="M3" s="36">
        <f t="shared" si="3"/>
        <v>8</v>
      </c>
      <c r="N3" s="36">
        <f t="shared" si="3"/>
        <v>9</v>
      </c>
      <c r="O3" s="36">
        <f t="shared" si="3"/>
        <v>10</v>
      </c>
      <c r="P3" s="36">
        <f t="shared" si="3"/>
        <v>11</v>
      </c>
      <c r="Q3" s="36">
        <f t="shared" si="3"/>
        <v>12</v>
      </c>
      <c r="R3" s="36">
        <f t="shared" si="3"/>
        <v>13</v>
      </c>
      <c r="S3" s="36">
        <f t="shared" si="3"/>
        <v>14</v>
      </c>
      <c r="T3" s="36">
        <f t="shared" si="3"/>
        <v>15</v>
      </c>
      <c r="U3" s="36">
        <f t="shared" si="3"/>
        <v>16</v>
      </c>
      <c r="V3" s="36">
        <f t="shared" si="3"/>
        <v>17</v>
      </c>
      <c r="W3" s="36">
        <f t="shared" si="3"/>
        <v>18</v>
      </c>
      <c r="X3" s="36">
        <f t="shared" si="3"/>
        <v>19</v>
      </c>
      <c r="Y3" s="36">
        <f t="shared" si="3"/>
        <v>20</v>
      </c>
      <c r="Z3" s="36">
        <f t="shared" si="3"/>
        <v>21</v>
      </c>
      <c r="AA3" s="36">
        <f t="shared" si="3"/>
        <v>22</v>
      </c>
      <c r="AB3" s="36">
        <f t="shared" si="3"/>
        <v>23</v>
      </c>
      <c r="AC3" s="36">
        <f t="shared" si="3"/>
        <v>24</v>
      </c>
      <c r="AD3" s="36">
        <f t="shared" si="3"/>
        <v>25</v>
      </c>
      <c r="AE3" s="36">
        <f t="shared" si="3"/>
        <v>26</v>
      </c>
      <c r="AF3" s="36">
        <f t="shared" si="3"/>
        <v>27</v>
      </c>
      <c r="AG3" s="36">
        <f t="shared" si="3"/>
        <v>28</v>
      </c>
      <c r="AH3" s="36">
        <f t="shared" si="3"/>
        <v>29</v>
      </c>
      <c r="AI3" s="36">
        <f t="shared" si="3"/>
        <v>30</v>
      </c>
      <c r="AJ3" s="36">
        <f t="shared" si="3"/>
        <v>31</v>
      </c>
      <c r="AK3" s="36">
        <f t="shared" si="3"/>
        <v>32</v>
      </c>
      <c r="AL3" s="36">
        <f t="shared" si="3"/>
        <v>33</v>
      </c>
      <c r="AM3" s="36">
        <f t="shared" si="3"/>
        <v>34</v>
      </c>
      <c r="AN3" s="36">
        <f t="shared" si="3"/>
        <v>35</v>
      </c>
      <c r="AO3" s="36">
        <f t="shared" si="3"/>
        <v>36</v>
      </c>
      <c r="AP3" s="36">
        <f t="shared" si="3"/>
        <v>37</v>
      </c>
      <c r="AQ3" s="36">
        <f t="shared" si="3"/>
        <v>38</v>
      </c>
      <c r="AR3" s="36">
        <f t="shared" si="3"/>
        <v>39</v>
      </c>
      <c r="AS3" s="36">
        <f t="shared" si="3"/>
        <v>40</v>
      </c>
      <c r="AT3" s="36">
        <f t="shared" si="3"/>
        <v>41</v>
      </c>
      <c r="AU3" s="36">
        <f t="shared" si="3"/>
        <v>42</v>
      </c>
      <c r="AV3" s="36">
        <f t="shared" si="3"/>
        <v>43</v>
      </c>
      <c r="AW3" s="36">
        <f t="shared" si="3"/>
        <v>44</v>
      </c>
      <c r="AX3" s="36">
        <f t="shared" si="3"/>
        <v>45</v>
      </c>
      <c r="AY3" s="36">
        <f t="shared" si="3"/>
        <v>46</v>
      </c>
      <c r="AZ3" s="36">
        <f t="shared" si="3"/>
        <v>47</v>
      </c>
      <c r="BA3" s="36">
        <f t="shared" si="3"/>
        <v>48</v>
      </c>
      <c r="BB3" s="36">
        <f t="shared" si="3"/>
        <v>49</v>
      </c>
      <c r="BC3" s="36">
        <f t="shared" si="3"/>
        <v>50</v>
      </c>
      <c r="BD3" s="36">
        <f t="shared" si="3"/>
        <v>51</v>
      </c>
      <c r="BE3" s="36">
        <f t="shared" si="3"/>
        <v>52</v>
      </c>
      <c r="BF3" s="36">
        <f t="shared" si="3"/>
        <v>53</v>
      </c>
      <c r="BG3" s="36">
        <f t="shared" si="3"/>
        <v>54</v>
      </c>
      <c r="BH3" s="36">
        <f t="shared" si="3"/>
        <v>55</v>
      </c>
      <c r="BI3" s="36">
        <f t="shared" si="3"/>
        <v>56</v>
      </c>
      <c r="BJ3" s="36">
        <f t="shared" si="3"/>
        <v>57</v>
      </c>
      <c r="BK3" s="36">
        <f t="shared" si="3"/>
        <v>58</v>
      </c>
      <c r="BL3" s="36">
        <f t="shared" si="3"/>
        <v>59</v>
      </c>
      <c r="BM3" s="36">
        <f t="shared" si="3"/>
        <v>60</v>
      </c>
      <c r="BN3" s="36">
        <f t="shared" si="3"/>
        <v>61</v>
      </c>
      <c r="BO3" s="36">
        <f t="shared" si="3"/>
        <v>62</v>
      </c>
      <c r="BP3" s="36">
        <f t="shared" si="3"/>
        <v>63</v>
      </c>
      <c r="BQ3" s="36">
        <f t="shared" si="3"/>
        <v>64</v>
      </c>
      <c r="BR3" s="36">
        <f t="shared" si="3"/>
        <v>65</v>
      </c>
      <c r="BS3" s="36">
        <f t="shared" ref="BS3:CT3" si="4">BR3+1</f>
        <v>66</v>
      </c>
      <c r="BT3" s="36">
        <f t="shared" si="4"/>
        <v>67</v>
      </c>
      <c r="BU3" s="36">
        <f t="shared" si="4"/>
        <v>68</v>
      </c>
      <c r="BV3" s="36">
        <f t="shared" si="4"/>
        <v>69</v>
      </c>
      <c r="BW3" s="36">
        <f t="shared" si="4"/>
        <v>70</v>
      </c>
      <c r="BX3" s="36">
        <f t="shared" si="4"/>
        <v>71</v>
      </c>
      <c r="BY3" s="36">
        <f t="shared" si="4"/>
        <v>72</v>
      </c>
      <c r="BZ3" s="36">
        <f t="shared" si="4"/>
        <v>73</v>
      </c>
      <c r="CA3" s="36">
        <f t="shared" si="4"/>
        <v>74</v>
      </c>
      <c r="CB3" s="36">
        <f t="shared" si="4"/>
        <v>75</v>
      </c>
      <c r="CC3" s="36">
        <f t="shared" si="4"/>
        <v>76</v>
      </c>
      <c r="CD3" s="36">
        <f t="shared" si="4"/>
        <v>77</v>
      </c>
      <c r="CE3" s="36">
        <f t="shared" si="4"/>
        <v>78</v>
      </c>
      <c r="CF3" s="36">
        <f t="shared" si="4"/>
        <v>79</v>
      </c>
      <c r="CG3" s="36">
        <f t="shared" si="4"/>
        <v>80</v>
      </c>
      <c r="CH3" s="36">
        <f t="shared" si="4"/>
        <v>81</v>
      </c>
      <c r="CI3" s="36">
        <f t="shared" si="4"/>
        <v>82</v>
      </c>
      <c r="CJ3" s="36">
        <f t="shared" si="4"/>
        <v>83</v>
      </c>
      <c r="CK3" s="36">
        <f t="shared" si="4"/>
        <v>84</v>
      </c>
      <c r="CL3" s="36">
        <f t="shared" si="4"/>
        <v>85</v>
      </c>
      <c r="CM3" s="36">
        <f t="shared" si="4"/>
        <v>86</v>
      </c>
      <c r="CN3" s="36">
        <f t="shared" si="4"/>
        <v>87</v>
      </c>
      <c r="CO3" s="36">
        <f t="shared" si="4"/>
        <v>88</v>
      </c>
      <c r="CP3" s="36">
        <f t="shared" si="4"/>
        <v>89</v>
      </c>
      <c r="CQ3" s="36">
        <f t="shared" si="4"/>
        <v>90</v>
      </c>
      <c r="CR3" s="36">
        <f t="shared" si="4"/>
        <v>91</v>
      </c>
      <c r="CS3" s="36">
        <f t="shared" si="4"/>
        <v>92</v>
      </c>
      <c r="CT3" s="36">
        <f t="shared" si="4"/>
        <v>93</v>
      </c>
    </row>
    <row r="4" spans="1:98" s="36" customFormat="1" x14ac:dyDescent="0.45">
      <c r="D4" s="23"/>
    </row>
    <row r="5" spans="1:98" s="36" customFormat="1" x14ac:dyDescent="0.45">
      <c r="D5" s="97" t="s">
        <v>249</v>
      </c>
      <c r="O5" s="36">
        <f>ABS(O34)</f>
        <v>350</v>
      </c>
      <c r="U5" s="36">
        <f>ABS(U33+U36)</f>
        <v>800</v>
      </c>
    </row>
    <row r="6" spans="1:98" s="36" customFormat="1" x14ac:dyDescent="0.45">
      <c r="D6" s="97" t="s">
        <v>256</v>
      </c>
      <c r="F6" s="106">
        <f>SUM($E5:F5)+F8</f>
        <v>5223</v>
      </c>
      <c r="G6" s="106">
        <f>SUM($E5:G5)+G8</f>
        <v>5479</v>
      </c>
      <c r="H6" s="106">
        <f>SUM($E5:H5)+H8</f>
        <v>5774</v>
      </c>
      <c r="I6" s="106">
        <f>SUM($E5:I5)+I8</f>
        <v>6024</v>
      </c>
      <c r="J6" s="106">
        <f>SUM($E5:J5)+J8</f>
        <v>6304</v>
      </c>
      <c r="K6" s="106">
        <f>SUM($E5:K5)+K8</f>
        <v>6584</v>
      </c>
      <c r="L6" s="106">
        <f>SUM($E5:L5)+L8</f>
        <v>6864</v>
      </c>
      <c r="M6" s="106">
        <f>SUM($E5:M5)+M8</f>
        <v>7144</v>
      </c>
      <c r="N6" s="106">
        <f>SUM($E5:N5)+N8</f>
        <v>7424</v>
      </c>
      <c r="O6" s="106">
        <f>SUM($E5:O5)+O8</f>
        <v>8054</v>
      </c>
      <c r="P6" s="106">
        <f>SUM($E5:P5)+P8</f>
        <v>8334</v>
      </c>
      <c r="Q6" s="106">
        <f>SUM($E5:Q5)+Q8</f>
        <v>8564</v>
      </c>
      <c r="R6" s="106">
        <f>SUM($E5:R5)+R8</f>
        <v>8844</v>
      </c>
      <c r="S6" s="106">
        <f>SUM($E5:S5)+S8</f>
        <v>9124</v>
      </c>
      <c r="T6" s="106">
        <f>SUM($E5:T5)+T8</f>
        <v>9404</v>
      </c>
      <c r="U6" s="106">
        <f>SUM($E5:U5)+U8</f>
        <v>9684</v>
      </c>
      <c r="V6" s="106">
        <f>SUM($E5:V5)+V8</f>
        <v>9964</v>
      </c>
      <c r="W6" s="106">
        <f>SUM($E5:W5)+W8</f>
        <v>10244</v>
      </c>
      <c r="X6" s="106">
        <f>SUM($E5:X5)+X8</f>
        <v>10524</v>
      </c>
      <c r="Y6" s="106">
        <f>SUM($E5:Y5)+Y8</f>
        <v>10804</v>
      </c>
      <c r="Z6" s="106">
        <f>SUM($E5:Z5)+Z8</f>
        <v>11084</v>
      </c>
      <c r="AA6" s="106">
        <f>SUM($E5:AA5)+AA8</f>
        <v>11364</v>
      </c>
      <c r="AB6" s="106">
        <f>SUM($E5:AB5)+AB8</f>
        <v>11644</v>
      </c>
      <c r="AC6" s="106">
        <f>SUM($E5:AC5)+AC8</f>
        <v>11924</v>
      </c>
      <c r="AD6" s="106">
        <f>SUM($E5:AD5)+AD8</f>
        <v>11254</v>
      </c>
      <c r="AE6" s="106">
        <f>SUM($E5:AE5)+AE8</f>
        <v>10624</v>
      </c>
      <c r="AF6" s="106">
        <f>SUM($E5:AF5)+AF8</f>
        <v>10034</v>
      </c>
      <c r="AG6" s="106">
        <f>SUM($E5:AG5)+AG8</f>
        <v>9314</v>
      </c>
      <c r="AH6" s="106">
        <f>SUM($E5:AH5)+AH8</f>
        <v>8804</v>
      </c>
      <c r="AI6" s="106">
        <f>SUM($E5:AI5)+AI8</f>
        <v>8334</v>
      </c>
      <c r="AJ6" s="106">
        <f>SUM($E5:AJ5)+AJ8</f>
        <v>7854</v>
      </c>
      <c r="AK6" s="106">
        <f>SUM($E5:AK5)+AK8</f>
        <v>7524</v>
      </c>
      <c r="AL6" s="106">
        <f>SUM($E5:AL5)+AL8</f>
        <v>7264</v>
      </c>
      <c r="AM6" s="106">
        <f>SUM($E5:AM5)+AM8</f>
        <v>7004</v>
      </c>
      <c r="AN6" s="106">
        <f>SUM($E5:AN5)+AN8</f>
        <v>6884</v>
      </c>
      <c r="AO6" s="106">
        <f>SUM($E5:AO5)+AO8</f>
        <v>6834</v>
      </c>
      <c r="AP6" s="106">
        <f>SUM($E5:AP5)+AP8</f>
        <v>6854</v>
      </c>
      <c r="AQ6" s="106">
        <f>SUM($E5:AQ5)+AQ8</f>
        <v>6944</v>
      </c>
      <c r="AR6" s="106">
        <f>SUM($E5:AR5)+AR8</f>
        <v>7104</v>
      </c>
      <c r="AS6" s="106">
        <f>SUM($E5:AS5)+AS8</f>
        <v>7334</v>
      </c>
      <c r="AT6" s="106">
        <f>SUM($E5:AT5)+AT8</f>
        <v>7634</v>
      </c>
      <c r="AU6" s="106">
        <f>SUM($E5:AU5)+AU8</f>
        <v>8004</v>
      </c>
      <c r="AV6" s="106">
        <f>SUM($E5:AV5)+AV8</f>
        <v>8444</v>
      </c>
      <c r="AW6" s="106">
        <f>SUM($E5:AW5)+AW8</f>
        <v>8954</v>
      </c>
      <c r="AX6" s="106">
        <f>SUM($E5:AX5)+AX8</f>
        <v>9534</v>
      </c>
      <c r="AY6" s="106">
        <f>SUM($E5:AY5)+AY8</f>
        <v>10034</v>
      </c>
      <c r="AZ6" s="106">
        <f>SUM($E5:AZ5)+AZ8</f>
        <v>10754</v>
      </c>
      <c r="BA6" s="106">
        <f>SUM($E5:BA5)+BA8</f>
        <v>11544</v>
      </c>
      <c r="BB6" s="106">
        <f>SUM($E5:BB5)+BB8</f>
        <v>12404</v>
      </c>
      <c r="BC6" s="106">
        <f>SUM($E5:BC5)+BC8</f>
        <v>13334</v>
      </c>
      <c r="BD6" s="106">
        <f>SUM($E5:BD5)+BD8</f>
        <v>14334</v>
      </c>
      <c r="BE6" s="106">
        <f>SUM($E5:BE5)+BE8</f>
        <v>15404</v>
      </c>
      <c r="BF6" s="106">
        <f>SUM($E5:BF5)+BF8</f>
        <v>16544</v>
      </c>
      <c r="BG6" s="106">
        <f>SUM($E5:BG5)+BG8</f>
        <v>17754</v>
      </c>
      <c r="BH6" s="106">
        <f>SUM($E5:BH5)+BH8</f>
        <v>19034</v>
      </c>
      <c r="BI6" s="106">
        <f>SUM($E5:BI5)+BI8</f>
        <v>20384</v>
      </c>
      <c r="BJ6" s="106">
        <f>SUM($E5:BJ5)+BJ8</f>
        <v>21804</v>
      </c>
      <c r="BK6" s="106">
        <f>SUM($E5:BK5)+BK8</f>
        <v>23294</v>
      </c>
      <c r="BL6" s="106">
        <f>SUM($E5:BL5)+BL8</f>
        <v>24854</v>
      </c>
      <c r="BM6" s="106">
        <f>SUM($E5:BM5)+BM8</f>
        <v>26484</v>
      </c>
      <c r="BN6" s="106">
        <f>SUM($E5:BN5)+BN8</f>
        <v>28184</v>
      </c>
      <c r="BO6" s="106">
        <f>SUM($E5:BO5)+BO8</f>
        <v>29954</v>
      </c>
      <c r="BP6" s="106">
        <f>SUM($E5:BP5)+BP8</f>
        <v>31794</v>
      </c>
      <c r="BQ6" s="106">
        <f>SUM($E5:BQ5)+BQ8</f>
        <v>33704</v>
      </c>
      <c r="BR6" s="106">
        <f>SUM($E5:BR5)+BR8</f>
        <v>35684</v>
      </c>
      <c r="BS6" s="106">
        <f>SUM($E5:BS5)+BS8</f>
        <v>37734</v>
      </c>
      <c r="BT6" s="106">
        <f>SUM($E5:BT5)+BT8</f>
        <v>39854</v>
      </c>
      <c r="BU6" s="106">
        <f>SUM($E5:BU5)+BU8</f>
        <v>42044</v>
      </c>
      <c r="BV6" s="106">
        <f>SUM($E5:BV5)+BV8</f>
        <v>44304</v>
      </c>
      <c r="BW6" s="106">
        <f>SUM($E5:BW5)+BW8</f>
        <v>46634</v>
      </c>
      <c r="BX6" s="106">
        <f>SUM($E5:BX5)+BX8</f>
        <v>49034</v>
      </c>
      <c r="BY6" s="106">
        <f>SUM($E5:BY5)+BY8</f>
        <v>51504</v>
      </c>
      <c r="BZ6" s="106"/>
    </row>
    <row r="7" spans="1:98" s="48" customFormat="1" x14ac:dyDescent="0.45">
      <c r="D7" s="49"/>
    </row>
    <row r="8" spans="1:98" s="37" customFormat="1" x14ac:dyDescent="0.45">
      <c r="A8" s="36"/>
      <c r="B8" s="36"/>
      <c r="C8" s="36"/>
      <c r="D8" s="32" t="s">
        <v>121</v>
      </c>
      <c r="E8" s="37">
        <f>SUM(E11:E1048576)</f>
        <v>5000</v>
      </c>
      <c r="F8" s="37">
        <f t="shared" ref="F8:AF8" si="5">E8+SUM(F11:F1048576)</f>
        <v>5223</v>
      </c>
      <c r="G8" s="37">
        <f t="shared" si="5"/>
        <v>5479</v>
      </c>
      <c r="H8" s="37">
        <f t="shared" si="5"/>
        <v>5774</v>
      </c>
      <c r="I8" s="37">
        <f t="shared" si="5"/>
        <v>6024</v>
      </c>
      <c r="J8" s="37">
        <f t="shared" si="5"/>
        <v>6304</v>
      </c>
      <c r="K8" s="37">
        <f t="shared" si="5"/>
        <v>6584</v>
      </c>
      <c r="L8" s="37">
        <f t="shared" si="5"/>
        <v>6864</v>
      </c>
      <c r="M8" s="37">
        <f t="shared" si="5"/>
        <v>7144</v>
      </c>
      <c r="N8" s="37">
        <f t="shared" si="5"/>
        <v>7424</v>
      </c>
      <c r="O8" s="37">
        <f t="shared" si="5"/>
        <v>7704</v>
      </c>
      <c r="P8" s="37">
        <f t="shared" si="5"/>
        <v>7984</v>
      </c>
      <c r="Q8" s="37">
        <f t="shared" si="5"/>
        <v>8214</v>
      </c>
      <c r="R8" s="37">
        <f t="shared" si="5"/>
        <v>8494</v>
      </c>
      <c r="S8" s="37">
        <f t="shared" si="5"/>
        <v>8774</v>
      </c>
      <c r="T8" s="37">
        <f t="shared" si="5"/>
        <v>9054</v>
      </c>
      <c r="U8" s="37">
        <f t="shared" si="5"/>
        <v>8534</v>
      </c>
      <c r="V8" s="37">
        <f t="shared" si="5"/>
        <v>8814</v>
      </c>
      <c r="W8" s="37">
        <f t="shared" si="5"/>
        <v>9094</v>
      </c>
      <c r="X8" s="37">
        <f t="shared" si="5"/>
        <v>9374</v>
      </c>
      <c r="Y8" s="37">
        <f t="shared" si="5"/>
        <v>9654</v>
      </c>
      <c r="Z8" s="37">
        <f t="shared" si="5"/>
        <v>9934</v>
      </c>
      <c r="AA8" s="37">
        <f t="shared" si="5"/>
        <v>10214</v>
      </c>
      <c r="AB8" s="37">
        <f t="shared" si="5"/>
        <v>10494</v>
      </c>
      <c r="AC8" s="37">
        <f t="shared" si="5"/>
        <v>10774</v>
      </c>
      <c r="AD8" s="37">
        <f t="shared" si="5"/>
        <v>10104</v>
      </c>
      <c r="AE8" s="37">
        <f t="shared" si="5"/>
        <v>9474</v>
      </c>
      <c r="AF8" s="37">
        <f t="shared" si="5"/>
        <v>8884</v>
      </c>
      <c r="AG8" s="37">
        <f t="shared" ref="AG8:AI8" si="6">AF8+SUM(AG11:AG1048576)</f>
        <v>8164</v>
      </c>
      <c r="AH8" s="37">
        <f t="shared" si="6"/>
        <v>7654</v>
      </c>
      <c r="AI8" s="37">
        <f t="shared" si="6"/>
        <v>7184</v>
      </c>
      <c r="AJ8" s="37">
        <f t="shared" ref="AJ8" si="7">AI8+SUM(AJ11:AJ1048576)</f>
        <v>6704</v>
      </c>
      <c r="AK8" s="37">
        <f t="shared" ref="AK8:AL8" si="8">AJ8+SUM(AK11:AK1048576)</f>
        <v>6374</v>
      </c>
      <c r="AL8" s="37">
        <f t="shared" si="8"/>
        <v>6114</v>
      </c>
      <c r="AM8" s="37">
        <f t="shared" ref="AM8" si="9">AL8+SUM(AM11:AM1048576)</f>
        <v>5854</v>
      </c>
      <c r="AN8" s="37">
        <f t="shared" ref="AN8" si="10">AM8+SUM(AN11:AN1048576)</f>
        <v>5734</v>
      </c>
      <c r="AO8" s="37">
        <f t="shared" ref="AO8" si="11">AN8+SUM(AO11:AO1048576)</f>
        <v>5684</v>
      </c>
      <c r="AP8" s="37">
        <f t="shared" ref="AP8" si="12">AO8+SUM(AP11:AP1048576)</f>
        <v>5704</v>
      </c>
      <c r="AQ8" s="37">
        <f t="shared" ref="AQ8" si="13">AP8+SUM(AQ11:AQ1048576)</f>
        <v>5794</v>
      </c>
      <c r="AR8" s="37">
        <f t="shared" ref="AR8" si="14">AQ8+SUM(AR11:AR1048576)</f>
        <v>5954</v>
      </c>
      <c r="AS8" s="37">
        <f t="shared" ref="AS8" si="15">AR8+SUM(AS11:AS1048576)</f>
        <v>6184</v>
      </c>
      <c r="AT8" s="37">
        <f t="shared" ref="AT8" si="16">AS8+SUM(AT11:AT1048576)</f>
        <v>6484</v>
      </c>
      <c r="AU8" s="37">
        <f t="shared" ref="AU8" si="17">AT8+SUM(AU11:AU1048576)</f>
        <v>6854</v>
      </c>
      <c r="AV8" s="37">
        <f t="shared" ref="AV8" si="18">AU8+SUM(AV11:AV1048576)</f>
        <v>7294</v>
      </c>
      <c r="AW8" s="37">
        <f t="shared" ref="AW8" si="19">AV8+SUM(AW11:AW1048576)</f>
        <v>7804</v>
      </c>
      <c r="AX8" s="37">
        <f t="shared" ref="AX8" si="20">AW8+SUM(AX11:AX1048576)</f>
        <v>8384</v>
      </c>
      <c r="AY8" s="37">
        <f t="shared" ref="AY8" si="21">AX8+SUM(AY11:AY1048576)</f>
        <v>8884</v>
      </c>
      <c r="AZ8" s="37">
        <f t="shared" ref="AZ8" si="22">AY8+SUM(AZ11:AZ1048576)</f>
        <v>9604</v>
      </c>
      <c r="BA8" s="37">
        <f t="shared" ref="BA8" si="23">AZ8+SUM(BA11:BA1048576)</f>
        <v>10394</v>
      </c>
      <c r="BB8" s="37">
        <f t="shared" ref="BB8" si="24">BA8+SUM(BB11:BB1048576)</f>
        <v>11254</v>
      </c>
      <c r="BC8" s="37">
        <f t="shared" ref="BC8" si="25">BB8+SUM(BC11:BC1048576)</f>
        <v>12184</v>
      </c>
      <c r="BD8" s="37">
        <f t="shared" ref="BD8" si="26">BC8+SUM(BD11:BD1048576)</f>
        <v>13184</v>
      </c>
      <c r="BE8" s="37">
        <f t="shared" ref="BE8" si="27">BD8+SUM(BE11:BE1048576)</f>
        <v>14254</v>
      </c>
      <c r="BF8" s="37">
        <f t="shared" ref="BF8" si="28">BE8+SUM(BF11:BF1048576)</f>
        <v>15394</v>
      </c>
      <c r="BG8" s="37">
        <f t="shared" ref="BG8" si="29">BF8+SUM(BG11:BG1048576)</f>
        <v>16604</v>
      </c>
      <c r="BH8" s="37">
        <f t="shared" ref="BH8" si="30">BG8+SUM(BH11:BH1048576)</f>
        <v>17884</v>
      </c>
      <c r="BI8" s="37">
        <f t="shared" ref="BI8" si="31">BH8+SUM(BI11:BI1048576)</f>
        <v>19234</v>
      </c>
      <c r="BJ8" s="37">
        <f t="shared" ref="BJ8" si="32">BI8+SUM(BJ11:BJ1048576)</f>
        <v>20654</v>
      </c>
      <c r="BK8" s="37">
        <f t="shared" ref="BK8" si="33">BJ8+SUM(BK11:BK1048576)</f>
        <v>22144</v>
      </c>
      <c r="BL8" s="37">
        <f t="shared" ref="BL8" si="34">BK8+SUM(BL11:BL1048576)</f>
        <v>23704</v>
      </c>
      <c r="BM8" s="37">
        <f t="shared" ref="BM8" si="35">BL8+SUM(BM11:BM1048576)</f>
        <v>25334</v>
      </c>
      <c r="BN8" s="37">
        <f t="shared" ref="BN8" si="36">BM8+SUM(BN11:BN1048576)</f>
        <v>27034</v>
      </c>
      <c r="BO8" s="37">
        <f t="shared" ref="BO8" si="37">BN8+SUM(BO11:BO1048576)</f>
        <v>28804</v>
      </c>
      <c r="BP8" s="37">
        <f t="shared" ref="BP8" si="38">BO8+SUM(BP11:BP1048576)</f>
        <v>30644</v>
      </c>
      <c r="BQ8" s="37">
        <f t="shared" ref="BQ8" si="39">BP8+SUM(BQ11:BQ1048576)</f>
        <v>32554</v>
      </c>
      <c r="BR8" s="37">
        <f t="shared" ref="BR8" si="40">BQ8+SUM(BR11:BR1048576)</f>
        <v>34534</v>
      </c>
      <c r="BS8" s="37">
        <f t="shared" ref="BS8" si="41">BR8+SUM(BS11:BS1048576)</f>
        <v>36584</v>
      </c>
      <c r="BT8" s="37">
        <f t="shared" ref="BT8" si="42">BS8+SUM(BT11:BT1048576)</f>
        <v>38704</v>
      </c>
      <c r="BU8" s="37">
        <f t="shared" ref="BU8" si="43">BT8+SUM(BU11:BU1048576)</f>
        <v>40894</v>
      </c>
      <c r="BV8" s="37">
        <f t="shared" ref="BV8" si="44">BU8+SUM(BV11:BV1048576)</f>
        <v>43154</v>
      </c>
      <c r="BW8" s="37">
        <f t="shared" ref="BW8" si="45">BV8+SUM(BW11:BW1048576)</f>
        <v>45484</v>
      </c>
      <c r="BX8" s="37">
        <f t="shared" ref="BX8" si="46">BW8+SUM(BX11:BX1048576)</f>
        <v>47884</v>
      </c>
      <c r="BY8" s="37">
        <f t="shared" ref="BY8" si="47">BX8+SUM(BY11:BY1048576)</f>
        <v>50354</v>
      </c>
    </row>
    <row r="9" spans="1:98" s="52" customFormat="1" x14ac:dyDescent="0.45">
      <c r="A9" s="48"/>
      <c r="B9" s="48"/>
      <c r="C9" s="48"/>
      <c r="D9" s="54" t="s">
        <v>122</v>
      </c>
      <c r="E9" s="50"/>
      <c r="F9" s="51">
        <f>F8-E8</f>
        <v>223</v>
      </c>
      <c r="G9" s="51">
        <f>G8-F8</f>
        <v>256</v>
      </c>
      <c r="H9" s="51">
        <f>H8-G8</f>
        <v>295</v>
      </c>
      <c r="I9" s="51">
        <f t="shared" ref="I9:K9" si="48">I8-H8</f>
        <v>250</v>
      </c>
      <c r="J9" s="51">
        <f t="shared" si="48"/>
        <v>280</v>
      </c>
      <c r="K9" s="51">
        <f t="shared" si="48"/>
        <v>280</v>
      </c>
      <c r="L9" s="51">
        <f t="shared" ref="L9" si="49">L8-K8</f>
        <v>280</v>
      </c>
      <c r="M9" s="51">
        <f t="shared" ref="M9" si="50">M8-L8</f>
        <v>280</v>
      </c>
      <c r="N9" s="51">
        <f t="shared" ref="N9" si="51">N8-M8</f>
        <v>280</v>
      </c>
      <c r="O9" s="51">
        <f t="shared" ref="O9" si="52">O8-N8</f>
        <v>280</v>
      </c>
      <c r="P9" s="51">
        <f t="shared" ref="P9" si="53">P8-O8</f>
        <v>280</v>
      </c>
      <c r="Q9" s="51">
        <f t="shared" ref="Q9" si="54">Q8-P8</f>
        <v>230</v>
      </c>
      <c r="R9" s="51">
        <f t="shared" ref="R9" si="55">R8-Q8</f>
        <v>280</v>
      </c>
      <c r="S9" s="51">
        <f t="shared" ref="S9" si="56">S8-R8</f>
        <v>280</v>
      </c>
      <c r="T9" s="51">
        <f t="shared" ref="T9" si="57">T8-S8</f>
        <v>280</v>
      </c>
      <c r="U9" s="51">
        <f t="shared" ref="U9" si="58">U8-T8</f>
        <v>-520</v>
      </c>
      <c r="V9" s="51">
        <f t="shared" ref="V9" si="59">V8-U8</f>
        <v>280</v>
      </c>
      <c r="W9" s="51">
        <f t="shared" ref="W9" si="60">W8-V8</f>
        <v>280</v>
      </c>
      <c r="X9" s="51">
        <f t="shared" ref="X9" si="61">X8-W8</f>
        <v>280</v>
      </c>
      <c r="Y9" s="51">
        <f t="shared" ref="Y9" si="62">Y8-X8</f>
        <v>280</v>
      </c>
      <c r="Z9" s="51">
        <f t="shared" ref="Z9" si="63">Z8-Y8</f>
        <v>280</v>
      </c>
      <c r="AA9" s="51">
        <f t="shared" ref="AA9" si="64">AA8-Z8</f>
        <v>280</v>
      </c>
      <c r="AB9" s="51">
        <f t="shared" ref="AB9" si="65">AB8-AA8</f>
        <v>280</v>
      </c>
      <c r="AC9" s="51">
        <f t="shared" ref="AC9" si="66">AC8-AB8</f>
        <v>280</v>
      </c>
      <c r="AD9" s="51">
        <f t="shared" ref="AD9" si="67">AD8-AC8</f>
        <v>-670</v>
      </c>
      <c r="AE9" s="51">
        <f t="shared" ref="AE9" si="68">AE8-AD8</f>
        <v>-630</v>
      </c>
      <c r="AF9" s="51">
        <f t="shared" ref="AF9" si="69">AF8-AE8</f>
        <v>-590</v>
      </c>
      <c r="AG9" s="51">
        <f t="shared" ref="AG9" si="70">AG8-AF8</f>
        <v>-720</v>
      </c>
      <c r="AH9" s="51">
        <f t="shared" ref="AH9" si="71">AH8-AG8</f>
        <v>-510</v>
      </c>
      <c r="AI9" s="51">
        <f t="shared" ref="AI9" si="72">AI8-AH8</f>
        <v>-470</v>
      </c>
      <c r="AJ9" s="51">
        <f t="shared" ref="AJ9" si="73">AJ8-AI8</f>
        <v>-480</v>
      </c>
      <c r="AK9" s="51">
        <f t="shared" ref="AK9:AL9" si="74">AK8-AJ8</f>
        <v>-330</v>
      </c>
      <c r="AL9" s="51">
        <f t="shared" si="74"/>
        <v>-260</v>
      </c>
      <c r="AM9" s="51">
        <f t="shared" ref="AM9" si="75">AM8-AL8</f>
        <v>-260</v>
      </c>
      <c r="AN9" s="51">
        <f t="shared" ref="AN9" si="76">AN8-AM8</f>
        <v>-120</v>
      </c>
      <c r="AO9" s="51">
        <f t="shared" ref="AO9" si="77">AO8-AN8</f>
        <v>-50</v>
      </c>
      <c r="AP9" s="51">
        <f t="shared" ref="AP9" si="78">AP8-AO8</f>
        <v>20</v>
      </c>
      <c r="AQ9" s="51">
        <f t="shared" ref="AQ9" si="79">AQ8-AP8</f>
        <v>90</v>
      </c>
      <c r="AR9" s="51">
        <f t="shared" ref="AR9" si="80">AR8-AQ8</f>
        <v>160</v>
      </c>
      <c r="AS9" s="51">
        <f t="shared" ref="AS9" si="81">AS8-AR8</f>
        <v>230</v>
      </c>
      <c r="AT9" s="51">
        <f t="shared" ref="AT9" si="82">AT8-AS8</f>
        <v>300</v>
      </c>
      <c r="AU9" s="51">
        <f t="shared" ref="AU9" si="83">AU8-AT8</f>
        <v>370</v>
      </c>
      <c r="AV9" s="51">
        <f t="shared" ref="AV9" si="84">AV8-AU8</f>
        <v>440</v>
      </c>
      <c r="AW9" s="51">
        <f t="shared" ref="AW9" si="85">AW8-AV8</f>
        <v>510</v>
      </c>
      <c r="AX9" s="51">
        <f t="shared" ref="AX9" si="86">AX8-AW8</f>
        <v>580</v>
      </c>
      <c r="AY9" s="51">
        <f t="shared" ref="AY9" si="87">AY8-AX8</f>
        <v>500</v>
      </c>
      <c r="AZ9" s="51">
        <f t="shared" ref="AZ9" si="88">AZ8-AY8</f>
        <v>720</v>
      </c>
      <c r="BA9" s="51">
        <f t="shared" ref="BA9" si="89">BA8-AZ8</f>
        <v>790</v>
      </c>
      <c r="BB9" s="51">
        <f t="shared" ref="BB9" si="90">BB8-BA8</f>
        <v>860</v>
      </c>
      <c r="BC9" s="51">
        <f t="shared" ref="BC9" si="91">BC8-BB8</f>
        <v>930</v>
      </c>
      <c r="BD9" s="51">
        <f t="shared" ref="BD9" si="92">BD8-BC8</f>
        <v>1000</v>
      </c>
      <c r="BE9" s="51">
        <f t="shared" ref="BE9" si="93">BE8-BD8</f>
        <v>1070</v>
      </c>
      <c r="BF9" s="51">
        <f t="shared" ref="BF9" si="94">BF8-BE8</f>
        <v>1140</v>
      </c>
      <c r="BG9" s="51">
        <f t="shared" ref="BG9" si="95">BG8-BF8</f>
        <v>1210</v>
      </c>
      <c r="BH9" s="51">
        <f t="shared" ref="BH9" si="96">BH8-BG8</f>
        <v>1280</v>
      </c>
      <c r="BI9" s="51">
        <f t="shared" ref="BI9" si="97">BI8-BH8</f>
        <v>1350</v>
      </c>
      <c r="BJ9" s="51">
        <f t="shared" ref="BJ9" si="98">BJ8-BI8</f>
        <v>1420</v>
      </c>
      <c r="BK9" s="51">
        <f t="shared" ref="BK9" si="99">BK8-BJ8</f>
        <v>1490</v>
      </c>
      <c r="BL9" s="51">
        <f t="shared" ref="BL9" si="100">BL8-BK8</f>
        <v>1560</v>
      </c>
      <c r="BM9" s="51">
        <f t="shared" ref="BM9" si="101">BM8-BL8</f>
        <v>1630</v>
      </c>
      <c r="BN9" s="51">
        <f t="shared" ref="BN9" si="102">BN8-BM8</f>
        <v>1700</v>
      </c>
      <c r="BO9" s="51">
        <f t="shared" ref="BO9" si="103">BO8-BN8</f>
        <v>1770</v>
      </c>
      <c r="BP9" s="51">
        <f t="shared" ref="BP9" si="104">BP8-BO8</f>
        <v>1840</v>
      </c>
      <c r="BQ9" s="51">
        <f t="shared" ref="BQ9" si="105">BQ8-BP8</f>
        <v>1910</v>
      </c>
      <c r="BR9" s="51">
        <f t="shared" ref="BR9" si="106">BR8-BQ8</f>
        <v>1980</v>
      </c>
      <c r="BS9" s="51">
        <f t="shared" ref="BS9" si="107">BS8-BR8</f>
        <v>2050</v>
      </c>
      <c r="BT9" s="51">
        <f t="shared" ref="BT9" si="108">BT8-BS8</f>
        <v>2120</v>
      </c>
      <c r="BU9" s="51">
        <f t="shared" ref="BU9" si="109">BU8-BT8</f>
        <v>2190</v>
      </c>
      <c r="BV9" s="51">
        <f t="shared" ref="BV9" si="110">BV8-BU8</f>
        <v>2260</v>
      </c>
      <c r="BW9" s="51">
        <f t="shared" ref="BW9" si="111">BW8-BV8</f>
        <v>2330</v>
      </c>
      <c r="BX9" s="51">
        <f t="shared" ref="BX9" si="112">BX8-BW8</f>
        <v>2400</v>
      </c>
      <c r="BY9" s="51">
        <f t="shared" ref="BY9" si="113">BY8-BX8</f>
        <v>2470</v>
      </c>
      <c r="BZ9" s="51"/>
    </row>
    <row r="10" spans="1:98" s="37" customFormat="1" x14ac:dyDescent="0.45">
      <c r="A10" s="36"/>
      <c r="B10" s="36"/>
      <c r="C10" s="36"/>
      <c r="D10" s="32"/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</row>
    <row r="11" spans="1:98" ht="14.65" thickBot="1" x14ac:dyDescent="0.5">
      <c r="D11" s="32"/>
    </row>
    <row r="12" spans="1:98" s="40" customFormat="1" x14ac:dyDescent="0.45">
      <c r="A12" s="45"/>
      <c r="B12" s="45"/>
      <c r="C12" s="45"/>
      <c r="D12" s="55" t="s">
        <v>95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0</v>
      </c>
      <c r="AV12" s="40">
        <v>0</v>
      </c>
      <c r="AW12" s="40">
        <v>0</v>
      </c>
      <c r="AX12" s="40">
        <v>0</v>
      </c>
      <c r="AY12" s="40">
        <v>0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0</v>
      </c>
      <c r="BK12" s="40">
        <v>0</v>
      </c>
      <c r="BL12" s="40">
        <v>0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0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</row>
    <row r="13" spans="1:98" s="28" customFormat="1" ht="14.65" thickBot="1" x14ac:dyDescent="0.5">
      <c r="A13" s="46"/>
      <c r="B13" s="46"/>
      <c r="C13" s="46"/>
      <c r="D13" s="56" t="s">
        <v>96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</row>
    <row r="14" spans="1:98" x14ac:dyDescent="0.45">
      <c r="C14" s="36">
        <f>COUNTA(A15:B41)</f>
        <v>3</v>
      </c>
      <c r="D14" s="57" t="s">
        <v>186</v>
      </c>
    </row>
    <row r="16" spans="1:98" x14ac:dyDescent="0.45">
      <c r="D16" s="57" t="s">
        <v>176</v>
      </c>
    </row>
    <row r="17" spans="1:77" x14ac:dyDescent="0.45">
      <c r="A17" s="41"/>
      <c r="B17" s="41"/>
      <c r="C17" s="41"/>
      <c r="D17" s="41" t="s">
        <v>136</v>
      </c>
    </row>
    <row r="18" spans="1:77" s="31" customFormat="1" x14ac:dyDescent="0.45">
      <c r="A18" s="53"/>
      <c r="B18" s="53"/>
      <c r="C18" s="53" t="s">
        <v>147</v>
      </c>
      <c r="D18" s="53" t="s">
        <v>97</v>
      </c>
      <c r="I18" s="31">
        <f t="shared" ref="I18:BT18" si="114">$C$41</f>
        <v>280</v>
      </c>
      <c r="J18" s="31">
        <f t="shared" si="114"/>
        <v>280</v>
      </c>
      <c r="K18" s="31">
        <f t="shared" si="114"/>
        <v>280</v>
      </c>
      <c r="L18" s="31">
        <f t="shared" si="114"/>
        <v>280</v>
      </c>
      <c r="M18" s="31">
        <f t="shared" si="114"/>
        <v>280</v>
      </c>
      <c r="N18" s="31">
        <f t="shared" si="114"/>
        <v>280</v>
      </c>
      <c r="O18" s="31">
        <f t="shared" si="114"/>
        <v>280</v>
      </c>
      <c r="P18" s="31">
        <f t="shared" si="114"/>
        <v>280</v>
      </c>
      <c r="Q18" s="31">
        <f t="shared" si="114"/>
        <v>280</v>
      </c>
      <c r="R18" s="31">
        <f t="shared" si="114"/>
        <v>280</v>
      </c>
      <c r="S18" s="31">
        <f t="shared" si="114"/>
        <v>280</v>
      </c>
      <c r="T18" s="31">
        <f t="shared" si="114"/>
        <v>280</v>
      </c>
      <c r="U18" s="31">
        <f t="shared" si="114"/>
        <v>280</v>
      </c>
      <c r="V18" s="31">
        <f t="shared" si="114"/>
        <v>280</v>
      </c>
      <c r="W18" s="31">
        <f t="shared" si="114"/>
        <v>280</v>
      </c>
      <c r="X18" s="31">
        <f t="shared" si="114"/>
        <v>280</v>
      </c>
      <c r="Y18" s="31">
        <f t="shared" si="114"/>
        <v>280</v>
      </c>
      <c r="Z18" s="31">
        <f t="shared" si="114"/>
        <v>280</v>
      </c>
      <c r="AA18" s="31">
        <f t="shared" si="114"/>
        <v>280</v>
      </c>
      <c r="AB18" s="31">
        <f t="shared" si="114"/>
        <v>280</v>
      </c>
      <c r="AC18" s="31">
        <f t="shared" si="114"/>
        <v>280</v>
      </c>
      <c r="AD18" s="31">
        <f t="shared" si="114"/>
        <v>280</v>
      </c>
      <c r="AE18" s="31">
        <f t="shared" si="114"/>
        <v>280</v>
      </c>
      <c r="AF18" s="31">
        <f t="shared" si="114"/>
        <v>280</v>
      </c>
      <c r="AG18" s="31">
        <f t="shared" si="114"/>
        <v>280</v>
      </c>
      <c r="AH18" s="31">
        <f t="shared" si="114"/>
        <v>280</v>
      </c>
      <c r="AI18" s="31">
        <f t="shared" si="114"/>
        <v>280</v>
      </c>
      <c r="AJ18" s="31">
        <f t="shared" si="114"/>
        <v>280</v>
      </c>
      <c r="AK18" s="31">
        <f t="shared" si="114"/>
        <v>280</v>
      </c>
      <c r="AL18" s="31">
        <f t="shared" si="114"/>
        <v>280</v>
      </c>
      <c r="AM18" s="31">
        <f t="shared" si="114"/>
        <v>280</v>
      </c>
      <c r="AN18" s="31">
        <f t="shared" si="114"/>
        <v>280</v>
      </c>
      <c r="AO18" s="31">
        <f t="shared" si="114"/>
        <v>280</v>
      </c>
      <c r="AP18" s="31">
        <f t="shared" si="114"/>
        <v>280</v>
      </c>
      <c r="AQ18" s="31">
        <f t="shared" si="114"/>
        <v>280</v>
      </c>
      <c r="AR18" s="31">
        <f t="shared" si="114"/>
        <v>280</v>
      </c>
      <c r="AS18" s="31">
        <f t="shared" si="114"/>
        <v>280</v>
      </c>
      <c r="AT18" s="31">
        <f t="shared" si="114"/>
        <v>280</v>
      </c>
      <c r="AU18" s="31">
        <f t="shared" si="114"/>
        <v>280</v>
      </c>
      <c r="AV18" s="31">
        <f t="shared" si="114"/>
        <v>280</v>
      </c>
      <c r="AW18" s="31">
        <f t="shared" si="114"/>
        <v>280</v>
      </c>
      <c r="AX18" s="31">
        <f t="shared" si="114"/>
        <v>280</v>
      </c>
      <c r="AY18" s="31">
        <f t="shared" si="114"/>
        <v>280</v>
      </c>
      <c r="AZ18" s="31">
        <f t="shared" si="114"/>
        <v>280</v>
      </c>
      <c r="BA18" s="31">
        <f t="shared" si="114"/>
        <v>280</v>
      </c>
      <c r="BB18" s="31">
        <f t="shared" si="114"/>
        <v>280</v>
      </c>
      <c r="BC18" s="31">
        <f t="shared" si="114"/>
        <v>280</v>
      </c>
      <c r="BD18" s="31">
        <f t="shared" si="114"/>
        <v>280</v>
      </c>
      <c r="BE18" s="31">
        <f t="shared" si="114"/>
        <v>280</v>
      </c>
      <c r="BF18" s="31">
        <f t="shared" si="114"/>
        <v>280</v>
      </c>
      <c r="BG18" s="31">
        <f t="shared" si="114"/>
        <v>280</v>
      </c>
      <c r="BH18" s="31">
        <f t="shared" si="114"/>
        <v>280</v>
      </c>
      <c r="BI18" s="31">
        <f t="shared" si="114"/>
        <v>280</v>
      </c>
      <c r="BJ18" s="31">
        <f t="shared" si="114"/>
        <v>280</v>
      </c>
      <c r="BK18" s="31">
        <f t="shared" si="114"/>
        <v>280</v>
      </c>
      <c r="BL18" s="31">
        <f t="shared" si="114"/>
        <v>280</v>
      </c>
      <c r="BM18" s="31">
        <f t="shared" si="114"/>
        <v>280</v>
      </c>
      <c r="BN18" s="31">
        <f t="shared" si="114"/>
        <v>280</v>
      </c>
      <c r="BO18" s="31">
        <f t="shared" si="114"/>
        <v>280</v>
      </c>
      <c r="BP18" s="31">
        <f t="shared" si="114"/>
        <v>280</v>
      </c>
      <c r="BQ18" s="31">
        <f t="shared" si="114"/>
        <v>280</v>
      </c>
      <c r="BR18" s="31">
        <f t="shared" si="114"/>
        <v>280</v>
      </c>
      <c r="BS18" s="31">
        <f t="shared" si="114"/>
        <v>280</v>
      </c>
      <c r="BT18" s="31">
        <f t="shared" si="114"/>
        <v>280</v>
      </c>
      <c r="BU18" s="31">
        <f t="shared" ref="BU18:BZ18" si="115">$C$41</f>
        <v>280</v>
      </c>
      <c r="BV18" s="31">
        <f t="shared" si="115"/>
        <v>280</v>
      </c>
      <c r="BW18" s="31">
        <f t="shared" si="115"/>
        <v>280</v>
      </c>
      <c r="BX18" s="31">
        <f t="shared" si="115"/>
        <v>280</v>
      </c>
      <c r="BY18" s="31">
        <f t="shared" si="115"/>
        <v>280</v>
      </c>
    </row>
    <row r="19" spans="1:77" x14ac:dyDescent="0.45">
      <c r="A19" s="23"/>
      <c r="B19" s="23"/>
      <c r="C19" s="23"/>
    </row>
    <row r="20" spans="1:77" x14ac:dyDescent="0.45">
      <c r="A20" s="23"/>
      <c r="B20" s="23"/>
      <c r="C20" s="23"/>
    </row>
    <row r="21" spans="1:77" s="27" customFormat="1" x14ac:dyDescent="0.45">
      <c r="A21" s="132"/>
      <c r="B21" s="132"/>
      <c r="C21" s="132"/>
      <c r="D21" s="132" t="s">
        <v>333</v>
      </c>
      <c r="AJ21" s="27" t="s">
        <v>405</v>
      </c>
    </row>
    <row r="22" spans="1:77" x14ac:dyDescent="0.45">
      <c r="A22" s="131"/>
      <c r="B22" s="131"/>
      <c r="C22" s="131"/>
      <c r="D22" s="131" t="s">
        <v>337</v>
      </c>
      <c r="AD22" s="24">
        <f>AC22+40</f>
        <v>40</v>
      </c>
      <c r="AE22" s="24">
        <f t="shared" ref="AE22:AI22" si="116">AD22+40</f>
        <v>80</v>
      </c>
      <c r="AF22" s="24">
        <f t="shared" si="116"/>
        <v>120</v>
      </c>
      <c r="AG22" s="24">
        <f t="shared" si="116"/>
        <v>160</v>
      </c>
      <c r="AH22" s="24">
        <f t="shared" si="116"/>
        <v>200</v>
      </c>
      <c r="AI22" s="24">
        <f t="shared" si="116"/>
        <v>240</v>
      </c>
      <c r="AJ22" s="24">
        <f>AI22+70</f>
        <v>310</v>
      </c>
      <c r="AK22" s="24">
        <f t="shared" ref="AK22:AR22" si="117">AJ22+70</f>
        <v>380</v>
      </c>
      <c r="AL22" s="24">
        <f t="shared" si="117"/>
        <v>450</v>
      </c>
      <c r="AM22" s="24">
        <f t="shared" si="117"/>
        <v>520</v>
      </c>
      <c r="AN22" s="24">
        <f t="shared" si="117"/>
        <v>590</v>
      </c>
      <c r="AO22" s="24">
        <f t="shared" si="117"/>
        <v>660</v>
      </c>
      <c r="AP22" s="24">
        <f t="shared" si="117"/>
        <v>730</v>
      </c>
      <c r="AQ22" s="24">
        <f t="shared" si="117"/>
        <v>800</v>
      </c>
      <c r="AR22" s="24">
        <f t="shared" si="117"/>
        <v>870</v>
      </c>
      <c r="AS22" s="24">
        <f t="shared" ref="AS22" si="118">AR22+70</f>
        <v>940</v>
      </c>
      <c r="AT22" s="24">
        <f t="shared" ref="AT22" si="119">AS22+70</f>
        <v>1010</v>
      </c>
      <c r="AU22" s="24">
        <f t="shared" ref="AU22" si="120">AT22+70</f>
        <v>1080</v>
      </c>
      <c r="AV22" s="24">
        <f t="shared" ref="AV22" si="121">AU22+70</f>
        <v>1150</v>
      </c>
      <c r="AW22" s="24">
        <f t="shared" ref="AW22" si="122">AV22+70</f>
        <v>1220</v>
      </c>
      <c r="AX22" s="24">
        <f t="shared" ref="AX22" si="123">AW22+70</f>
        <v>1290</v>
      </c>
      <c r="AY22" s="24">
        <f t="shared" ref="AY22" si="124">AX22+70</f>
        <v>1360</v>
      </c>
      <c r="AZ22" s="24">
        <f t="shared" ref="AZ22" si="125">AY22+70</f>
        <v>1430</v>
      </c>
      <c r="BA22" s="24">
        <f t="shared" ref="BA22" si="126">AZ22+70</f>
        <v>1500</v>
      </c>
      <c r="BB22" s="24">
        <f t="shared" ref="BB22" si="127">BA22+70</f>
        <v>1570</v>
      </c>
      <c r="BC22" s="24">
        <f t="shared" ref="BC22" si="128">BB22+70</f>
        <v>1640</v>
      </c>
      <c r="BD22" s="24">
        <f t="shared" ref="BD22" si="129">BC22+70</f>
        <v>1710</v>
      </c>
      <c r="BE22" s="24">
        <f t="shared" ref="BE22" si="130">BD22+70</f>
        <v>1780</v>
      </c>
      <c r="BF22" s="24">
        <f t="shared" ref="BF22" si="131">BE22+70</f>
        <v>1850</v>
      </c>
      <c r="BG22" s="24">
        <f t="shared" ref="BG22" si="132">BF22+70</f>
        <v>1920</v>
      </c>
      <c r="BH22" s="24">
        <f t="shared" ref="BH22" si="133">BG22+70</f>
        <v>1990</v>
      </c>
      <c r="BI22" s="24">
        <f t="shared" ref="BI22" si="134">BH22+70</f>
        <v>2060</v>
      </c>
      <c r="BJ22" s="24">
        <f t="shared" ref="BJ22" si="135">BI22+70</f>
        <v>2130</v>
      </c>
      <c r="BK22" s="24">
        <f t="shared" ref="BK22" si="136">BJ22+70</f>
        <v>2200</v>
      </c>
      <c r="BL22" s="24">
        <f t="shared" ref="BL22" si="137">BK22+70</f>
        <v>2270</v>
      </c>
      <c r="BM22" s="24">
        <f t="shared" ref="BM22" si="138">BL22+70</f>
        <v>2340</v>
      </c>
      <c r="BN22" s="24">
        <f t="shared" ref="BN22" si="139">BM22+70</f>
        <v>2410</v>
      </c>
      <c r="BO22" s="24">
        <f t="shared" ref="BO22" si="140">BN22+70</f>
        <v>2480</v>
      </c>
      <c r="BP22" s="24">
        <f t="shared" ref="BP22" si="141">BO22+70</f>
        <v>2550</v>
      </c>
      <c r="BQ22" s="24">
        <f t="shared" ref="BQ22" si="142">BP22+70</f>
        <v>2620</v>
      </c>
      <c r="BR22" s="24">
        <f t="shared" ref="BR22" si="143">BQ22+70</f>
        <v>2690</v>
      </c>
      <c r="BS22" s="24">
        <f t="shared" ref="BS22" si="144">BR22+70</f>
        <v>2760</v>
      </c>
      <c r="BT22" s="24">
        <f t="shared" ref="BT22" si="145">BS22+70</f>
        <v>2830</v>
      </c>
      <c r="BU22" s="24">
        <f t="shared" ref="BU22" si="146">BT22+70</f>
        <v>2900</v>
      </c>
      <c r="BV22" s="24">
        <f t="shared" ref="BV22" si="147">BU22+70</f>
        <v>2970</v>
      </c>
      <c r="BW22" s="24">
        <f t="shared" ref="BW22" si="148">BV22+70</f>
        <v>3040</v>
      </c>
      <c r="BX22" s="24">
        <f t="shared" ref="BX22" si="149">BW22+70</f>
        <v>3110</v>
      </c>
      <c r="BY22" s="24">
        <f t="shared" ref="BY22" si="150">BX22+70</f>
        <v>3180</v>
      </c>
    </row>
    <row r="23" spans="1:77" x14ac:dyDescent="0.45">
      <c r="A23" s="131"/>
      <c r="B23" s="131" t="s">
        <v>185</v>
      </c>
      <c r="C23" s="131"/>
      <c r="D23" s="131" t="s">
        <v>334</v>
      </c>
      <c r="AD23" s="24">
        <v>-330</v>
      </c>
      <c r="AE23" s="24">
        <v>-330</v>
      </c>
      <c r="AF23" s="24">
        <v>-330</v>
      </c>
      <c r="AG23" s="24">
        <v>-330</v>
      </c>
      <c r="AH23" s="24">
        <v>-330</v>
      </c>
      <c r="AI23" s="24">
        <v>-330</v>
      </c>
      <c r="AJ23" s="24">
        <v>-330</v>
      </c>
      <c r="AK23" s="24">
        <v>-330</v>
      </c>
      <c r="AL23" s="24">
        <v>-330</v>
      </c>
      <c r="AM23" s="24">
        <v>-330</v>
      </c>
      <c r="AN23" s="24">
        <v>-330</v>
      </c>
      <c r="AO23" s="24">
        <v>-330</v>
      </c>
      <c r="AP23" s="24">
        <v>-330</v>
      </c>
      <c r="AQ23" s="24">
        <v>-330</v>
      </c>
      <c r="AR23" s="24">
        <v>-330</v>
      </c>
      <c r="AS23" s="24">
        <v>-330</v>
      </c>
      <c r="AT23" s="24">
        <v>-330</v>
      </c>
      <c r="AU23" s="24">
        <v>-330</v>
      </c>
      <c r="AV23" s="24">
        <v>-330</v>
      </c>
      <c r="AW23" s="24">
        <v>-330</v>
      </c>
      <c r="AX23" s="24">
        <v>-330</v>
      </c>
      <c r="AY23" s="24">
        <v>-330</v>
      </c>
      <c r="AZ23" s="24">
        <v>-330</v>
      </c>
      <c r="BA23" s="24">
        <v>-330</v>
      </c>
      <c r="BB23" s="24">
        <v>-330</v>
      </c>
      <c r="BC23" s="24">
        <v>-330</v>
      </c>
      <c r="BD23" s="24">
        <v>-330</v>
      </c>
      <c r="BE23" s="24">
        <v>-330</v>
      </c>
      <c r="BF23" s="24">
        <v>-330</v>
      </c>
      <c r="BG23" s="24">
        <v>-330</v>
      </c>
      <c r="BH23" s="24">
        <v>-330</v>
      </c>
      <c r="BI23" s="24">
        <v>-330</v>
      </c>
      <c r="BJ23" s="24">
        <v>-330</v>
      </c>
      <c r="BK23" s="24">
        <v>-330</v>
      </c>
      <c r="BL23" s="24">
        <v>-330</v>
      </c>
      <c r="BM23" s="24">
        <v>-330</v>
      </c>
      <c r="BN23" s="24">
        <v>-330</v>
      </c>
      <c r="BO23" s="24">
        <v>-330</v>
      </c>
      <c r="BP23" s="24">
        <v>-330</v>
      </c>
      <c r="BQ23" s="24">
        <v>-330</v>
      </c>
      <c r="BR23" s="24">
        <v>-330</v>
      </c>
      <c r="BS23" s="24">
        <v>-330</v>
      </c>
      <c r="BT23" s="24">
        <v>-330</v>
      </c>
      <c r="BU23" s="24">
        <v>-330</v>
      </c>
      <c r="BV23" s="24">
        <v>-330</v>
      </c>
      <c r="BW23" s="24">
        <v>-330</v>
      </c>
      <c r="BX23" s="24">
        <v>-330</v>
      </c>
      <c r="BY23" s="24">
        <v>-330</v>
      </c>
    </row>
    <row r="24" spans="1:77" x14ac:dyDescent="0.45">
      <c r="A24" s="131"/>
      <c r="B24" s="131" t="s">
        <v>185</v>
      </c>
      <c r="C24" s="131"/>
      <c r="D24" s="131" t="s">
        <v>335</v>
      </c>
      <c r="AD24" s="24">
        <v>-330</v>
      </c>
      <c r="AE24" s="24">
        <v>-330</v>
      </c>
      <c r="AF24" s="24">
        <v>-330</v>
      </c>
      <c r="AG24" s="24">
        <v>-330</v>
      </c>
      <c r="AH24" s="24">
        <v>-330</v>
      </c>
      <c r="AI24" s="24">
        <v>-330</v>
      </c>
      <c r="AJ24" s="24">
        <v>-330</v>
      </c>
      <c r="AK24" s="24">
        <v>-330</v>
      </c>
      <c r="AL24" s="24">
        <v>-330</v>
      </c>
      <c r="AM24" s="24">
        <v>-330</v>
      </c>
      <c r="AN24" s="24">
        <v>-330</v>
      </c>
      <c r="AO24" s="24">
        <v>-330</v>
      </c>
      <c r="AP24" s="24">
        <v>-330</v>
      </c>
      <c r="AQ24" s="24">
        <v>-330</v>
      </c>
      <c r="AR24" s="24">
        <v>-330</v>
      </c>
      <c r="AS24" s="24">
        <v>-330</v>
      </c>
      <c r="AT24" s="24">
        <v>-330</v>
      </c>
      <c r="AU24" s="24">
        <v>-330</v>
      </c>
      <c r="AV24" s="24">
        <v>-330</v>
      </c>
      <c r="AW24" s="24">
        <v>-330</v>
      </c>
      <c r="AX24" s="24">
        <v>-330</v>
      </c>
      <c r="AY24" s="24">
        <v>-330</v>
      </c>
      <c r="AZ24" s="24">
        <v>-330</v>
      </c>
      <c r="BA24" s="24">
        <v>-330</v>
      </c>
      <c r="BB24" s="24">
        <v>-330</v>
      </c>
      <c r="BC24" s="24">
        <v>-330</v>
      </c>
      <c r="BD24" s="24">
        <v>-330</v>
      </c>
      <c r="BE24" s="24">
        <v>-330</v>
      </c>
      <c r="BF24" s="24">
        <v>-330</v>
      </c>
      <c r="BG24" s="24">
        <v>-330</v>
      </c>
      <c r="BH24" s="24">
        <v>-330</v>
      </c>
      <c r="BI24" s="24">
        <v>-330</v>
      </c>
      <c r="BJ24" s="24">
        <v>-330</v>
      </c>
      <c r="BK24" s="24">
        <v>-330</v>
      </c>
      <c r="BL24" s="24">
        <v>-330</v>
      </c>
      <c r="BM24" s="24">
        <v>-330</v>
      </c>
      <c r="BN24" s="24">
        <v>-330</v>
      </c>
      <c r="BO24" s="24">
        <v>-330</v>
      </c>
      <c r="BP24" s="24">
        <v>-330</v>
      </c>
      <c r="BQ24" s="24">
        <v>-330</v>
      </c>
      <c r="BR24" s="24">
        <v>-330</v>
      </c>
      <c r="BS24" s="24">
        <v>-330</v>
      </c>
      <c r="BT24" s="24">
        <v>-330</v>
      </c>
      <c r="BU24" s="24">
        <v>-330</v>
      </c>
      <c r="BV24" s="24">
        <v>-330</v>
      </c>
      <c r="BW24" s="24">
        <v>-330</v>
      </c>
      <c r="BX24" s="24">
        <v>-330</v>
      </c>
      <c r="BY24" s="24">
        <v>-330</v>
      </c>
    </row>
    <row r="25" spans="1:77" x14ac:dyDescent="0.45">
      <c r="A25" s="131"/>
      <c r="B25" s="131" t="s">
        <v>185</v>
      </c>
      <c r="C25" s="131"/>
      <c r="D25" s="131" t="s">
        <v>336</v>
      </c>
      <c r="AD25" s="24">
        <v>-330</v>
      </c>
      <c r="AE25" s="24">
        <v>-330</v>
      </c>
      <c r="AF25" s="24">
        <v>-330</v>
      </c>
      <c r="AG25" s="24">
        <v>-330</v>
      </c>
      <c r="AH25" s="24">
        <v>-330</v>
      </c>
      <c r="AI25" s="24">
        <v>-330</v>
      </c>
      <c r="AJ25" s="24">
        <v>-330</v>
      </c>
      <c r="AK25" s="24">
        <v>-330</v>
      </c>
      <c r="AL25" s="24">
        <v>-330</v>
      </c>
      <c r="AM25" s="24">
        <v>-330</v>
      </c>
      <c r="AN25" s="24">
        <v>-330</v>
      </c>
      <c r="AO25" s="24">
        <v>-330</v>
      </c>
      <c r="AP25" s="24">
        <v>-330</v>
      </c>
      <c r="AQ25" s="24">
        <v>-330</v>
      </c>
      <c r="AR25" s="24">
        <v>-330</v>
      </c>
      <c r="AS25" s="24">
        <v>-330</v>
      </c>
      <c r="AT25" s="24">
        <v>-330</v>
      </c>
      <c r="AU25" s="24">
        <v>-330</v>
      </c>
      <c r="AV25" s="24">
        <v>-330</v>
      </c>
      <c r="AW25" s="24">
        <v>-330</v>
      </c>
      <c r="AX25" s="24">
        <v>-330</v>
      </c>
      <c r="AY25" s="24">
        <v>-330</v>
      </c>
      <c r="AZ25" s="24">
        <v>-330</v>
      </c>
      <c r="BA25" s="24">
        <v>-330</v>
      </c>
      <c r="BB25" s="24">
        <v>-330</v>
      </c>
      <c r="BC25" s="24">
        <v>-330</v>
      </c>
      <c r="BD25" s="24">
        <v>-330</v>
      </c>
      <c r="BE25" s="24">
        <v>-330</v>
      </c>
      <c r="BF25" s="24">
        <v>-330</v>
      </c>
      <c r="BG25" s="24">
        <v>-330</v>
      </c>
      <c r="BH25" s="24">
        <v>-330</v>
      </c>
      <c r="BI25" s="24">
        <v>-330</v>
      </c>
      <c r="BJ25" s="24">
        <v>-330</v>
      </c>
      <c r="BK25" s="24">
        <v>-330</v>
      </c>
      <c r="BL25" s="24">
        <v>-330</v>
      </c>
      <c r="BM25" s="24">
        <v>-330</v>
      </c>
      <c r="BN25" s="24">
        <v>-330</v>
      </c>
      <c r="BO25" s="24">
        <v>-330</v>
      </c>
      <c r="BP25" s="24">
        <v>-330</v>
      </c>
      <c r="BQ25" s="24">
        <v>-330</v>
      </c>
      <c r="BR25" s="24">
        <v>-330</v>
      </c>
      <c r="BS25" s="24">
        <v>-330</v>
      </c>
      <c r="BT25" s="24">
        <v>-330</v>
      </c>
      <c r="BU25" s="24">
        <v>-330</v>
      </c>
      <c r="BV25" s="24">
        <v>-330</v>
      </c>
      <c r="BW25" s="24">
        <v>-330</v>
      </c>
      <c r="BX25" s="24">
        <v>-330</v>
      </c>
      <c r="BY25" s="24">
        <v>-330</v>
      </c>
    </row>
    <row r="26" spans="1:77" x14ac:dyDescent="0.45">
      <c r="A26" s="23"/>
      <c r="B26" s="23"/>
      <c r="C26" s="23"/>
    </row>
    <row r="27" spans="1:77" x14ac:dyDescent="0.45">
      <c r="A27" s="23"/>
      <c r="B27" s="23"/>
      <c r="C27" s="23"/>
      <c r="D27" s="57" t="s">
        <v>176</v>
      </c>
    </row>
    <row r="28" spans="1:77" x14ac:dyDescent="0.45">
      <c r="A28" s="41"/>
      <c r="B28" s="41"/>
      <c r="C28" s="41"/>
      <c r="D28" s="41" t="s">
        <v>148</v>
      </c>
    </row>
    <row r="29" spans="1:77" s="31" customFormat="1" x14ac:dyDescent="0.45">
      <c r="A29" s="53"/>
      <c r="B29" s="53"/>
      <c r="C29" s="53"/>
      <c r="D29" s="53" t="s">
        <v>97</v>
      </c>
      <c r="F29" s="31">
        <v>223</v>
      </c>
      <c r="G29" s="31">
        <v>256</v>
      </c>
      <c r="H29" s="31">
        <v>295</v>
      </c>
    </row>
    <row r="30" spans="1:77" x14ac:dyDescent="0.45">
      <c r="A30" s="23"/>
      <c r="B30" s="23"/>
      <c r="C30" s="23"/>
    </row>
    <row r="31" spans="1:77" x14ac:dyDescent="0.45">
      <c r="A31" s="23"/>
      <c r="B31" s="23"/>
      <c r="C31" s="23"/>
    </row>
    <row r="32" spans="1:77" ht="57" x14ac:dyDescent="0.45">
      <c r="A32" s="23"/>
      <c r="B32" s="23"/>
      <c r="C32" s="23"/>
      <c r="E32" s="25" t="s">
        <v>119</v>
      </c>
      <c r="F32" s="25"/>
      <c r="G32" s="25"/>
      <c r="H32" s="25"/>
      <c r="O32" s="25" t="s">
        <v>257</v>
      </c>
      <c r="U32" s="24" t="s">
        <v>229</v>
      </c>
      <c r="AF32" s="24" t="s">
        <v>345</v>
      </c>
      <c r="AG32" s="24">
        <v>-50</v>
      </c>
      <c r="AI32" s="24" t="s">
        <v>373</v>
      </c>
      <c r="AJ32" s="24">
        <v>-30</v>
      </c>
      <c r="AL32" s="24" t="s">
        <v>373</v>
      </c>
      <c r="AM32" s="24">
        <v>-70</v>
      </c>
    </row>
    <row r="33" spans="1:51" x14ac:dyDescent="0.45">
      <c r="A33" s="23"/>
      <c r="B33" s="23"/>
      <c r="C33" s="23"/>
      <c r="E33" s="24">
        <v>5000</v>
      </c>
      <c r="O33" s="24">
        <v>-350</v>
      </c>
      <c r="U33" s="24">
        <v>-600</v>
      </c>
      <c r="AI33" s="24" t="s">
        <v>373</v>
      </c>
      <c r="AJ33" s="24">
        <v>-50</v>
      </c>
    </row>
    <row r="34" spans="1:51" x14ac:dyDescent="0.45">
      <c r="A34" s="23"/>
      <c r="B34" s="23"/>
      <c r="C34" s="23"/>
      <c r="O34" s="24">
        <v>350</v>
      </c>
      <c r="AF34" s="24" t="s">
        <v>344</v>
      </c>
      <c r="AG34" s="24">
        <v>-120</v>
      </c>
    </row>
    <row r="35" spans="1:51" x14ac:dyDescent="0.45">
      <c r="A35" s="23"/>
      <c r="B35" s="23"/>
      <c r="C35" s="23"/>
      <c r="I35" s="24" t="s">
        <v>129</v>
      </c>
      <c r="Q35" s="24" t="s">
        <v>129</v>
      </c>
      <c r="U35" s="24" t="s">
        <v>230</v>
      </c>
      <c r="AL35" s="24" t="s">
        <v>202</v>
      </c>
      <c r="AM35" s="24">
        <v>5000</v>
      </c>
      <c r="AX35" s="24" t="s">
        <v>404</v>
      </c>
      <c r="AY35" s="24">
        <f>-5000*1.03</f>
        <v>-5150</v>
      </c>
    </row>
    <row r="36" spans="1:51" x14ac:dyDescent="0.45">
      <c r="A36" s="23"/>
      <c r="B36" s="23"/>
      <c r="C36" s="23"/>
      <c r="I36" s="24">
        <f>-10*3</f>
        <v>-30</v>
      </c>
      <c r="Q36" s="24">
        <v>-50</v>
      </c>
      <c r="U36" s="24">
        <v>-200</v>
      </c>
      <c r="AM36" s="24">
        <f>-5000</f>
        <v>-5000</v>
      </c>
      <c r="AY36" s="24">
        <v>5000</v>
      </c>
    </row>
    <row r="38" spans="1:51" s="27" customFormat="1" x14ac:dyDescent="0.45">
      <c r="A38" s="58"/>
      <c r="B38" s="58"/>
      <c r="C38" s="58"/>
      <c r="D38" s="61"/>
      <c r="E38" s="62"/>
      <c r="G38" s="62"/>
    </row>
    <row r="41" spans="1:51" x14ac:dyDescent="0.45">
      <c r="C41" s="36">
        <v>280</v>
      </c>
      <c r="D41" s="23" t="s">
        <v>137</v>
      </c>
    </row>
    <row r="49" spans="1:3" x14ac:dyDescent="0.45">
      <c r="A49" s="47"/>
      <c r="B49" s="47"/>
      <c r="C49" s="4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FB8F-E952-487F-A34A-39364A7BAB85}">
  <sheetPr>
    <tabColor theme="0" tint="-0.249977111117893"/>
  </sheetPr>
  <dimension ref="A1:CT102"/>
  <sheetViews>
    <sheetView topLeftCell="BS1" zoomScaleNormal="100" workbookViewId="0">
      <selection activeCell="BW69" sqref="BW69"/>
    </sheetView>
  </sheetViews>
  <sheetFormatPr defaultColWidth="13" defaultRowHeight="14.25" x14ac:dyDescent="0.45"/>
  <cols>
    <col min="1" max="1" width="3.3984375" style="36" bestFit="1" customWidth="1"/>
    <col min="2" max="2" width="3.3984375" style="36" customWidth="1"/>
    <col min="3" max="3" width="5.33203125" style="57" customWidth="1"/>
    <col min="4" max="4" width="43" style="23" customWidth="1"/>
    <col min="5" max="16384" width="13" style="24"/>
  </cols>
  <sheetData>
    <row r="1" spans="1:98" s="100" customFormat="1" ht="21" x14ac:dyDescent="0.65">
      <c r="A1" s="98"/>
      <c r="B1" s="98"/>
      <c r="C1" s="99"/>
      <c r="D1" s="101" t="s">
        <v>126</v>
      </c>
      <c r="F1" s="102" t="s">
        <v>98</v>
      </c>
      <c r="G1" s="102" t="s">
        <v>99</v>
      </c>
      <c r="H1" s="102" t="s">
        <v>100</v>
      </c>
      <c r="I1" s="103" t="s">
        <v>101</v>
      </c>
      <c r="J1" s="103" t="s">
        <v>102</v>
      </c>
      <c r="K1" s="103" t="s">
        <v>103</v>
      </c>
      <c r="L1" s="104" t="s">
        <v>104</v>
      </c>
      <c r="M1" s="104" t="s">
        <v>105</v>
      </c>
      <c r="N1" s="104" t="s">
        <v>106</v>
      </c>
      <c r="O1" s="105" t="s">
        <v>107</v>
      </c>
      <c r="P1" s="105" t="s">
        <v>108</v>
      </c>
      <c r="Q1" s="105" t="s">
        <v>109</v>
      </c>
      <c r="R1" s="102" t="s">
        <v>98</v>
      </c>
      <c r="S1" s="102" t="s">
        <v>99</v>
      </c>
      <c r="T1" s="102" t="s">
        <v>100</v>
      </c>
      <c r="U1" s="103" t="s">
        <v>101</v>
      </c>
      <c r="V1" s="103" t="s">
        <v>102</v>
      </c>
      <c r="W1" s="103" t="s">
        <v>103</v>
      </c>
      <c r="X1" s="104" t="s">
        <v>104</v>
      </c>
      <c r="Y1" s="104" t="s">
        <v>105</v>
      </c>
      <c r="Z1" s="104" t="s">
        <v>106</v>
      </c>
      <c r="AA1" s="105" t="s">
        <v>107</v>
      </c>
      <c r="AB1" s="105" t="s">
        <v>108</v>
      </c>
      <c r="AC1" s="105" t="s">
        <v>109</v>
      </c>
      <c r="AD1" s="102" t="s">
        <v>98</v>
      </c>
      <c r="AE1" s="102" t="s">
        <v>99</v>
      </c>
      <c r="AF1" s="102" t="s">
        <v>100</v>
      </c>
      <c r="AG1" s="103" t="s">
        <v>101</v>
      </c>
      <c r="AH1" s="103" t="s">
        <v>102</v>
      </c>
      <c r="AI1" s="103" t="s">
        <v>103</v>
      </c>
      <c r="AJ1" s="104" t="s">
        <v>104</v>
      </c>
      <c r="AK1" s="104" t="s">
        <v>105</v>
      </c>
      <c r="AL1" s="104" t="s">
        <v>106</v>
      </c>
      <c r="AM1" s="105" t="s">
        <v>107</v>
      </c>
      <c r="AN1" s="105" t="s">
        <v>108</v>
      </c>
      <c r="AO1" s="105" t="s">
        <v>109</v>
      </c>
      <c r="AP1" s="102" t="s">
        <v>98</v>
      </c>
      <c r="AQ1" s="102" t="s">
        <v>99</v>
      </c>
      <c r="AR1" s="102" t="s">
        <v>100</v>
      </c>
      <c r="AS1" s="103" t="s">
        <v>101</v>
      </c>
      <c r="AT1" s="103" t="s">
        <v>102</v>
      </c>
      <c r="AU1" s="103" t="s">
        <v>103</v>
      </c>
      <c r="AV1" s="104" t="s">
        <v>104</v>
      </c>
      <c r="AW1" s="104" t="s">
        <v>105</v>
      </c>
      <c r="AX1" s="104" t="s">
        <v>106</v>
      </c>
      <c r="AY1" s="105" t="s">
        <v>107</v>
      </c>
      <c r="AZ1" s="105" t="s">
        <v>108</v>
      </c>
      <c r="BA1" s="105" t="s">
        <v>109</v>
      </c>
      <c r="BB1" s="102" t="s">
        <v>98</v>
      </c>
      <c r="BC1" s="102" t="s">
        <v>99</v>
      </c>
      <c r="BD1" s="102" t="s">
        <v>100</v>
      </c>
      <c r="BE1" s="103" t="s">
        <v>101</v>
      </c>
      <c r="BF1" s="103" t="s">
        <v>102</v>
      </c>
      <c r="BG1" s="103" t="s">
        <v>103</v>
      </c>
      <c r="BH1" s="104" t="s">
        <v>104</v>
      </c>
      <c r="BI1" s="104" t="s">
        <v>105</v>
      </c>
      <c r="BJ1" s="104" t="s">
        <v>106</v>
      </c>
      <c r="BK1" s="105" t="s">
        <v>107</v>
      </c>
      <c r="BL1" s="105" t="s">
        <v>108</v>
      </c>
      <c r="BM1" s="105" t="s">
        <v>109</v>
      </c>
      <c r="BN1" s="102" t="s">
        <v>98</v>
      </c>
      <c r="BO1" s="102" t="s">
        <v>99</v>
      </c>
      <c r="BP1" s="102" t="s">
        <v>100</v>
      </c>
      <c r="BQ1" s="103" t="s">
        <v>101</v>
      </c>
      <c r="BR1" s="103" t="s">
        <v>102</v>
      </c>
      <c r="BS1" s="103" t="s">
        <v>103</v>
      </c>
      <c r="BT1" s="104" t="s">
        <v>104</v>
      </c>
      <c r="BU1" s="104" t="s">
        <v>105</v>
      </c>
      <c r="BV1" s="104" t="s">
        <v>106</v>
      </c>
      <c r="BW1" s="105" t="s">
        <v>107</v>
      </c>
      <c r="BX1" s="105" t="s">
        <v>108</v>
      </c>
      <c r="BY1" s="105" t="s">
        <v>109</v>
      </c>
      <c r="BZ1" s="102" t="s">
        <v>98</v>
      </c>
      <c r="CA1" s="102" t="s">
        <v>99</v>
      </c>
      <c r="CB1" s="102" t="s">
        <v>100</v>
      </c>
      <c r="CC1" s="103" t="s">
        <v>101</v>
      </c>
      <c r="CD1" s="103" t="s">
        <v>102</v>
      </c>
      <c r="CE1" s="103" t="s">
        <v>103</v>
      </c>
      <c r="CF1" s="104" t="s">
        <v>104</v>
      </c>
      <c r="CG1" s="104" t="s">
        <v>105</v>
      </c>
      <c r="CH1" s="104" t="s">
        <v>106</v>
      </c>
      <c r="CI1" s="105" t="s">
        <v>107</v>
      </c>
      <c r="CJ1" s="105" t="s">
        <v>108</v>
      </c>
      <c r="CK1" s="105" t="s">
        <v>109</v>
      </c>
      <c r="CL1" s="102" t="s">
        <v>98</v>
      </c>
      <c r="CM1" s="102" t="s">
        <v>99</v>
      </c>
      <c r="CN1" s="102" t="s">
        <v>100</v>
      </c>
      <c r="CO1" s="103" t="s">
        <v>101</v>
      </c>
      <c r="CP1" s="103" t="s">
        <v>102</v>
      </c>
      <c r="CQ1" s="103" t="s">
        <v>103</v>
      </c>
      <c r="CR1" s="104" t="s">
        <v>104</v>
      </c>
      <c r="CS1" s="104" t="s">
        <v>105</v>
      </c>
      <c r="CT1" s="104" t="s">
        <v>106</v>
      </c>
    </row>
    <row r="2" spans="1:98" s="36" customFormat="1" x14ac:dyDescent="0.45">
      <c r="C2" s="57"/>
      <c r="D2" s="97" t="s">
        <v>1</v>
      </c>
      <c r="F2" s="36">
        <v>1532</v>
      </c>
      <c r="G2" s="36">
        <f t="shared" ref="G2:AL2" si="0">F2+IF(G1="Gennaio",1,0)</f>
        <v>1532</v>
      </c>
      <c r="H2" s="36">
        <f t="shared" si="0"/>
        <v>1532</v>
      </c>
      <c r="I2" s="36">
        <f t="shared" si="0"/>
        <v>1532</v>
      </c>
      <c r="J2" s="36">
        <f t="shared" si="0"/>
        <v>1532</v>
      </c>
      <c r="K2" s="36">
        <f t="shared" si="0"/>
        <v>1532</v>
      </c>
      <c r="L2" s="36">
        <f t="shared" si="0"/>
        <v>1532</v>
      </c>
      <c r="M2" s="36">
        <f t="shared" si="0"/>
        <v>1532</v>
      </c>
      <c r="N2" s="36">
        <f t="shared" si="0"/>
        <v>1532</v>
      </c>
      <c r="O2" s="36">
        <f t="shared" si="0"/>
        <v>1533</v>
      </c>
      <c r="P2" s="36">
        <f t="shared" si="0"/>
        <v>1533</v>
      </c>
      <c r="Q2" s="36">
        <f t="shared" si="0"/>
        <v>1533</v>
      </c>
      <c r="R2" s="36">
        <f t="shared" si="0"/>
        <v>1533</v>
      </c>
      <c r="S2" s="36">
        <f t="shared" si="0"/>
        <v>1533</v>
      </c>
      <c r="T2" s="36">
        <f t="shared" si="0"/>
        <v>1533</v>
      </c>
      <c r="U2" s="36">
        <f t="shared" si="0"/>
        <v>1533</v>
      </c>
      <c r="V2" s="36">
        <f t="shared" si="0"/>
        <v>1533</v>
      </c>
      <c r="W2" s="36">
        <f t="shared" si="0"/>
        <v>1533</v>
      </c>
      <c r="X2" s="36">
        <f t="shared" si="0"/>
        <v>1533</v>
      </c>
      <c r="Y2" s="36">
        <f t="shared" si="0"/>
        <v>1533</v>
      </c>
      <c r="Z2" s="36">
        <f t="shared" si="0"/>
        <v>1533</v>
      </c>
      <c r="AA2" s="36">
        <f t="shared" si="0"/>
        <v>1534</v>
      </c>
      <c r="AB2" s="36">
        <f t="shared" si="0"/>
        <v>1534</v>
      </c>
      <c r="AC2" s="36">
        <f t="shared" si="0"/>
        <v>1534</v>
      </c>
      <c r="AD2" s="36">
        <f t="shared" si="0"/>
        <v>1534</v>
      </c>
      <c r="AE2" s="36">
        <f t="shared" si="0"/>
        <v>1534</v>
      </c>
      <c r="AF2" s="36">
        <f t="shared" si="0"/>
        <v>1534</v>
      </c>
      <c r="AG2" s="36">
        <f t="shared" si="0"/>
        <v>1534</v>
      </c>
      <c r="AH2" s="36">
        <f t="shared" si="0"/>
        <v>1534</v>
      </c>
      <c r="AI2" s="36">
        <f t="shared" si="0"/>
        <v>1534</v>
      </c>
      <c r="AJ2" s="36">
        <f t="shared" si="0"/>
        <v>1534</v>
      </c>
      <c r="AK2" s="36">
        <f t="shared" si="0"/>
        <v>1534</v>
      </c>
      <c r="AL2" s="36">
        <f t="shared" si="0"/>
        <v>1534</v>
      </c>
      <c r="AM2" s="36">
        <f t="shared" ref="AM2:BR2" si="1">AL2+IF(AM1="Gennaio",1,0)</f>
        <v>1535</v>
      </c>
      <c r="AN2" s="36">
        <f t="shared" si="1"/>
        <v>1535</v>
      </c>
      <c r="AO2" s="36">
        <f t="shared" si="1"/>
        <v>1535</v>
      </c>
      <c r="AP2" s="36">
        <f t="shared" si="1"/>
        <v>1535</v>
      </c>
      <c r="AQ2" s="36">
        <f t="shared" si="1"/>
        <v>1535</v>
      </c>
      <c r="AR2" s="36">
        <f t="shared" si="1"/>
        <v>1535</v>
      </c>
      <c r="AS2" s="36">
        <f t="shared" si="1"/>
        <v>1535</v>
      </c>
      <c r="AT2" s="36">
        <f t="shared" si="1"/>
        <v>1535</v>
      </c>
      <c r="AU2" s="36">
        <f t="shared" si="1"/>
        <v>1535</v>
      </c>
      <c r="AV2" s="36">
        <f t="shared" si="1"/>
        <v>1535</v>
      </c>
      <c r="AW2" s="36">
        <f t="shared" si="1"/>
        <v>1535</v>
      </c>
      <c r="AX2" s="36">
        <f t="shared" si="1"/>
        <v>1535</v>
      </c>
      <c r="AY2" s="36">
        <f t="shared" si="1"/>
        <v>1536</v>
      </c>
      <c r="AZ2" s="36">
        <f t="shared" si="1"/>
        <v>1536</v>
      </c>
      <c r="BA2" s="36">
        <f t="shared" si="1"/>
        <v>1536</v>
      </c>
      <c r="BB2" s="36">
        <f t="shared" si="1"/>
        <v>1536</v>
      </c>
      <c r="BC2" s="36">
        <f t="shared" si="1"/>
        <v>1536</v>
      </c>
      <c r="BD2" s="36">
        <f t="shared" si="1"/>
        <v>1536</v>
      </c>
      <c r="BE2" s="36">
        <f t="shared" si="1"/>
        <v>1536</v>
      </c>
      <c r="BF2" s="36">
        <f t="shared" si="1"/>
        <v>1536</v>
      </c>
      <c r="BG2" s="36">
        <f t="shared" si="1"/>
        <v>1536</v>
      </c>
      <c r="BH2" s="36">
        <f t="shared" si="1"/>
        <v>1536</v>
      </c>
      <c r="BI2" s="36">
        <f t="shared" si="1"/>
        <v>1536</v>
      </c>
      <c r="BJ2" s="36">
        <f t="shared" si="1"/>
        <v>1536</v>
      </c>
      <c r="BK2" s="36">
        <f t="shared" si="1"/>
        <v>1537</v>
      </c>
      <c r="BL2" s="36">
        <f t="shared" si="1"/>
        <v>1537</v>
      </c>
      <c r="BM2" s="36">
        <f t="shared" si="1"/>
        <v>1537</v>
      </c>
      <c r="BN2" s="36">
        <f t="shared" si="1"/>
        <v>1537</v>
      </c>
      <c r="BO2" s="36">
        <f t="shared" si="1"/>
        <v>1537</v>
      </c>
      <c r="BP2" s="36">
        <f t="shared" si="1"/>
        <v>1537</v>
      </c>
      <c r="BQ2" s="36">
        <f t="shared" si="1"/>
        <v>1537</v>
      </c>
      <c r="BR2" s="36">
        <f t="shared" si="1"/>
        <v>1537</v>
      </c>
      <c r="BS2" s="36">
        <f t="shared" ref="BS2:CT2" si="2">BR2+IF(BS1="Gennaio",1,0)</f>
        <v>1537</v>
      </c>
      <c r="BT2" s="36">
        <f t="shared" si="2"/>
        <v>1537</v>
      </c>
      <c r="BU2" s="36">
        <f t="shared" si="2"/>
        <v>1537</v>
      </c>
      <c r="BV2" s="36">
        <f t="shared" si="2"/>
        <v>1537</v>
      </c>
      <c r="BW2" s="36">
        <f t="shared" si="2"/>
        <v>1538</v>
      </c>
      <c r="BX2" s="36">
        <f t="shared" si="2"/>
        <v>1538</v>
      </c>
      <c r="BY2" s="36">
        <f t="shared" si="2"/>
        <v>1538</v>
      </c>
      <c r="BZ2" s="36">
        <f t="shared" si="2"/>
        <v>1538</v>
      </c>
      <c r="CA2" s="36">
        <f t="shared" si="2"/>
        <v>1538</v>
      </c>
      <c r="CB2" s="36">
        <f t="shared" si="2"/>
        <v>1538</v>
      </c>
      <c r="CC2" s="36">
        <f t="shared" si="2"/>
        <v>1538</v>
      </c>
      <c r="CD2" s="36">
        <f t="shared" si="2"/>
        <v>1538</v>
      </c>
      <c r="CE2" s="36">
        <f t="shared" si="2"/>
        <v>1538</v>
      </c>
      <c r="CF2" s="36">
        <f t="shared" si="2"/>
        <v>1538</v>
      </c>
      <c r="CG2" s="36">
        <f t="shared" si="2"/>
        <v>1538</v>
      </c>
      <c r="CH2" s="36">
        <f t="shared" si="2"/>
        <v>1538</v>
      </c>
      <c r="CI2" s="36">
        <f t="shared" si="2"/>
        <v>1539</v>
      </c>
      <c r="CJ2" s="36">
        <f t="shared" si="2"/>
        <v>1539</v>
      </c>
      <c r="CK2" s="36">
        <f t="shared" si="2"/>
        <v>1539</v>
      </c>
      <c r="CL2" s="36">
        <f t="shared" si="2"/>
        <v>1539</v>
      </c>
      <c r="CM2" s="36">
        <f t="shared" si="2"/>
        <v>1539</v>
      </c>
      <c r="CN2" s="36">
        <f t="shared" si="2"/>
        <v>1539</v>
      </c>
      <c r="CO2" s="36">
        <f t="shared" si="2"/>
        <v>1539</v>
      </c>
      <c r="CP2" s="36">
        <f t="shared" si="2"/>
        <v>1539</v>
      </c>
      <c r="CQ2" s="36">
        <f t="shared" si="2"/>
        <v>1539</v>
      </c>
      <c r="CR2" s="36">
        <f t="shared" si="2"/>
        <v>1539</v>
      </c>
      <c r="CS2" s="36">
        <f t="shared" si="2"/>
        <v>1539</v>
      </c>
      <c r="CT2" s="36">
        <f t="shared" si="2"/>
        <v>1539</v>
      </c>
    </row>
    <row r="3" spans="1:98" s="36" customFormat="1" x14ac:dyDescent="0.45">
      <c r="C3" s="57"/>
      <c r="D3" s="23" t="s">
        <v>94</v>
      </c>
      <c r="F3" s="36">
        <f>E3+1</f>
        <v>1</v>
      </c>
      <c r="G3" s="36">
        <f t="shared" ref="G3:W3" si="3">F3+1</f>
        <v>2</v>
      </c>
      <c r="H3" s="36">
        <f t="shared" si="3"/>
        <v>3</v>
      </c>
      <c r="I3" s="36">
        <f t="shared" si="3"/>
        <v>4</v>
      </c>
      <c r="J3" s="36">
        <f t="shared" si="3"/>
        <v>5</v>
      </c>
      <c r="K3" s="36">
        <f t="shared" si="3"/>
        <v>6</v>
      </c>
      <c r="L3" s="36">
        <f t="shared" si="3"/>
        <v>7</v>
      </c>
      <c r="M3" s="36">
        <f t="shared" si="3"/>
        <v>8</v>
      </c>
      <c r="N3" s="36">
        <f t="shared" si="3"/>
        <v>9</v>
      </c>
      <c r="O3" s="36">
        <f t="shared" si="3"/>
        <v>10</v>
      </c>
      <c r="P3" s="36">
        <f t="shared" si="3"/>
        <v>11</v>
      </c>
      <c r="Q3" s="36">
        <f t="shared" si="3"/>
        <v>12</v>
      </c>
      <c r="R3" s="36">
        <f t="shared" si="3"/>
        <v>13</v>
      </c>
      <c r="S3" s="36">
        <f t="shared" si="3"/>
        <v>14</v>
      </c>
      <c r="T3" s="36">
        <f t="shared" si="3"/>
        <v>15</v>
      </c>
      <c r="U3" s="36">
        <f t="shared" si="3"/>
        <v>16</v>
      </c>
      <c r="V3" s="36">
        <f t="shared" si="3"/>
        <v>17</v>
      </c>
      <c r="W3" s="36">
        <f t="shared" si="3"/>
        <v>18</v>
      </c>
      <c r="X3" s="36">
        <f t="shared" ref="X3" si="4">W3+1</f>
        <v>19</v>
      </c>
      <c r="Y3" s="36">
        <f t="shared" ref="Y3" si="5">X3+1</f>
        <v>20</v>
      </c>
      <c r="Z3" s="36">
        <f t="shared" ref="Z3" si="6">Y3+1</f>
        <v>21</v>
      </c>
      <c r="AA3" s="36">
        <f t="shared" ref="AA3" si="7">Z3+1</f>
        <v>22</v>
      </c>
      <c r="AB3" s="36">
        <f t="shared" ref="AB3" si="8">AA3+1</f>
        <v>23</v>
      </c>
      <c r="AC3" s="36">
        <f t="shared" ref="AC3" si="9">AB3+1</f>
        <v>24</v>
      </c>
      <c r="AD3" s="36">
        <f t="shared" ref="AD3" si="10">AC3+1</f>
        <v>25</v>
      </c>
      <c r="AE3" s="36">
        <f t="shared" ref="AE3" si="11">AD3+1</f>
        <v>26</v>
      </c>
      <c r="AF3" s="36">
        <f t="shared" ref="AF3" si="12">AE3+1</f>
        <v>27</v>
      </c>
      <c r="AG3" s="36">
        <f t="shared" ref="AG3" si="13">AF3+1</f>
        <v>28</v>
      </c>
      <c r="AH3" s="36">
        <f t="shared" ref="AH3" si="14">AG3+1</f>
        <v>29</v>
      </c>
      <c r="AI3" s="36">
        <f t="shared" ref="AI3" si="15">AH3+1</f>
        <v>30</v>
      </c>
      <c r="AJ3" s="36">
        <f t="shared" ref="AJ3" si="16">AI3+1</f>
        <v>31</v>
      </c>
      <c r="AK3" s="36">
        <f t="shared" ref="AK3" si="17">AJ3+1</f>
        <v>32</v>
      </c>
      <c r="AL3" s="36">
        <f t="shared" ref="AL3" si="18">AK3+1</f>
        <v>33</v>
      </c>
      <c r="AM3" s="36">
        <f t="shared" ref="AM3" si="19">AL3+1</f>
        <v>34</v>
      </c>
      <c r="AN3" s="36">
        <f t="shared" ref="AN3" si="20">AM3+1</f>
        <v>35</v>
      </c>
      <c r="AO3" s="36">
        <f t="shared" ref="AO3" si="21">AN3+1</f>
        <v>36</v>
      </c>
      <c r="AP3" s="36">
        <f t="shared" ref="AP3" si="22">AO3+1</f>
        <v>37</v>
      </c>
      <c r="AQ3" s="36">
        <f t="shared" ref="AQ3" si="23">AP3+1</f>
        <v>38</v>
      </c>
      <c r="AR3" s="36">
        <f t="shared" ref="AR3" si="24">AQ3+1</f>
        <v>39</v>
      </c>
      <c r="AS3" s="36">
        <f t="shared" ref="AS3" si="25">AR3+1</f>
        <v>40</v>
      </c>
      <c r="AT3" s="36">
        <f t="shared" ref="AT3" si="26">AS3+1</f>
        <v>41</v>
      </c>
      <c r="AU3" s="36">
        <f t="shared" ref="AU3" si="27">AT3+1</f>
        <v>42</v>
      </c>
      <c r="AV3" s="36">
        <f t="shared" ref="AV3" si="28">AU3+1</f>
        <v>43</v>
      </c>
      <c r="AW3" s="36">
        <f t="shared" ref="AW3" si="29">AV3+1</f>
        <v>44</v>
      </c>
      <c r="AX3" s="36">
        <f t="shared" ref="AX3" si="30">AW3+1</f>
        <v>45</v>
      </c>
      <c r="AY3" s="36">
        <f t="shared" ref="AY3" si="31">AX3+1</f>
        <v>46</v>
      </c>
      <c r="AZ3" s="36">
        <f t="shared" ref="AZ3" si="32">AY3+1</f>
        <v>47</v>
      </c>
      <c r="BA3" s="36">
        <f t="shared" ref="BA3" si="33">AZ3+1</f>
        <v>48</v>
      </c>
      <c r="BB3" s="36">
        <f t="shared" ref="BB3" si="34">BA3+1</f>
        <v>49</v>
      </c>
      <c r="BC3" s="36">
        <f t="shared" ref="BC3" si="35">BB3+1</f>
        <v>50</v>
      </c>
      <c r="BD3" s="36">
        <f t="shared" ref="BD3" si="36">BC3+1</f>
        <v>51</v>
      </c>
      <c r="BE3" s="36">
        <f t="shared" ref="BE3" si="37">BD3+1</f>
        <v>52</v>
      </c>
      <c r="BF3" s="36">
        <f t="shared" ref="BF3" si="38">BE3+1</f>
        <v>53</v>
      </c>
      <c r="BG3" s="36">
        <f t="shared" ref="BG3" si="39">BF3+1</f>
        <v>54</v>
      </c>
      <c r="BH3" s="36">
        <f t="shared" ref="BH3" si="40">BG3+1</f>
        <v>55</v>
      </c>
      <c r="BI3" s="36">
        <f t="shared" ref="BI3" si="41">BH3+1</f>
        <v>56</v>
      </c>
      <c r="BJ3" s="36">
        <f t="shared" ref="BJ3" si="42">BI3+1</f>
        <v>57</v>
      </c>
      <c r="BK3" s="36">
        <f t="shared" ref="BK3" si="43">BJ3+1</f>
        <v>58</v>
      </c>
      <c r="BL3" s="36">
        <f t="shared" ref="BL3" si="44">BK3+1</f>
        <v>59</v>
      </c>
      <c r="BM3" s="36">
        <f t="shared" ref="BM3" si="45">BL3+1</f>
        <v>60</v>
      </c>
      <c r="BN3" s="36">
        <f t="shared" ref="BN3" si="46">BM3+1</f>
        <v>61</v>
      </c>
      <c r="BO3" s="36">
        <f t="shared" ref="BO3" si="47">BN3+1</f>
        <v>62</v>
      </c>
      <c r="BP3" s="36">
        <f t="shared" ref="BP3" si="48">BO3+1</f>
        <v>63</v>
      </c>
      <c r="BQ3" s="36">
        <f t="shared" ref="BQ3" si="49">BP3+1</f>
        <v>64</v>
      </c>
      <c r="BR3" s="36">
        <f t="shared" ref="BR3" si="50">BQ3+1</f>
        <v>65</v>
      </c>
      <c r="BS3" s="36">
        <f t="shared" ref="BS3" si="51">BR3+1</f>
        <v>66</v>
      </c>
      <c r="BT3" s="36">
        <f t="shared" ref="BT3" si="52">BS3+1</f>
        <v>67</v>
      </c>
      <c r="BU3" s="36">
        <f t="shared" ref="BU3" si="53">BT3+1</f>
        <v>68</v>
      </c>
      <c r="BV3" s="36">
        <f t="shared" ref="BV3" si="54">BU3+1</f>
        <v>69</v>
      </c>
      <c r="BW3" s="36">
        <f t="shared" ref="BW3" si="55">BV3+1</f>
        <v>70</v>
      </c>
      <c r="BX3" s="36">
        <f t="shared" ref="BX3" si="56">BW3+1</f>
        <v>71</v>
      </c>
      <c r="BY3" s="36">
        <f t="shared" ref="BY3" si="57">BX3+1</f>
        <v>72</v>
      </c>
      <c r="BZ3" s="36">
        <f t="shared" ref="BZ3" si="58">BY3+1</f>
        <v>73</v>
      </c>
      <c r="CA3" s="36">
        <f t="shared" ref="CA3" si="59">BZ3+1</f>
        <v>74</v>
      </c>
      <c r="CB3" s="36">
        <f t="shared" ref="CB3" si="60">CA3+1</f>
        <v>75</v>
      </c>
      <c r="CC3" s="36">
        <f t="shared" ref="CC3" si="61">CB3+1</f>
        <v>76</v>
      </c>
      <c r="CD3" s="36">
        <f t="shared" ref="CD3" si="62">CC3+1</f>
        <v>77</v>
      </c>
      <c r="CE3" s="36">
        <f t="shared" ref="CE3" si="63">CD3+1</f>
        <v>78</v>
      </c>
      <c r="CF3" s="36">
        <f t="shared" ref="CF3" si="64">CE3+1</f>
        <v>79</v>
      </c>
      <c r="CG3" s="36">
        <f t="shared" ref="CG3" si="65">CF3+1</f>
        <v>80</v>
      </c>
      <c r="CH3" s="36">
        <f t="shared" ref="CH3" si="66">CG3+1</f>
        <v>81</v>
      </c>
      <c r="CI3" s="36">
        <f t="shared" ref="CI3" si="67">CH3+1</f>
        <v>82</v>
      </c>
      <c r="CJ3" s="36">
        <f t="shared" ref="CJ3" si="68">CI3+1</f>
        <v>83</v>
      </c>
      <c r="CK3" s="36">
        <f t="shared" ref="CK3" si="69">CJ3+1</f>
        <v>84</v>
      </c>
      <c r="CL3" s="36">
        <f t="shared" ref="CL3" si="70">CK3+1</f>
        <v>85</v>
      </c>
      <c r="CM3" s="36">
        <f t="shared" ref="CM3" si="71">CL3+1</f>
        <v>86</v>
      </c>
      <c r="CN3" s="36">
        <f t="shared" ref="CN3" si="72">CM3+1</f>
        <v>87</v>
      </c>
      <c r="CO3" s="36">
        <f t="shared" ref="CO3" si="73">CN3+1</f>
        <v>88</v>
      </c>
      <c r="CP3" s="36">
        <f t="shared" ref="CP3" si="74">CO3+1</f>
        <v>89</v>
      </c>
      <c r="CQ3" s="36">
        <f t="shared" ref="CQ3" si="75">CP3+1</f>
        <v>90</v>
      </c>
      <c r="CR3" s="36">
        <f t="shared" ref="CR3" si="76">CQ3+1</f>
        <v>91</v>
      </c>
      <c r="CS3" s="36">
        <f t="shared" ref="CS3:CT3" si="77">CR3+1</f>
        <v>92</v>
      </c>
      <c r="CT3" s="36">
        <f t="shared" si="77"/>
        <v>93</v>
      </c>
    </row>
    <row r="4" spans="1:98" s="36" customFormat="1" x14ac:dyDescent="0.45">
      <c r="C4" s="57"/>
      <c r="D4" s="23"/>
      <c r="M4" s="37"/>
      <c r="AL4" s="39"/>
      <c r="AO4" s="36">
        <f>SUMIF(AO19:AO54, "&gt;=0")</f>
        <v>4218</v>
      </c>
    </row>
    <row r="5" spans="1:98" s="36" customFormat="1" x14ac:dyDescent="0.45">
      <c r="C5" s="57"/>
      <c r="D5" s="97" t="s">
        <v>249</v>
      </c>
      <c r="E5" s="36">
        <f>ABS(E25)</f>
        <v>400</v>
      </c>
      <c r="L5" s="106">
        <f>ABS(L36+L77)-L81</f>
        <v>3650</v>
      </c>
      <c r="X5" s="36">
        <f>ABS(X81)</f>
        <v>5300</v>
      </c>
      <c r="AA5" s="36">
        <f>ABS(AA48+AA54)</f>
        <v>8000</v>
      </c>
      <c r="AJ5" s="39">
        <f>ABS(AG74)</f>
        <v>10000</v>
      </c>
    </row>
    <row r="6" spans="1:98" s="36" customFormat="1" x14ac:dyDescent="0.45">
      <c r="C6" s="57"/>
      <c r="D6" s="97" t="s">
        <v>256</v>
      </c>
      <c r="F6" s="106">
        <f>SUM($E5:F5)+F10</f>
        <v>5083.3999999999996</v>
      </c>
      <c r="G6" s="106">
        <f>SUM($E5:G5)+G10</f>
        <v>5166.7999999999993</v>
      </c>
      <c r="H6" s="106">
        <f>SUM($E5:H5)+H10</f>
        <v>5250.1999999999989</v>
      </c>
      <c r="I6" s="106">
        <f>SUM($E5:I5)+I10</f>
        <v>5475.4999999999991</v>
      </c>
      <c r="J6" s="106">
        <f>SUM($E5:J5)+J10</f>
        <v>5700.7999999999993</v>
      </c>
      <c r="K6" s="106">
        <f>SUM($E5:K5)+K10</f>
        <v>6111.0999999999995</v>
      </c>
      <c r="L6" s="106">
        <f>SUM($E5:L5)+L10</f>
        <v>6566.5999999999995</v>
      </c>
      <c r="M6" s="106">
        <f>SUM($E5:M5)+M10</f>
        <v>7022.0999999999995</v>
      </c>
      <c r="N6" s="106">
        <f>SUM($E5:N5)+N10</f>
        <v>7477.5999999999995</v>
      </c>
      <c r="O6" s="106">
        <f>SUM($E5:O5)+O10</f>
        <v>8253.2999999999993</v>
      </c>
      <c r="P6" s="106">
        <f>SUM($E5:P5)+P10</f>
        <v>9029</v>
      </c>
      <c r="Q6" s="106">
        <f>SUM($E5:Q5)+Q10</f>
        <v>9804.6999999999989</v>
      </c>
      <c r="R6" s="106">
        <f>SUM($E5:R5)+R10</f>
        <v>10380.399999999998</v>
      </c>
      <c r="S6" s="106">
        <f>SUM($E5:S5)+S10</f>
        <v>11156.099999999999</v>
      </c>
      <c r="T6" s="106">
        <f>SUM($E5:T5)+T10</f>
        <v>11931.8</v>
      </c>
      <c r="U6" s="106">
        <f>SUM($E5:U5)+U10</f>
        <v>12901.499999999998</v>
      </c>
      <c r="V6" s="106">
        <f>SUM($E5:V5)+V10</f>
        <v>13871.199999999999</v>
      </c>
      <c r="W6" s="106">
        <f>SUM($E5:W5)+W10</f>
        <v>14840.9</v>
      </c>
      <c r="X6" s="106">
        <f>SUM($E5:X5)+X10</f>
        <v>15810.599999999999</v>
      </c>
      <c r="Y6" s="106">
        <f>SUM($E5:Y5)+Y10</f>
        <v>16780.3</v>
      </c>
      <c r="Z6" s="106">
        <f>SUM($E5:Z5)+Z10</f>
        <v>17750</v>
      </c>
      <c r="AA6" s="106">
        <f>SUM($E5:AA5)+AA10</f>
        <v>19286.46</v>
      </c>
      <c r="AB6" s="106">
        <f>SUM($E5:AB5)+AB10</f>
        <v>20822.919999999998</v>
      </c>
      <c r="AC6" s="106">
        <f>SUM($E5:AC5)+AC10</f>
        <v>22359.38</v>
      </c>
      <c r="AD6" s="106">
        <f>SUM($E5:AD5)+AD10</f>
        <v>23710.84</v>
      </c>
      <c r="AE6" s="106">
        <f>SUM($E5:AE5)+AE10</f>
        <v>25147.3</v>
      </c>
      <c r="AF6" s="106">
        <f>SUM($E5:AF5)+AF10</f>
        <v>26583.760000000002</v>
      </c>
      <c r="AG6" s="106">
        <f>SUM($E5:AG5)+AG10</f>
        <v>17070.22</v>
      </c>
      <c r="AH6" s="106">
        <f>SUM($E5:AH5)+AH10</f>
        <v>18156.68</v>
      </c>
      <c r="AI6" s="106">
        <f>SUM($E5:AI5)+AI10</f>
        <v>19313.14</v>
      </c>
      <c r="AJ6" s="106">
        <f>SUM($E5:AJ5)+AJ10</f>
        <v>30129.599999999999</v>
      </c>
      <c r="AK6" s="106">
        <f>SUM($E5:AK5)+AK10</f>
        <v>30746.059999999998</v>
      </c>
      <c r="AL6" s="106">
        <f>SUM($E5:AL5)+AL10</f>
        <v>31442.52</v>
      </c>
      <c r="AM6" s="106">
        <f>SUM($E5:AM5)+AM10</f>
        <v>31288.98</v>
      </c>
      <c r="AN6" s="106">
        <f>SUM($E5:AN5)+AN10</f>
        <v>31135.439999999999</v>
      </c>
      <c r="AO6" s="106">
        <f>SUM($E5:AO5)+AO10</f>
        <v>30981.9</v>
      </c>
      <c r="AP6" s="106">
        <f>SUM($E5:AP5)+AP10</f>
        <v>30828.36</v>
      </c>
      <c r="AQ6" s="106">
        <f>SUM($E5:AQ5)+AQ10</f>
        <v>30674.82</v>
      </c>
      <c r="AR6" s="106">
        <f>SUM($E5:AR5)+AR10</f>
        <v>30521.279999999999</v>
      </c>
      <c r="AS6" s="106">
        <f>SUM($E5:AS5)+AS10</f>
        <v>30367.739999999998</v>
      </c>
      <c r="AT6" s="106">
        <f>SUM($E5:AT5)+AT10</f>
        <v>30214.2</v>
      </c>
      <c r="AU6" s="106">
        <f>SUM($E5:AU5)+AU10</f>
        <v>30060.66</v>
      </c>
      <c r="AV6" s="106">
        <f>SUM($E5:AV5)+AV10</f>
        <v>29907.119999999999</v>
      </c>
      <c r="AW6" s="106">
        <f>SUM($E5:AW5)+AW10</f>
        <v>29753.58</v>
      </c>
      <c r="AX6" s="106">
        <f>SUM($E5:AX5)+AX10</f>
        <v>29600.04</v>
      </c>
      <c r="AY6" s="106">
        <f>SUM($E5:AY5)+AY10</f>
        <v>29446.5</v>
      </c>
      <c r="AZ6" s="106">
        <f>SUM($E5:AZ5)+AZ10</f>
        <v>29292.959999999999</v>
      </c>
      <c r="BA6" s="106">
        <f>SUM($E5:BA5)+BA10</f>
        <v>29139.42</v>
      </c>
      <c r="BB6" s="106">
        <f>SUM($E5:BB5)+BB10</f>
        <v>28985.88</v>
      </c>
      <c r="BC6" s="106">
        <f>SUM($E5:BC5)+BC10</f>
        <v>28832.34</v>
      </c>
      <c r="BD6" s="106">
        <f>SUM($E5:BD5)+BD10</f>
        <v>28678.799999999999</v>
      </c>
      <c r="BE6" s="106">
        <f>SUM($E5:BE5)+BE10</f>
        <v>28525.260000000002</v>
      </c>
      <c r="BF6" s="106">
        <f>SUM($E5:BF5)+BF10</f>
        <v>28371.72</v>
      </c>
      <c r="BG6" s="106">
        <f>SUM($E5:BG5)+BG10</f>
        <v>28218.18</v>
      </c>
      <c r="BH6" s="106">
        <f>SUM($E5:BH5)+BH10</f>
        <v>28064.639999999999</v>
      </c>
      <c r="BI6" s="106">
        <f>SUM($E5:BI5)+BI10</f>
        <v>27911.1</v>
      </c>
      <c r="BJ6" s="106">
        <f>SUM($E5:BJ5)+BJ10</f>
        <v>27757.56</v>
      </c>
      <c r="BK6" s="106">
        <f>SUM($E5:BK5)+BK10</f>
        <v>27604.02</v>
      </c>
      <c r="BL6" s="106">
        <f>SUM($E5:BL5)+BL10</f>
        <v>27450.48</v>
      </c>
      <c r="BM6" s="106">
        <f>SUM($E5:BM5)+BM10</f>
        <v>27296.94</v>
      </c>
      <c r="BN6" s="106">
        <f>SUM($E5:BN5)+BN10</f>
        <v>27143.4</v>
      </c>
      <c r="BO6" s="106">
        <f>SUM($E5:BO5)+BO10</f>
        <v>26989.86</v>
      </c>
      <c r="BP6" s="106">
        <f>SUM($E5:BP5)+BP10</f>
        <v>26836.32</v>
      </c>
      <c r="BQ6" s="106">
        <f>SUM($E5:BQ5)+BQ10</f>
        <v>26682.78</v>
      </c>
      <c r="BR6" s="106">
        <f>SUM($E5:BR5)+BR10</f>
        <v>26529.24</v>
      </c>
      <c r="BS6" s="106">
        <f>SUM($E5:BS5)+BS10</f>
        <v>26375.7</v>
      </c>
      <c r="BT6" s="106">
        <f>SUM($E5:BT5)+BT10</f>
        <v>26222.16</v>
      </c>
      <c r="BU6" s="106">
        <f>SUM($E5:BU5)+BU10</f>
        <v>26068.62</v>
      </c>
      <c r="BV6" s="106">
        <f>SUM($E5:BV5)+BV10</f>
        <v>25915.08</v>
      </c>
      <c r="BW6" s="106">
        <f>SUM($E5:BW5)+BW10</f>
        <v>25761.54</v>
      </c>
      <c r="BX6" s="106">
        <f>SUM($E5:BX5)+BX10</f>
        <v>25608</v>
      </c>
      <c r="BY6" s="106">
        <f>SUM($E5:BY5)+BY10</f>
        <v>25454.46</v>
      </c>
    </row>
    <row r="7" spans="1:98" s="36" customFormat="1" x14ac:dyDescent="0.45">
      <c r="C7" s="57"/>
      <c r="D7" s="97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</row>
    <row r="8" spans="1:98" s="36" customFormat="1" x14ac:dyDescent="0.45">
      <c r="C8" s="57"/>
      <c r="D8" s="97" t="s">
        <v>367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34">
        <v>5</v>
      </c>
      <c r="AH8" s="134">
        <v>5</v>
      </c>
      <c r="AI8" s="134">
        <v>5</v>
      </c>
      <c r="AJ8" s="134">
        <v>5</v>
      </c>
      <c r="AK8" s="134">
        <v>5</v>
      </c>
      <c r="AL8" s="134">
        <v>5</v>
      </c>
      <c r="AM8" s="134">
        <v>5</v>
      </c>
      <c r="AN8" s="134">
        <v>5</v>
      </c>
      <c r="AO8" s="134">
        <v>5</v>
      </c>
      <c r="AP8" s="134">
        <v>5</v>
      </c>
      <c r="AQ8" s="134">
        <v>5</v>
      </c>
      <c r="AR8" s="134">
        <v>5</v>
      </c>
      <c r="AS8" s="134">
        <v>5</v>
      </c>
      <c r="AT8" s="134">
        <v>5</v>
      </c>
      <c r="AU8" s="134">
        <v>5</v>
      </c>
      <c r="AV8" s="134">
        <v>5</v>
      </c>
      <c r="AW8" s="134">
        <v>5</v>
      </c>
      <c r="AX8" s="134">
        <v>5</v>
      </c>
      <c r="AY8" s="134">
        <v>5</v>
      </c>
      <c r="AZ8" s="134">
        <v>5</v>
      </c>
      <c r="BA8" s="134">
        <v>5</v>
      </c>
      <c r="BB8" s="134">
        <v>5</v>
      </c>
      <c r="BC8" s="134">
        <v>5</v>
      </c>
      <c r="BD8" s="134">
        <v>5</v>
      </c>
      <c r="BE8" s="134">
        <v>5</v>
      </c>
      <c r="BF8" s="134">
        <v>5</v>
      </c>
      <c r="BG8" s="134">
        <v>5</v>
      </c>
      <c r="BH8" s="134">
        <v>5</v>
      </c>
      <c r="BI8" s="134">
        <v>5</v>
      </c>
      <c r="BJ8" s="134">
        <v>5</v>
      </c>
      <c r="BK8" s="134">
        <v>5</v>
      </c>
      <c r="BL8" s="134">
        <v>5</v>
      </c>
      <c r="BM8" s="134">
        <v>5</v>
      </c>
      <c r="BN8" s="134">
        <v>5</v>
      </c>
      <c r="BO8" s="134">
        <v>5</v>
      </c>
      <c r="BP8" s="134">
        <v>5</v>
      </c>
      <c r="BQ8" s="134">
        <v>5</v>
      </c>
      <c r="BR8" s="134">
        <v>5</v>
      </c>
      <c r="BS8" s="134">
        <v>5</v>
      </c>
      <c r="BT8" s="134">
        <v>5</v>
      </c>
      <c r="BU8" s="134">
        <v>5</v>
      </c>
      <c r="BV8" s="134">
        <v>5</v>
      </c>
      <c r="BW8" s="134">
        <v>5</v>
      </c>
      <c r="BX8" s="134">
        <v>5</v>
      </c>
      <c r="BY8" s="134">
        <v>5</v>
      </c>
    </row>
    <row r="9" spans="1:98" s="48" customFormat="1" x14ac:dyDescent="0.45">
      <c r="C9" s="65"/>
      <c r="D9" s="49"/>
    </row>
    <row r="10" spans="1:98" s="37" customFormat="1" x14ac:dyDescent="0.45">
      <c r="A10" s="36"/>
      <c r="B10" s="36"/>
      <c r="C10" s="57"/>
      <c r="D10" s="32" t="s">
        <v>121</v>
      </c>
      <c r="E10" s="37">
        <f>SUM(E14:E1048576)</f>
        <v>4600</v>
      </c>
      <c r="F10" s="37">
        <f t="shared" ref="F10:AO10" si="78">E10+SUM(F14:F1048576)</f>
        <v>4683.3999999999996</v>
      </c>
      <c r="G10" s="37">
        <f t="shared" si="78"/>
        <v>4766.7999999999993</v>
      </c>
      <c r="H10" s="37">
        <f t="shared" si="78"/>
        <v>4850.1999999999989</v>
      </c>
      <c r="I10" s="37">
        <f t="shared" si="78"/>
        <v>5075.4999999999991</v>
      </c>
      <c r="J10" s="37">
        <f t="shared" si="78"/>
        <v>5300.7999999999993</v>
      </c>
      <c r="K10" s="37">
        <f t="shared" si="78"/>
        <v>5711.0999999999995</v>
      </c>
      <c r="L10" s="37">
        <f t="shared" si="78"/>
        <v>2516.5999999999995</v>
      </c>
      <c r="M10" s="37">
        <f t="shared" si="78"/>
        <v>2972.0999999999995</v>
      </c>
      <c r="N10" s="37">
        <f t="shared" si="78"/>
        <v>3427.5999999999995</v>
      </c>
      <c r="O10" s="37">
        <f t="shared" si="78"/>
        <v>4203.2999999999993</v>
      </c>
      <c r="P10" s="37">
        <f t="shared" si="78"/>
        <v>4978.9999999999991</v>
      </c>
      <c r="Q10" s="37">
        <f t="shared" si="78"/>
        <v>5754.6999999999989</v>
      </c>
      <c r="R10" s="37">
        <f t="shared" si="78"/>
        <v>6330.3999999999987</v>
      </c>
      <c r="S10" s="37">
        <f t="shared" si="78"/>
        <v>7106.0999999999985</v>
      </c>
      <c r="T10" s="37">
        <f t="shared" si="78"/>
        <v>7881.7999999999984</v>
      </c>
      <c r="U10" s="37">
        <f t="shared" si="78"/>
        <v>8851.4999999999982</v>
      </c>
      <c r="V10" s="37">
        <f t="shared" si="78"/>
        <v>9821.1999999999989</v>
      </c>
      <c r="W10" s="37">
        <f t="shared" si="78"/>
        <v>10790.9</v>
      </c>
      <c r="X10" s="37">
        <f t="shared" si="78"/>
        <v>6460.5999999999995</v>
      </c>
      <c r="Y10" s="37">
        <f t="shared" si="78"/>
        <v>7430.2999999999993</v>
      </c>
      <c r="Z10" s="37">
        <f t="shared" si="78"/>
        <v>8400</v>
      </c>
      <c r="AA10" s="37">
        <f t="shared" si="78"/>
        <v>1936.46</v>
      </c>
      <c r="AB10" s="37">
        <f t="shared" si="78"/>
        <v>3472.92</v>
      </c>
      <c r="AC10" s="37">
        <f t="shared" si="78"/>
        <v>5009.38</v>
      </c>
      <c r="AD10" s="37">
        <f t="shared" si="78"/>
        <v>6360.84</v>
      </c>
      <c r="AE10" s="37">
        <f t="shared" si="78"/>
        <v>7797.3</v>
      </c>
      <c r="AF10" s="37">
        <f t="shared" si="78"/>
        <v>9233.76</v>
      </c>
      <c r="AG10" s="37">
        <f t="shared" si="78"/>
        <v>-279.78000000000065</v>
      </c>
      <c r="AH10" s="37">
        <f t="shared" si="78"/>
        <v>806.67999999999938</v>
      </c>
      <c r="AI10" s="37">
        <f t="shared" si="78"/>
        <v>1963.1399999999994</v>
      </c>
      <c r="AJ10" s="37">
        <f t="shared" si="78"/>
        <v>2779.5999999999995</v>
      </c>
      <c r="AK10" s="37">
        <f t="shared" si="78"/>
        <v>3396.0599999999995</v>
      </c>
      <c r="AL10" s="37">
        <f t="shared" si="78"/>
        <v>4092.5199999999995</v>
      </c>
      <c r="AM10" s="37">
        <f t="shared" si="78"/>
        <v>3938.9799999999996</v>
      </c>
      <c r="AN10" s="37">
        <f t="shared" si="78"/>
        <v>3785.4399999999996</v>
      </c>
      <c r="AO10" s="37">
        <f t="shared" si="78"/>
        <v>3631.8999999999996</v>
      </c>
      <c r="AP10" s="37">
        <f t="shared" ref="AP10:AR10" si="79">AO10+SUM(AP14:AP1048576)</f>
        <v>3478.3599999999997</v>
      </c>
      <c r="AQ10" s="37">
        <f t="shared" ref="AQ10" si="80">AP10+SUM(AQ14:AQ1048576)</f>
        <v>3324.8199999999997</v>
      </c>
      <c r="AR10" s="37">
        <f t="shared" si="79"/>
        <v>3171.2799999999997</v>
      </c>
      <c r="AS10" s="37">
        <f t="shared" ref="AS10" si="81">AR10+SUM(AS14:AS1048576)</f>
        <v>3017.74</v>
      </c>
      <c r="AT10" s="37">
        <f t="shared" ref="AT10" si="82">AS10+SUM(AT14:AT1048576)</f>
        <v>2864.2</v>
      </c>
      <c r="AU10" s="37">
        <f t="shared" ref="AU10" si="83">AT10+SUM(AU14:AU1048576)</f>
        <v>2710.66</v>
      </c>
      <c r="AV10" s="37">
        <f t="shared" ref="AV10" si="84">AU10+SUM(AV14:AV1048576)</f>
        <v>2557.12</v>
      </c>
      <c r="AW10" s="37">
        <f t="shared" ref="AW10" si="85">AV10+SUM(AW14:AW1048576)</f>
        <v>2403.58</v>
      </c>
      <c r="AX10" s="37">
        <f t="shared" ref="AX10" si="86">AW10+SUM(AX14:AX1048576)</f>
        <v>2250.04</v>
      </c>
      <c r="AY10" s="37">
        <f t="shared" ref="AY10" si="87">AX10+SUM(AY14:AY1048576)</f>
        <v>2096.5</v>
      </c>
      <c r="AZ10" s="37">
        <f t="shared" ref="AZ10" si="88">AY10+SUM(AZ14:AZ1048576)</f>
        <v>1942.96</v>
      </c>
      <c r="BA10" s="37">
        <f t="shared" ref="BA10" si="89">AZ10+SUM(BA14:BA1048576)</f>
        <v>1789.42</v>
      </c>
      <c r="BB10" s="37">
        <f t="shared" ref="BB10" si="90">BA10+SUM(BB14:BB1048576)</f>
        <v>1635.88</v>
      </c>
      <c r="BC10" s="37">
        <f t="shared" ref="BC10" si="91">BB10+SUM(BC14:BC1048576)</f>
        <v>1482.3400000000001</v>
      </c>
      <c r="BD10" s="37">
        <f t="shared" ref="BD10" si="92">BC10+SUM(BD14:BD1048576)</f>
        <v>1328.8000000000002</v>
      </c>
      <c r="BE10" s="37">
        <f t="shared" ref="BE10" si="93">BD10+SUM(BE14:BE1048576)</f>
        <v>1175.2600000000002</v>
      </c>
      <c r="BF10" s="37">
        <f t="shared" ref="BF10" si="94">BE10+SUM(BF14:BF1048576)</f>
        <v>1021.7200000000003</v>
      </c>
      <c r="BG10" s="37">
        <f t="shared" ref="BG10" si="95">BF10+SUM(BG14:BG1048576)</f>
        <v>868.18000000000029</v>
      </c>
      <c r="BH10" s="37">
        <f t="shared" ref="BH10" si="96">BG10+SUM(BH14:BH1048576)</f>
        <v>714.64000000000033</v>
      </c>
      <c r="BI10" s="37">
        <f t="shared" ref="BI10" si="97">BH10+SUM(BI14:BI1048576)</f>
        <v>561.10000000000036</v>
      </c>
      <c r="BJ10" s="37">
        <f t="shared" ref="BJ10" si="98">BI10+SUM(BJ14:BJ1048576)</f>
        <v>407.5600000000004</v>
      </c>
      <c r="BK10" s="37">
        <f t="shared" ref="BK10" si="99">BJ10+SUM(BK14:BK1048576)</f>
        <v>254.02000000000041</v>
      </c>
      <c r="BL10" s="37">
        <f t="shared" ref="BL10" si="100">BK10+SUM(BL14:BL1048576)</f>
        <v>100.48000000000042</v>
      </c>
      <c r="BM10" s="37">
        <f t="shared" ref="BM10" si="101">BL10+SUM(BM14:BM1048576)</f>
        <v>-53.059999999999576</v>
      </c>
      <c r="BN10" s="37">
        <f t="shared" ref="BN10" si="102">BM10+SUM(BN14:BN1048576)</f>
        <v>-206.59999999999957</v>
      </c>
      <c r="BO10" s="37">
        <f t="shared" ref="BO10" si="103">BN10+SUM(BO14:BO1048576)</f>
        <v>-360.13999999999953</v>
      </c>
      <c r="BP10" s="37">
        <f t="shared" ref="BP10" si="104">BO10+SUM(BP14:BP1048576)</f>
        <v>-513.6799999999995</v>
      </c>
      <c r="BQ10" s="37">
        <f t="shared" ref="BQ10" si="105">BP10+SUM(BQ14:BQ1048576)</f>
        <v>-667.21999999999946</v>
      </c>
      <c r="BR10" s="37">
        <f t="shared" ref="BR10" si="106">BQ10+SUM(BR14:BR1048576)</f>
        <v>-820.75999999999942</v>
      </c>
      <c r="BS10" s="37">
        <f t="shared" ref="BS10" si="107">BR10+SUM(BS14:BS1048576)</f>
        <v>-974.29999999999939</v>
      </c>
      <c r="BT10" s="37">
        <f t="shared" ref="BT10" si="108">BS10+SUM(BT14:BT1048576)</f>
        <v>-1127.8399999999995</v>
      </c>
      <c r="BU10" s="37">
        <f t="shared" ref="BU10" si="109">BT10+SUM(BU14:BU1048576)</f>
        <v>-1281.3799999999994</v>
      </c>
      <c r="BV10" s="37">
        <f t="shared" ref="BV10" si="110">BU10+SUM(BV14:BV1048576)</f>
        <v>-1434.9199999999994</v>
      </c>
      <c r="BW10" s="37">
        <f t="shared" ref="BW10" si="111">BV10+SUM(BW14:BW1048576)</f>
        <v>-1588.4599999999994</v>
      </c>
      <c r="BX10" s="37">
        <f t="shared" ref="BX10" si="112">BW10+SUM(BX14:BX1048576)</f>
        <v>-1741.9999999999993</v>
      </c>
      <c r="BY10" s="37">
        <f t="shared" ref="BY10" si="113">BX10+SUM(BY14:BY1048576)</f>
        <v>-1895.5399999999993</v>
      </c>
    </row>
    <row r="11" spans="1:98" s="52" customFormat="1" x14ac:dyDescent="0.45">
      <c r="A11" s="48"/>
      <c r="B11" s="48"/>
      <c r="C11" s="65"/>
      <c r="D11" s="54" t="s">
        <v>122</v>
      </c>
      <c r="E11" s="50"/>
      <c r="F11" s="51">
        <f>F10-E10</f>
        <v>83.399999999999636</v>
      </c>
      <c r="G11" s="51">
        <f t="shared" ref="G11:H11" si="114">G10-F10</f>
        <v>83.399999999999636</v>
      </c>
      <c r="H11" s="51">
        <f t="shared" si="114"/>
        <v>83.399999999999636</v>
      </c>
      <c r="I11" s="51">
        <f t="shared" ref="I11" si="115">I10-H10</f>
        <v>225.30000000000018</v>
      </c>
      <c r="J11" s="51">
        <f t="shared" ref="J11" si="116">J10-I10</f>
        <v>225.30000000000018</v>
      </c>
      <c r="K11" s="51">
        <f t="shared" ref="K11" si="117">K10-J10</f>
        <v>410.30000000000018</v>
      </c>
      <c r="L11" s="51">
        <f t="shared" ref="L11" si="118">L10-K10</f>
        <v>-3194.5</v>
      </c>
      <c r="M11" s="51">
        <f t="shared" ref="M11" si="119">M10-L10</f>
        <v>455.5</v>
      </c>
      <c r="N11" s="51">
        <f t="shared" ref="N11" si="120">N10-M10</f>
        <v>455.5</v>
      </c>
      <c r="O11" s="51">
        <f t="shared" ref="O11:T11" si="121">O10-N10</f>
        <v>775.69999999999982</v>
      </c>
      <c r="P11" s="51">
        <f t="shared" si="121"/>
        <v>775.69999999999982</v>
      </c>
      <c r="Q11" s="51">
        <f t="shared" si="121"/>
        <v>775.69999999999982</v>
      </c>
      <c r="R11" s="51">
        <f t="shared" si="121"/>
        <v>575.69999999999982</v>
      </c>
      <c r="S11" s="51">
        <f t="shared" si="121"/>
        <v>775.69999999999982</v>
      </c>
      <c r="T11" s="51">
        <f t="shared" si="121"/>
        <v>775.69999999999982</v>
      </c>
      <c r="U11" s="51">
        <f t="shared" ref="U11" si="122">U10-T10</f>
        <v>969.69999999999982</v>
      </c>
      <c r="V11" s="51">
        <f t="shared" ref="V11" si="123">V10-U10</f>
        <v>969.70000000000073</v>
      </c>
      <c r="W11" s="51">
        <f t="shared" ref="W11" si="124">W10-V10</f>
        <v>969.70000000000073</v>
      </c>
      <c r="X11" s="51">
        <f t="shared" ref="X11" si="125">X10-W10</f>
        <v>-4330.3</v>
      </c>
      <c r="Y11" s="51">
        <f t="shared" ref="Y11" si="126">Y10-X10</f>
        <v>969.69999999999982</v>
      </c>
      <c r="Z11" s="51">
        <f t="shared" ref="Z11" si="127">Z10-Y10</f>
        <v>969.70000000000073</v>
      </c>
      <c r="AA11" s="51">
        <f t="shared" ref="AA11" si="128">AA10-Z10</f>
        <v>-6463.54</v>
      </c>
      <c r="AB11" s="51">
        <f t="shared" ref="AB11" si="129">AB10-AA10</f>
        <v>1536.46</v>
      </c>
      <c r="AC11" s="51">
        <f t="shared" ref="AC11" si="130">AC10-AB10</f>
        <v>1536.46</v>
      </c>
      <c r="AD11" s="51">
        <f t="shared" ref="AD11" si="131">AD10-AC10</f>
        <v>1351.46</v>
      </c>
      <c r="AE11" s="51">
        <f t="shared" ref="AE11" si="132">AE10-AD10</f>
        <v>1436.46</v>
      </c>
      <c r="AF11" s="51">
        <f t="shared" ref="AF11" si="133">AF10-AE10</f>
        <v>1436.46</v>
      </c>
      <c r="AG11" s="51">
        <f t="shared" ref="AG11" si="134">AG10-AF10</f>
        <v>-9513.5400000000009</v>
      </c>
      <c r="AH11" s="51">
        <f t="shared" ref="AH11" si="135">AH10-AG10</f>
        <v>1086.46</v>
      </c>
      <c r="AI11" s="51">
        <f t="shared" ref="AI11" si="136">AI10-AH10</f>
        <v>1156.46</v>
      </c>
      <c r="AJ11" s="51">
        <f t="shared" ref="AJ11" si="137">AJ10-AI10</f>
        <v>816.46</v>
      </c>
      <c r="AK11" s="51">
        <f t="shared" ref="AK11" si="138">AK10-AJ10</f>
        <v>616.46</v>
      </c>
      <c r="AL11" s="51">
        <f t="shared" ref="AL11" si="139">AL10-AK10</f>
        <v>696.46</v>
      </c>
      <c r="AM11" s="51">
        <f t="shared" ref="AM11" si="140">AM10-AL10</f>
        <v>-153.53999999999996</v>
      </c>
      <c r="AN11" s="51">
        <f t="shared" ref="AN11" si="141">AN10-AM10</f>
        <v>-153.53999999999996</v>
      </c>
      <c r="AO11" s="51">
        <f t="shared" ref="AO11" si="142">AO10-AN10</f>
        <v>-153.53999999999996</v>
      </c>
      <c r="AP11" s="51">
        <f t="shared" ref="AP11:AR11" si="143">AP10-AO10</f>
        <v>-153.53999999999996</v>
      </c>
      <c r="AQ11" s="51">
        <f t="shared" ref="AQ11" si="144">AQ10-AP10</f>
        <v>-153.53999999999996</v>
      </c>
      <c r="AR11" s="51">
        <f t="shared" si="143"/>
        <v>-153.53999999999996</v>
      </c>
      <c r="AS11" s="51">
        <f t="shared" ref="AS11" si="145">AS10-AR10</f>
        <v>-153.53999999999996</v>
      </c>
      <c r="AT11" s="51">
        <f t="shared" ref="AT11" si="146">AT10-AS10</f>
        <v>-153.53999999999996</v>
      </c>
      <c r="AU11" s="51">
        <f t="shared" ref="AU11" si="147">AU10-AT10</f>
        <v>-153.53999999999996</v>
      </c>
      <c r="AV11" s="51">
        <f t="shared" ref="AV11" si="148">AV10-AU10</f>
        <v>-153.53999999999996</v>
      </c>
      <c r="AW11" s="51">
        <f t="shared" ref="AW11" si="149">AW10-AV10</f>
        <v>-153.53999999999996</v>
      </c>
      <c r="AX11" s="51">
        <f t="shared" ref="AX11" si="150">AX10-AW10</f>
        <v>-153.53999999999996</v>
      </c>
      <c r="AY11" s="51">
        <f t="shared" ref="AY11" si="151">AY10-AX10</f>
        <v>-153.53999999999996</v>
      </c>
      <c r="AZ11" s="51">
        <f t="shared" ref="AZ11" si="152">AZ10-AY10</f>
        <v>-153.53999999999996</v>
      </c>
      <c r="BA11" s="51">
        <f t="shared" ref="BA11" si="153">BA10-AZ10</f>
        <v>-153.53999999999996</v>
      </c>
      <c r="BB11" s="51">
        <f t="shared" ref="BB11" si="154">BB10-BA10</f>
        <v>-153.53999999999996</v>
      </c>
      <c r="BC11" s="51">
        <f t="shared" ref="BC11" si="155">BC10-BB10</f>
        <v>-153.53999999999996</v>
      </c>
      <c r="BD11" s="51">
        <f t="shared" ref="BD11" si="156">BD10-BC10</f>
        <v>-153.53999999999996</v>
      </c>
      <c r="BE11" s="51">
        <f t="shared" ref="BE11" si="157">BE10-BD10</f>
        <v>-153.53999999999996</v>
      </c>
      <c r="BF11" s="51">
        <f t="shared" ref="BF11" si="158">BF10-BE10</f>
        <v>-153.53999999999996</v>
      </c>
      <c r="BG11" s="51">
        <f t="shared" ref="BG11" si="159">BG10-BF10</f>
        <v>-153.53999999999996</v>
      </c>
      <c r="BH11" s="51">
        <f t="shared" ref="BH11" si="160">BH10-BG10</f>
        <v>-153.53999999999996</v>
      </c>
      <c r="BI11" s="51">
        <f t="shared" ref="BI11" si="161">BI10-BH10</f>
        <v>-153.53999999999996</v>
      </c>
      <c r="BJ11" s="51">
        <f t="shared" ref="BJ11" si="162">BJ10-BI10</f>
        <v>-153.53999999999996</v>
      </c>
      <c r="BK11" s="51">
        <f t="shared" ref="BK11" si="163">BK10-BJ10</f>
        <v>-153.54</v>
      </c>
      <c r="BL11" s="51">
        <f t="shared" ref="BL11" si="164">BL10-BK10</f>
        <v>-153.54</v>
      </c>
      <c r="BM11" s="51">
        <f t="shared" ref="BM11" si="165">BM10-BL10</f>
        <v>-153.54</v>
      </c>
      <c r="BN11" s="51">
        <f t="shared" ref="BN11" si="166">BN10-BM10</f>
        <v>-153.54</v>
      </c>
      <c r="BO11" s="51">
        <f t="shared" ref="BO11" si="167">BO10-BN10</f>
        <v>-153.53999999999996</v>
      </c>
      <c r="BP11" s="51">
        <f t="shared" ref="BP11" si="168">BP10-BO10</f>
        <v>-153.53999999999996</v>
      </c>
      <c r="BQ11" s="51">
        <f t="shared" ref="BQ11" si="169">BQ10-BP10</f>
        <v>-153.53999999999996</v>
      </c>
      <c r="BR11" s="51">
        <f t="shared" ref="BR11" si="170">BR10-BQ10</f>
        <v>-153.53999999999996</v>
      </c>
      <c r="BS11" s="51">
        <f t="shared" ref="BS11" si="171">BS10-BR10</f>
        <v>-153.53999999999996</v>
      </c>
      <c r="BT11" s="51">
        <f t="shared" ref="BT11" si="172">BT10-BS10</f>
        <v>-153.54000000000008</v>
      </c>
      <c r="BU11" s="51">
        <f t="shared" ref="BU11" si="173">BU10-BT10</f>
        <v>-153.53999999999996</v>
      </c>
      <c r="BV11" s="51">
        <f t="shared" ref="BV11" si="174">BV10-BU10</f>
        <v>-153.53999999999996</v>
      </c>
      <c r="BW11" s="51">
        <f t="shared" ref="BW11" si="175">BW10-BV10</f>
        <v>-153.53999999999996</v>
      </c>
      <c r="BX11" s="51">
        <f t="shared" ref="BX11" si="176">BX10-BW10</f>
        <v>-153.53999999999996</v>
      </c>
      <c r="BY11" s="51">
        <f t="shared" ref="BY11" si="177">BY10-BX10</f>
        <v>-153.53999999999996</v>
      </c>
    </row>
    <row r="12" spans="1:98" s="37" customFormat="1" x14ac:dyDescent="0.45">
      <c r="A12" s="36"/>
      <c r="B12" s="36"/>
      <c r="C12" s="57"/>
      <c r="D12" s="32"/>
      <c r="E12" s="38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</row>
    <row r="13" spans="1:98" ht="14.65" thickBot="1" x14ac:dyDescent="0.5">
      <c r="D13" s="32"/>
    </row>
    <row r="14" spans="1:98" s="40" customFormat="1" x14ac:dyDescent="0.45">
      <c r="A14" s="45"/>
      <c r="B14" s="45"/>
      <c r="C14" s="67"/>
      <c r="D14" s="55" t="s">
        <v>95</v>
      </c>
      <c r="F14" s="40">
        <v>-280</v>
      </c>
      <c r="G14" s="40">
        <v>-280</v>
      </c>
      <c r="H14" s="40">
        <v>-280</v>
      </c>
      <c r="I14" s="40">
        <v>-280</v>
      </c>
      <c r="J14" s="40">
        <v>-280</v>
      </c>
      <c r="K14" s="40">
        <v>-280</v>
      </c>
      <c r="L14" s="40">
        <v>-280</v>
      </c>
      <c r="M14" s="40">
        <v>-280</v>
      </c>
      <c r="N14" s="40">
        <v>-280</v>
      </c>
      <c r="O14" s="40">
        <v>-280</v>
      </c>
      <c r="P14" s="40">
        <v>-280</v>
      </c>
      <c r="Q14" s="40">
        <v>-280</v>
      </c>
      <c r="R14" s="40">
        <v>-280</v>
      </c>
      <c r="S14" s="40">
        <v>-280</v>
      </c>
      <c r="T14" s="40">
        <v>-280</v>
      </c>
      <c r="U14" s="40">
        <v>-280</v>
      </c>
      <c r="V14" s="40">
        <v>-280</v>
      </c>
      <c r="W14" s="40">
        <v>-280</v>
      </c>
      <c r="X14" s="40">
        <v>-280</v>
      </c>
      <c r="Y14" s="40">
        <v>-280</v>
      </c>
      <c r="Z14" s="40">
        <v>-280</v>
      </c>
      <c r="AA14" s="40">
        <v>-280</v>
      </c>
      <c r="AB14" s="40">
        <v>-280</v>
      </c>
      <c r="AC14" s="40">
        <v>-280</v>
      </c>
      <c r="AD14" s="40">
        <v>-280</v>
      </c>
      <c r="AE14" s="40">
        <v>-280</v>
      </c>
      <c r="AF14" s="40">
        <v>-280</v>
      </c>
      <c r="AG14" s="40">
        <v>-280</v>
      </c>
      <c r="AH14" s="40">
        <v>-280</v>
      </c>
      <c r="AI14" s="40">
        <v>-280</v>
      </c>
      <c r="AJ14" s="40">
        <v>-280</v>
      </c>
      <c r="AK14" s="40">
        <v>-280</v>
      </c>
      <c r="AL14" s="40">
        <v>-280</v>
      </c>
      <c r="AM14" s="40">
        <v>-280</v>
      </c>
      <c r="AN14" s="40">
        <v>-280</v>
      </c>
      <c r="AO14" s="40">
        <v>-280</v>
      </c>
      <c r="AP14" s="40">
        <v>-280</v>
      </c>
      <c r="AQ14" s="40">
        <v>-280</v>
      </c>
      <c r="AR14" s="40">
        <v>-280</v>
      </c>
      <c r="AS14" s="40">
        <v>-280</v>
      </c>
      <c r="AT14" s="40">
        <v>-280</v>
      </c>
      <c r="AU14" s="40">
        <v>-280</v>
      </c>
      <c r="AV14" s="40">
        <v>-280</v>
      </c>
      <c r="AW14" s="40">
        <v>-280</v>
      </c>
      <c r="AX14" s="40">
        <v>-280</v>
      </c>
      <c r="AY14" s="40">
        <v>-280</v>
      </c>
      <c r="AZ14" s="40">
        <v>-280</v>
      </c>
      <c r="BA14" s="40">
        <v>-280</v>
      </c>
      <c r="BB14" s="40">
        <v>-280</v>
      </c>
      <c r="BC14" s="40">
        <v>-280</v>
      </c>
      <c r="BD14" s="40">
        <v>-280</v>
      </c>
      <c r="BE14" s="40">
        <v>-280</v>
      </c>
      <c r="BF14" s="40">
        <v>-280</v>
      </c>
      <c r="BG14" s="40">
        <v>-280</v>
      </c>
      <c r="BH14" s="40">
        <v>-280</v>
      </c>
      <c r="BI14" s="40">
        <v>-280</v>
      </c>
      <c r="BJ14" s="40">
        <v>-280</v>
      </c>
      <c r="BK14" s="40">
        <v>-280</v>
      </c>
      <c r="BL14" s="40">
        <v>-280</v>
      </c>
      <c r="BM14" s="40">
        <v>-280</v>
      </c>
      <c r="BN14" s="40">
        <v>-280</v>
      </c>
      <c r="BO14" s="40">
        <v>-280</v>
      </c>
      <c r="BP14" s="40">
        <v>-280</v>
      </c>
      <c r="BQ14" s="40">
        <v>-280</v>
      </c>
      <c r="BR14" s="40">
        <v>-280</v>
      </c>
      <c r="BS14" s="40">
        <v>-280</v>
      </c>
      <c r="BT14" s="40">
        <v>-280</v>
      </c>
      <c r="BU14" s="40">
        <v>-280</v>
      </c>
      <c r="BV14" s="40">
        <v>-280</v>
      </c>
      <c r="BW14" s="40">
        <v>-280</v>
      </c>
      <c r="BX14" s="40">
        <v>-280</v>
      </c>
      <c r="BY14" s="40">
        <v>-280</v>
      </c>
    </row>
    <row r="15" spans="1:98" s="28" customFormat="1" ht="14.65" thickBot="1" x14ac:dyDescent="0.5">
      <c r="A15" s="46"/>
      <c r="B15" s="46"/>
      <c r="C15" s="68"/>
      <c r="D15" s="56" t="s">
        <v>96</v>
      </c>
      <c r="F15" s="28">
        <v>-190</v>
      </c>
      <c r="G15" s="28">
        <v>-190</v>
      </c>
      <c r="H15" s="28">
        <v>-190</v>
      </c>
      <c r="I15" s="28">
        <v>-190</v>
      </c>
      <c r="J15" s="28">
        <v>-190</v>
      </c>
      <c r="K15" s="28">
        <v>-190</v>
      </c>
      <c r="L15" s="28">
        <v>-190</v>
      </c>
      <c r="M15" s="28">
        <v>-190</v>
      </c>
      <c r="N15" s="28">
        <v>-190</v>
      </c>
      <c r="O15" s="28">
        <v>-190</v>
      </c>
      <c r="P15" s="28">
        <v>-190</v>
      </c>
      <c r="Q15" s="28">
        <v>-190</v>
      </c>
      <c r="R15" s="28">
        <v>-190</v>
      </c>
      <c r="S15" s="28">
        <v>-190</v>
      </c>
      <c r="T15" s="28">
        <v>-190</v>
      </c>
      <c r="U15" s="28">
        <v>-190</v>
      </c>
      <c r="V15" s="28">
        <v>-190</v>
      </c>
      <c r="W15" s="28">
        <v>-190</v>
      </c>
      <c r="X15" s="28">
        <v>-190</v>
      </c>
      <c r="Y15" s="28">
        <v>-190</v>
      </c>
      <c r="Z15" s="28">
        <v>-190</v>
      </c>
      <c r="AA15" s="28">
        <v>-190</v>
      </c>
      <c r="AB15" s="28">
        <v>-190</v>
      </c>
      <c r="AC15" s="28">
        <v>-190</v>
      </c>
      <c r="AD15" s="28">
        <v>-190</v>
      </c>
      <c r="AE15" s="28">
        <v>-190</v>
      </c>
      <c r="AF15" s="28">
        <v>-190</v>
      </c>
      <c r="AG15" s="28">
        <v>-190</v>
      </c>
      <c r="AH15" s="28">
        <v>-190</v>
      </c>
      <c r="AI15" s="28">
        <v>-190</v>
      </c>
      <c r="AJ15" s="28">
        <v>-190</v>
      </c>
      <c r="AK15" s="28">
        <v>-190</v>
      </c>
      <c r="AL15" s="28">
        <v>-190</v>
      </c>
      <c r="AM15" s="28">
        <v>-190</v>
      </c>
      <c r="AN15" s="28">
        <v>-190</v>
      </c>
      <c r="AO15" s="28">
        <v>-190</v>
      </c>
      <c r="AP15" s="28">
        <v>-190</v>
      </c>
      <c r="AQ15" s="28">
        <v>-190</v>
      </c>
      <c r="AR15" s="28">
        <v>-190</v>
      </c>
      <c r="AS15" s="28">
        <v>-190</v>
      </c>
      <c r="AT15" s="28">
        <v>-190</v>
      </c>
      <c r="AU15" s="28">
        <v>-190</v>
      </c>
      <c r="AV15" s="28">
        <v>-190</v>
      </c>
      <c r="AW15" s="28">
        <v>-190</v>
      </c>
      <c r="AX15" s="28">
        <v>-190</v>
      </c>
      <c r="AY15" s="28">
        <v>-190</v>
      </c>
      <c r="AZ15" s="28">
        <v>-190</v>
      </c>
      <c r="BA15" s="28">
        <v>-190</v>
      </c>
      <c r="BB15" s="28">
        <v>-190</v>
      </c>
      <c r="BC15" s="28">
        <v>-190</v>
      </c>
      <c r="BD15" s="28">
        <v>-190</v>
      </c>
      <c r="BE15" s="28">
        <v>-190</v>
      </c>
      <c r="BF15" s="28">
        <v>-190</v>
      </c>
      <c r="BG15" s="28">
        <v>-190</v>
      </c>
      <c r="BH15" s="28">
        <v>-190</v>
      </c>
      <c r="BI15" s="28">
        <v>-190</v>
      </c>
      <c r="BJ15" s="28">
        <v>-190</v>
      </c>
      <c r="BK15" s="28">
        <v>-190</v>
      </c>
      <c r="BL15" s="28">
        <v>-190</v>
      </c>
      <c r="BM15" s="28">
        <v>-190</v>
      </c>
      <c r="BN15" s="28">
        <v>-190</v>
      </c>
      <c r="BO15" s="28">
        <v>-190</v>
      </c>
      <c r="BP15" s="28">
        <v>-190</v>
      </c>
      <c r="BQ15" s="28">
        <v>-190</v>
      </c>
      <c r="BR15" s="28">
        <v>-190</v>
      </c>
      <c r="BS15" s="28">
        <v>-190</v>
      </c>
      <c r="BT15" s="28">
        <v>-190</v>
      </c>
      <c r="BU15" s="28">
        <v>-190</v>
      </c>
      <c r="BV15" s="28">
        <v>-190</v>
      </c>
      <c r="BW15" s="28">
        <v>-190</v>
      </c>
      <c r="BX15" s="28">
        <v>-190</v>
      </c>
      <c r="BY15" s="28">
        <v>-190</v>
      </c>
    </row>
    <row r="16" spans="1:98" x14ac:dyDescent="0.45">
      <c r="B16" s="32">
        <f>COUNTA(B17:B76)</f>
        <v>13</v>
      </c>
      <c r="C16" s="123" t="s">
        <v>348</v>
      </c>
      <c r="D16" s="64" t="s">
        <v>186</v>
      </c>
    </row>
    <row r="18" spans="1:77" s="119" customFormat="1" ht="18" x14ac:dyDescent="0.55000000000000004">
      <c r="A18" s="121"/>
      <c r="B18" s="121"/>
      <c r="C18" s="121"/>
      <c r="D18" s="121" t="s">
        <v>190</v>
      </c>
    </row>
    <row r="19" spans="1:77" ht="14.65" thickBot="1" x14ac:dyDescent="0.5">
      <c r="A19" s="75"/>
      <c r="B19" s="75"/>
      <c r="C19" s="75"/>
      <c r="D19" s="77" t="s">
        <v>254</v>
      </c>
      <c r="F19" s="25">
        <f t="shared" ref="F19:K19" si="178">$C$84</f>
        <v>450</v>
      </c>
      <c r="G19" s="25">
        <f t="shared" si="178"/>
        <v>450</v>
      </c>
      <c r="H19" s="25">
        <f t="shared" si="178"/>
        <v>450</v>
      </c>
      <c r="I19" s="25">
        <f t="shared" si="178"/>
        <v>450</v>
      </c>
      <c r="J19" s="25">
        <f t="shared" si="178"/>
        <v>450</v>
      </c>
      <c r="K19" s="25">
        <f t="shared" si="178"/>
        <v>450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</row>
    <row r="20" spans="1:77" ht="14.65" thickBot="1" x14ac:dyDescent="0.5">
      <c r="A20" s="75"/>
      <c r="B20" s="81" t="s">
        <v>146</v>
      </c>
      <c r="C20" s="76"/>
      <c r="D20" s="77" t="s">
        <v>250</v>
      </c>
      <c r="F20" s="24">
        <f t="shared" ref="F20:K20" si="179">$C$84*$C$89</f>
        <v>270</v>
      </c>
      <c r="G20" s="24">
        <f t="shared" si="179"/>
        <v>270</v>
      </c>
      <c r="H20" s="24">
        <f t="shared" si="179"/>
        <v>270</v>
      </c>
      <c r="I20" s="24">
        <f t="shared" si="179"/>
        <v>270</v>
      </c>
      <c r="J20" s="24">
        <f t="shared" si="179"/>
        <v>270</v>
      </c>
      <c r="K20" s="24">
        <f t="shared" si="179"/>
        <v>270</v>
      </c>
      <c r="L20" s="24">
        <v>450</v>
      </c>
      <c r="M20" s="24">
        <v>450</v>
      </c>
      <c r="N20" s="24">
        <v>450</v>
      </c>
      <c r="O20" s="24">
        <v>450</v>
      </c>
      <c r="P20" s="24">
        <v>450</v>
      </c>
      <c r="Q20" s="24">
        <v>450</v>
      </c>
      <c r="R20" s="24">
        <v>450</v>
      </c>
      <c r="S20" s="24">
        <v>450</v>
      </c>
      <c r="T20" s="24">
        <v>450</v>
      </c>
      <c r="U20" s="24">
        <v>450</v>
      </c>
      <c r="V20" s="24">
        <v>450</v>
      </c>
      <c r="W20" s="24">
        <v>450</v>
      </c>
      <c r="X20" s="24">
        <v>450</v>
      </c>
      <c r="Y20" s="24">
        <v>450</v>
      </c>
      <c r="Z20" s="24">
        <v>450</v>
      </c>
      <c r="AA20" s="24">
        <v>450</v>
      </c>
      <c r="AB20" s="24">
        <v>450</v>
      </c>
      <c r="AC20" s="24">
        <v>450</v>
      </c>
      <c r="AD20" s="24">
        <v>450</v>
      </c>
      <c r="AE20" s="24">
        <v>450</v>
      </c>
      <c r="AF20" s="24">
        <v>450</v>
      </c>
      <c r="AG20" s="24">
        <v>450</v>
      </c>
      <c r="AH20" s="24">
        <v>450</v>
      </c>
      <c r="AI20" s="24">
        <v>450</v>
      </c>
      <c r="AJ20" s="24">
        <v>450</v>
      </c>
      <c r="AK20" s="24">
        <v>450</v>
      </c>
      <c r="AL20" s="24">
        <v>450</v>
      </c>
      <c r="AM20" s="24">
        <v>450</v>
      </c>
      <c r="AN20" s="24">
        <v>450</v>
      </c>
      <c r="AO20" s="24">
        <v>450</v>
      </c>
      <c r="AP20" s="24">
        <v>450</v>
      </c>
      <c r="AQ20" s="24">
        <v>450</v>
      </c>
      <c r="AR20" s="24">
        <v>450</v>
      </c>
      <c r="AS20" s="24">
        <v>450</v>
      </c>
      <c r="AT20" s="24">
        <v>450</v>
      </c>
      <c r="AU20" s="24">
        <v>450</v>
      </c>
      <c r="AV20" s="24">
        <v>450</v>
      </c>
      <c r="AW20" s="24">
        <v>450</v>
      </c>
      <c r="AX20" s="24">
        <v>450</v>
      </c>
      <c r="AY20" s="24">
        <v>450</v>
      </c>
      <c r="AZ20" s="24">
        <v>450</v>
      </c>
      <c r="BA20" s="24">
        <v>450</v>
      </c>
      <c r="BB20" s="24">
        <v>450</v>
      </c>
      <c r="BC20" s="24">
        <v>450</v>
      </c>
      <c r="BD20" s="24">
        <v>450</v>
      </c>
      <c r="BE20" s="24">
        <v>450</v>
      </c>
      <c r="BF20" s="24">
        <v>450</v>
      </c>
      <c r="BG20" s="24">
        <v>450</v>
      </c>
      <c r="BH20" s="24">
        <v>450</v>
      </c>
      <c r="BI20" s="24">
        <v>450</v>
      </c>
      <c r="BJ20" s="24">
        <v>450</v>
      </c>
      <c r="BK20" s="24">
        <v>450</v>
      </c>
      <c r="BL20" s="24">
        <v>450</v>
      </c>
      <c r="BM20" s="24">
        <v>450</v>
      </c>
      <c r="BN20" s="24">
        <v>450</v>
      </c>
      <c r="BO20" s="24">
        <v>450</v>
      </c>
      <c r="BP20" s="24">
        <v>450</v>
      </c>
      <c r="BQ20" s="24">
        <v>450</v>
      </c>
      <c r="BR20" s="24">
        <v>450</v>
      </c>
      <c r="BS20" s="24">
        <v>450</v>
      </c>
      <c r="BT20" s="24">
        <v>450</v>
      </c>
      <c r="BU20" s="24">
        <v>450</v>
      </c>
      <c r="BV20" s="24">
        <v>450</v>
      </c>
      <c r="BW20" s="24">
        <v>450</v>
      </c>
      <c r="BX20" s="24">
        <v>450</v>
      </c>
      <c r="BY20" s="24">
        <v>450</v>
      </c>
    </row>
    <row r="21" spans="1:77" ht="14.65" thickBot="1" x14ac:dyDescent="0.5">
      <c r="A21" s="75"/>
      <c r="B21" s="75"/>
      <c r="C21" s="76"/>
      <c r="D21" s="77" t="s">
        <v>137</v>
      </c>
      <c r="F21" s="24">
        <f t="shared" ref="F21:K21" si="180">-$C$90</f>
        <v>-120</v>
      </c>
      <c r="G21" s="24">
        <f t="shared" si="180"/>
        <v>-120</v>
      </c>
      <c r="H21" s="24">
        <f t="shared" si="180"/>
        <v>-120</v>
      </c>
      <c r="I21" s="24">
        <f t="shared" si="180"/>
        <v>-120</v>
      </c>
      <c r="J21" s="24">
        <f t="shared" si="180"/>
        <v>-120</v>
      </c>
      <c r="K21" s="24">
        <f t="shared" si="180"/>
        <v>-120</v>
      </c>
      <c r="L21" s="24">
        <f t="shared" ref="L21:AI21" si="181">-$C$91</f>
        <v>-200</v>
      </c>
      <c r="M21" s="24">
        <f t="shared" si="181"/>
        <v>-200</v>
      </c>
      <c r="N21" s="24">
        <f t="shared" si="181"/>
        <v>-200</v>
      </c>
      <c r="O21" s="24">
        <f t="shared" si="181"/>
        <v>-200</v>
      </c>
      <c r="P21" s="24">
        <f t="shared" si="181"/>
        <v>-200</v>
      </c>
      <c r="Q21" s="24">
        <f t="shared" si="181"/>
        <v>-200</v>
      </c>
      <c r="R21" s="24">
        <f t="shared" si="181"/>
        <v>-200</v>
      </c>
      <c r="S21" s="24">
        <f t="shared" si="181"/>
        <v>-200</v>
      </c>
      <c r="T21" s="24">
        <f t="shared" si="181"/>
        <v>-200</v>
      </c>
      <c r="U21" s="24">
        <f t="shared" si="181"/>
        <v>-200</v>
      </c>
      <c r="V21" s="24">
        <f t="shared" si="181"/>
        <v>-200</v>
      </c>
      <c r="W21" s="24">
        <f t="shared" si="181"/>
        <v>-200</v>
      </c>
      <c r="X21" s="24">
        <f t="shared" si="181"/>
        <v>-200</v>
      </c>
      <c r="Y21" s="24">
        <f t="shared" si="181"/>
        <v>-200</v>
      </c>
      <c r="Z21" s="24">
        <f t="shared" si="181"/>
        <v>-200</v>
      </c>
      <c r="AA21" s="24">
        <f t="shared" si="181"/>
        <v>-200</v>
      </c>
      <c r="AB21" s="24">
        <f t="shared" si="181"/>
        <v>-200</v>
      </c>
      <c r="AC21" s="24">
        <f t="shared" si="181"/>
        <v>-200</v>
      </c>
      <c r="AD21" s="24">
        <f t="shared" si="181"/>
        <v>-200</v>
      </c>
      <c r="AE21" s="24">
        <f t="shared" si="181"/>
        <v>-200</v>
      </c>
      <c r="AF21" s="24">
        <f t="shared" si="181"/>
        <v>-200</v>
      </c>
      <c r="AG21" s="24">
        <f t="shared" si="181"/>
        <v>-200</v>
      </c>
      <c r="AH21" s="24">
        <f t="shared" si="181"/>
        <v>-200</v>
      </c>
      <c r="AI21" s="24">
        <f t="shared" si="181"/>
        <v>-200</v>
      </c>
      <c r="AJ21" s="24">
        <v>-400</v>
      </c>
      <c r="AK21" s="24">
        <v>-400</v>
      </c>
      <c r="AL21" s="24">
        <v>-400</v>
      </c>
      <c r="AM21" s="24">
        <v>-400</v>
      </c>
      <c r="AN21" s="24">
        <v>-400</v>
      </c>
      <c r="AO21" s="24">
        <v>-400</v>
      </c>
      <c r="AP21" s="24">
        <v>-400</v>
      </c>
      <c r="AQ21" s="24">
        <v>-400</v>
      </c>
      <c r="AR21" s="24">
        <v>-400</v>
      </c>
      <c r="AS21" s="24">
        <v>-400</v>
      </c>
      <c r="AT21" s="24">
        <v>-400</v>
      </c>
      <c r="AU21" s="24">
        <v>-400</v>
      </c>
      <c r="AV21" s="24">
        <v>-400</v>
      </c>
      <c r="AW21" s="24">
        <v>-400</v>
      </c>
      <c r="AX21" s="24">
        <v>-400</v>
      </c>
      <c r="AY21" s="24">
        <v>-400</v>
      </c>
      <c r="AZ21" s="24">
        <v>-400</v>
      </c>
      <c r="BA21" s="24">
        <v>-400</v>
      </c>
      <c r="BB21" s="24">
        <v>-400</v>
      </c>
      <c r="BC21" s="24">
        <v>-400</v>
      </c>
      <c r="BD21" s="24">
        <v>-400</v>
      </c>
      <c r="BE21" s="24">
        <v>-400</v>
      </c>
      <c r="BF21" s="24">
        <v>-400</v>
      </c>
      <c r="BG21" s="24">
        <v>-400</v>
      </c>
      <c r="BH21" s="24">
        <v>-400</v>
      </c>
      <c r="BI21" s="24">
        <v>-400</v>
      </c>
      <c r="BJ21" s="24">
        <v>-400</v>
      </c>
      <c r="BK21" s="24">
        <v>-400</v>
      </c>
      <c r="BL21" s="24">
        <v>-400</v>
      </c>
      <c r="BM21" s="24">
        <v>-400</v>
      </c>
      <c r="BN21" s="24">
        <v>-400</v>
      </c>
      <c r="BO21" s="24">
        <v>-400</v>
      </c>
      <c r="BP21" s="24">
        <v>-400</v>
      </c>
      <c r="BQ21" s="24">
        <v>-400</v>
      </c>
      <c r="BR21" s="24">
        <v>-400</v>
      </c>
      <c r="BS21" s="24">
        <v>-400</v>
      </c>
      <c r="BT21" s="24">
        <v>-400</v>
      </c>
      <c r="BU21" s="24">
        <v>-400</v>
      </c>
      <c r="BV21" s="24">
        <v>-400</v>
      </c>
      <c r="BW21" s="24">
        <v>-400</v>
      </c>
      <c r="BX21" s="24">
        <v>-400</v>
      </c>
      <c r="BY21" s="24">
        <v>-400</v>
      </c>
    </row>
    <row r="22" spans="1:77" ht="14.65" thickBot="1" x14ac:dyDescent="0.5">
      <c r="A22" s="75"/>
      <c r="B22" s="81"/>
      <c r="C22" s="76"/>
      <c r="D22" s="77" t="s">
        <v>251</v>
      </c>
      <c r="I22" s="24">
        <f>$C$84*$C$89</f>
        <v>270</v>
      </c>
      <c r="J22" s="24">
        <f>$C$84*$C$89</f>
        <v>270</v>
      </c>
      <c r="K22" s="24">
        <f>$C$84*$C$89</f>
        <v>270</v>
      </c>
    </row>
    <row r="23" spans="1:77" ht="14.65" thickBot="1" x14ac:dyDescent="0.5">
      <c r="A23" s="75"/>
      <c r="B23" s="76"/>
      <c r="C23" s="76"/>
      <c r="D23" s="77" t="s">
        <v>137</v>
      </c>
      <c r="I23" s="24">
        <f>-$C$90</f>
        <v>-120</v>
      </c>
      <c r="J23" s="24">
        <f>-$C$90</f>
        <v>-120</v>
      </c>
      <c r="K23" s="24">
        <f>-$C$90</f>
        <v>-120</v>
      </c>
    </row>
    <row r="24" spans="1:77" ht="14.65" thickBot="1" x14ac:dyDescent="0.5">
      <c r="A24" s="75"/>
      <c r="B24" s="81" t="s">
        <v>185</v>
      </c>
      <c r="C24" s="76"/>
      <c r="D24" s="77"/>
      <c r="F24" s="24">
        <f t="shared" ref="F24:BQ24" si="182">-$C$92</f>
        <v>-25</v>
      </c>
      <c r="G24" s="24">
        <f t="shared" si="182"/>
        <v>-25</v>
      </c>
      <c r="H24" s="24">
        <f t="shared" si="182"/>
        <v>-25</v>
      </c>
      <c r="I24" s="24">
        <f t="shared" si="182"/>
        <v>-25</v>
      </c>
      <c r="J24" s="24">
        <f t="shared" si="182"/>
        <v>-25</v>
      </c>
      <c r="K24" s="24">
        <f t="shared" si="182"/>
        <v>-25</v>
      </c>
      <c r="L24" s="24">
        <f t="shared" si="182"/>
        <v>-25</v>
      </c>
      <c r="M24" s="24">
        <f t="shared" si="182"/>
        <v>-25</v>
      </c>
      <c r="N24" s="24">
        <f t="shared" si="182"/>
        <v>-25</v>
      </c>
      <c r="O24" s="24">
        <f t="shared" si="182"/>
        <v>-25</v>
      </c>
      <c r="P24" s="24">
        <f t="shared" si="182"/>
        <v>-25</v>
      </c>
      <c r="Q24" s="24">
        <f t="shared" si="182"/>
        <v>-25</v>
      </c>
      <c r="R24" s="24">
        <f t="shared" si="182"/>
        <v>-25</v>
      </c>
      <c r="S24" s="24">
        <f t="shared" si="182"/>
        <v>-25</v>
      </c>
      <c r="T24" s="24">
        <f t="shared" si="182"/>
        <v>-25</v>
      </c>
      <c r="U24" s="24">
        <f t="shared" si="182"/>
        <v>-25</v>
      </c>
      <c r="V24" s="24">
        <f t="shared" si="182"/>
        <v>-25</v>
      </c>
      <c r="W24" s="24">
        <f t="shared" si="182"/>
        <v>-25</v>
      </c>
      <c r="X24" s="24">
        <f t="shared" si="182"/>
        <v>-25</v>
      </c>
      <c r="Y24" s="24">
        <f t="shared" si="182"/>
        <v>-25</v>
      </c>
      <c r="Z24" s="24">
        <f t="shared" si="182"/>
        <v>-25</v>
      </c>
      <c r="AA24" s="24">
        <f t="shared" si="182"/>
        <v>-25</v>
      </c>
      <c r="AB24" s="24">
        <f t="shared" si="182"/>
        <v>-25</v>
      </c>
      <c r="AC24" s="24">
        <f t="shared" si="182"/>
        <v>-25</v>
      </c>
      <c r="AD24" s="24">
        <f t="shared" si="182"/>
        <v>-25</v>
      </c>
      <c r="AE24" s="24">
        <f t="shared" si="182"/>
        <v>-25</v>
      </c>
      <c r="AF24" s="24">
        <f t="shared" si="182"/>
        <v>-25</v>
      </c>
      <c r="AG24" s="24">
        <f t="shared" si="182"/>
        <v>-25</v>
      </c>
      <c r="AH24" s="24">
        <f t="shared" si="182"/>
        <v>-25</v>
      </c>
      <c r="AI24" s="24">
        <f t="shared" si="182"/>
        <v>-25</v>
      </c>
      <c r="AJ24" s="24">
        <f t="shared" si="182"/>
        <v>-25</v>
      </c>
      <c r="AK24" s="24">
        <f t="shared" si="182"/>
        <v>-25</v>
      </c>
      <c r="AL24" s="24">
        <f t="shared" si="182"/>
        <v>-25</v>
      </c>
      <c r="AM24" s="24">
        <f t="shared" si="182"/>
        <v>-25</v>
      </c>
      <c r="AN24" s="24">
        <f t="shared" si="182"/>
        <v>-25</v>
      </c>
      <c r="AO24" s="24">
        <f t="shared" si="182"/>
        <v>-25</v>
      </c>
      <c r="AP24" s="24">
        <f t="shared" si="182"/>
        <v>-25</v>
      </c>
      <c r="AQ24" s="24">
        <f t="shared" si="182"/>
        <v>-25</v>
      </c>
      <c r="AR24" s="24">
        <f t="shared" si="182"/>
        <v>-25</v>
      </c>
      <c r="AS24" s="24">
        <f t="shared" si="182"/>
        <v>-25</v>
      </c>
      <c r="AT24" s="24">
        <f t="shared" si="182"/>
        <v>-25</v>
      </c>
      <c r="AU24" s="24">
        <f t="shared" si="182"/>
        <v>-25</v>
      </c>
      <c r="AV24" s="24">
        <f t="shared" si="182"/>
        <v>-25</v>
      </c>
      <c r="AW24" s="24">
        <f t="shared" si="182"/>
        <v>-25</v>
      </c>
      <c r="AX24" s="24">
        <f t="shared" si="182"/>
        <v>-25</v>
      </c>
      <c r="AY24" s="24">
        <f t="shared" si="182"/>
        <v>-25</v>
      </c>
      <c r="AZ24" s="24">
        <f t="shared" si="182"/>
        <v>-25</v>
      </c>
      <c r="BA24" s="24">
        <f t="shared" si="182"/>
        <v>-25</v>
      </c>
      <c r="BB24" s="24">
        <f t="shared" si="182"/>
        <v>-25</v>
      </c>
      <c r="BC24" s="24">
        <f t="shared" si="182"/>
        <v>-25</v>
      </c>
      <c r="BD24" s="24">
        <f t="shared" si="182"/>
        <v>-25</v>
      </c>
      <c r="BE24" s="24">
        <f t="shared" si="182"/>
        <v>-25</v>
      </c>
      <c r="BF24" s="24">
        <f t="shared" si="182"/>
        <v>-25</v>
      </c>
      <c r="BG24" s="24">
        <f t="shared" si="182"/>
        <v>-25</v>
      </c>
      <c r="BH24" s="24">
        <f t="shared" si="182"/>
        <v>-25</v>
      </c>
      <c r="BI24" s="24">
        <f t="shared" si="182"/>
        <v>-25</v>
      </c>
      <c r="BJ24" s="24">
        <f t="shared" si="182"/>
        <v>-25</v>
      </c>
      <c r="BK24" s="24">
        <f t="shared" si="182"/>
        <v>-25</v>
      </c>
      <c r="BL24" s="24">
        <f t="shared" si="182"/>
        <v>-25</v>
      </c>
      <c r="BM24" s="24">
        <f t="shared" si="182"/>
        <v>-25</v>
      </c>
      <c r="BN24" s="24">
        <f t="shared" si="182"/>
        <v>-25</v>
      </c>
      <c r="BO24" s="24">
        <f t="shared" si="182"/>
        <v>-25</v>
      </c>
      <c r="BP24" s="24">
        <f t="shared" si="182"/>
        <v>-25</v>
      </c>
      <c r="BQ24" s="24">
        <f t="shared" si="182"/>
        <v>-25</v>
      </c>
      <c r="BR24" s="24">
        <f t="shared" ref="BR24:BY24" si="183">-$C$92</f>
        <v>-25</v>
      </c>
      <c r="BS24" s="24">
        <f t="shared" si="183"/>
        <v>-25</v>
      </c>
      <c r="BT24" s="24">
        <f t="shared" si="183"/>
        <v>-25</v>
      </c>
      <c r="BU24" s="24">
        <f t="shared" si="183"/>
        <v>-25</v>
      </c>
      <c r="BV24" s="24">
        <f t="shared" si="183"/>
        <v>-25</v>
      </c>
      <c r="BW24" s="24">
        <f t="shared" si="183"/>
        <v>-25</v>
      </c>
      <c r="BX24" s="24">
        <f t="shared" si="183"/>
        <v>-25</v>
      </c>
      <c r="BY24" s="24">
        <f t="shared" si="183"/>
        <v>-25</v>
      </c>
    </row>
    <row r="25" spans="1:77" s="27" customFormat="1" x14ac:dyDescent="0.45">
      <c r="A25" s="78"/>
      <c r="B25" s="78"/>
      <c r="C25" s="79"/>
      <c r="D25" s="80" t="s">
        <v>175</v>
      </c>
      <c r="E25" s="82">
        <v>-400</v>
      </c>
    </row>
    <row r="27" spans="1:77" x14ac:dyDescent="0.45">
      <c r="D27" s="57"/>
    </row>
    <row r="28" spans="1:77" s="119" customFormat="1" ht="18" x14ac:dyDescent="0.55000000000000004">
      <c r="A28" s="121"/>
      <c r="B28" s="121"/>
      <c r="C28" s="121"/>
      <c r="D28" s="121" t="s">
        <v>252</v>
      </c>
    </row>
    <row r="29" spans="1:77" ht="14.65" thickBot="1" x14ac:dyDescent="0.5">
      <c r="A29" s="75"/>
      <c r="B29" s="75"/>
      <c r="C29" s="76" t="s">
        <v>147</v>
      </c>
      <c r="D29" s="77" t="s">
        <v>253</v>
      </c>
      <c r="L29" s="24">
        <f t="shared" ref="L29:T29" si="184">$C86</f>
        <v>600</v>
      </c>
      <c r="M29" s="24">
        <f t="shared" si="184"/>
        <v>600</v>
      </c>
      <c r="N29" s="24">
        <f t="shared" si="184"/>
        <v>600</v>
      </c>
      <c r="O29" s="24">
        <f t="shared" si="184"/>
        <v>600</v>
      </c>
      <c r="P29" s="24">
        <f t="shared" si="184"/>
        <v>600</v>
      </c>
      <c r="Q29" s="24">
        <f t="shared" si="184"/>
        <v>600</v>
      </c>
      <c r="R29" s="24">
        <f t="shared" si="184"/>
        <v>600</v>
      </c>
      <c r="S29" s="24">
        <f t="shared" si="184"/>
        <v>600</v>
      </c>
      <c r="T29" s="24">
        <f t="shared" si="184"/>
        <v>600</v>
      </c>
      <c r="U29" s="24">
        <f>$C$87</f>
        <v>700</v>
      </c>
      <c r="V29" s="24">
        <f t="shared" ref="V29:AK31" si="185">$C$87</f>
        <v>700</v>
      </c>
      <c r="W29" s="24">
        <f t="shared" si="185"/>
        <v>700</v>
      </c>
      <c r="X29" s="24">
        <f t="shared" si="185"/>
        <v>700</v>
      </c>
      <c r="Y29" s="24">
        <f t="shared" si="185"/>
        <v>700</v>
      </c>
      <c r="Z29" s="24">
        <f t="shared" si="185"/>
        <v>700</v>
      </c>
      <c r="AA29" s="24">
        <f t="shared" si="185"/>
        <v>700</v>
      </c>
      <c r="AB29" s="24">
        <f t="shared" si="185"/>
        <v>700</v>
      </c>
      <c r="AC29" s="24">
        <f t="shared" si="185"/>
        <v>700</v>
      </c>
      <c r="AD29" s="24">
        <f t="shared" si="185"/>
        <v>700</v>
      </c>
      <c r="AE29" s="24">
        <f t="shared" si="185"/>
        <v>700</v>
      </c>
      <c r="AF29" s="24">
        <f t="shared" si="185"/>
        <v>700</v>
      </c>
      <c r="AG29" s="24">
        <f t="shared" si="185"/>
        <v>700</v>
      </c>
      <c r="AH29" s="24">
        <f t="shared" si="185"/>
        <v>700</v>
      </c>
      <c r="AI29" s="24">
        <f t="shared" si="185"/>
        <v>700</v>
      </c>
      <c r="AJ29" s="24">
        <f t="shared" si="185"/>
        <v>700</v>
      </c>
      <c r="AK29" s="24">
        <f t="shared" si="185"/>
        <v>700</v>
      </c>
      <c r="AL29" s="24">
        <f t="shared" ref="AJ29:AY31" si="186">$C$87</f>
        <v>700</v>
      </c>
      <c r="AM29" s="24">
        <f t="shared" si="186"/>
        <v>700</v>
      </c>
      <c r="AN29" s="24">
        <f t="shared" si="186"/>
        <v>700</v>
      </c>
      <c r="AO29" s="24">
        <f t="shared" si="186"/>
        <v>700</v>
      </c>
      <c r="AP29" s="24">
        <f t="shared" si="186"/>
        <v>700</v>
      </c>
      <c r="AQ29" s="24">
        <f t="shared" si="186"/>
        <v>700</v>
      </c>
      <c r="AR29" s="24">
        <f t="shared" si="186"/>
        <v>700</v>
      </c>
      <c r="AS29" s="24">
        <f t="shared" si="186"/>
        <v>700</v>
      </c>
      <c r="AT29" s="24">
        <f t="shared" si="186"/>
        <v>700</v>
      </c>
      <c r="AU29" s="24">
        <f t="shared" si="186"/>
        <v>700</v>
      </c>
      <c r="AV29" s="24">
        <f t="shared" si="186"/>
        <v>700</v>
      </c>
      <c r="AW29" s="24">
        <f t="shared" si="186"/>
        <v>700</v>
      </c>
      <c r="AX29" s="24">
        <f t="shared" si="186"/>
        <v>700</v>
      </c>
      <c r="AY29" s="24">
        <f t="shared" si="186"/>
        <v>700</v>
      </c>
      <c r="AZ29" s="24">
        <f t="shared" ref="AS29:BW31" si="187">$C$87</f>
        <v>700</v>
      </c>
      <c r="BA29" s="24">
        <f t="shared" si="187"/>
        <v>700</v>
      </c>
      <c r="BB29" s="24">
        <f t="shared" si="187"/>
        <v>700</v>
      </c>
      <c r="BC29" s="24">
        <f t="shared" si="187"/>
        <v>700</v>
      </c>
      <c r="BD29" s="24">
        <f t="shared" si="187"/>
        <v>700</v>
      </c>
      <c r="BE29" s="24">
        <f t="shared" si="187"/>
        <v>700</v>
      </c>
      <c r="BF29" s="24">
        <f t="shared" si="187"/>
        <v>700</v>
      </c>
      <c r="BG29" s="24">
        <f t="shared" si="187"/>
        <v>700</v>
      </c>
      <c r="BH29" s="24">
        <f t="shared" si="187"/>
        <v>700</v>
      </c>
      <c r="BI29" s="24">
        <f t="shared" si="187"/>
        <v>700</v>
      </c>
      <c r="BJ29" s="24">
        <f t="shared" si="187"/>
        <v>700</v>
      </c>
      <c r="BK29" s="24">
        <f t="shared" si="187"/>
        <v>700</v>
      </c>
      <c r="BL29" s="24">
        <f t="shared" si="187"/>
        <v>700</v>
      </c>
      <c r="BM29" s="24">
        <f t="shared" si="187"/>
        <v>700</v>
      </c>
      <c r="BN29" s="24">
        <f t="shared" si="187"/>
        <v>700</v>
      </c>
      <c r="BO29" s="24">
        <f t="shared" si="187"/>
        <v>700</v>
      </c>
      <c r="BP29" s="24">
        <f t="shared" si="187"/>
        <v>700</v>
      </c>
      <c r="BQ29" s="24">
        <f t="shared" si="187"/>
        <v>700</v>
      </c>
      <c r="BR29" s="24">
        <f t="shared" si="187"/>
        <v>700</v>
      </c>
      <c r="BS29" s="24">
        <f t="shared" si="187"/>
        <v>700</v>
      </c>
      <c r="BT29" s="24">
        <f t="shared" si="187"/>
        <v>700</v>
      </c>
      <c r="BU29" s="24">
        <f t="shared" si="187"/>
        <v>700</v>
      </c>
      <c r="BV29" s="24">
        <f t="shared" si="187"/>
        <v>700</v>
      </c>
      <c r="BW29" s="24">
        <f t="shared" si="187"/>
        <v>700</v>
      </c>
      <c r="BX29" s="24">
        <f t="shared" ref="BX29:BY31" si="188">$C$87</f>
        <v>700</v>
      </c>
      <c r="BY29" s="24">
        <f t="shared" si="188"/>
        <v>700</v>
      </c>
    </row>
    <row r="30" spans="1:77" ht="14.65" thickBot="1" x14ac:dyDescent="0.5">
      <c r="A30" s="75"/>
      <c r="B30" s="81" t="s">
        <v>146</v>
      </c>
      <c r="C30" s="76"/>
      <c r="D30" s="77" t="s">
        <v>251</v>
      </c>
      <c r="L30" s="24">
        <f t="shared" ref="L30:T30" si="189">$C86</f>
        <v>600</v>
      </c>
      <c r="M30" s="24">
        <f t="shared" si="189"/>
        <v>600</v>
      </c>
      <c r="N30" s="24">
        <f t="shared" si="189"/>
        <v>600</v>
      </c>
      <c r="O30" s="24">
        <f t="shared" si="189"/>
        <v>600</v>
      </c>
      <c r="P30" s="24">
        <f t="shared" si="189"/>
        <v>600</v>
      </c>
      <c r="Q30" s="24">
        <f t="shared" si="189"/>
        <v>600</v>
      </c>
      <c r="R30" s="24">
        <f t="shared" si="189"/>
        <v>600</v>
      </c>
      <c r="S30" s="24">
        <f t="shared" si="189"/>
        <v>600</v>
      </c>
      <c r="T30" s="24">
        <f t="shared" si="189"/>
        <v>600</v>
      </c>
      <c r="U30" s="24">
        <f>$C$87</f>
        <v>700</v>
      </c>
      <c r="V30" s="24">
        <f t="shared" si="185"/>
        <v>700</v>
      </c>
      <c r="W30" s="24">
        <f t="shared" si="185"/>
        <v>700</v>
      </c>
      <c r="X30" s="24">
        <f t="shared" si="185"/>
        <v>700</v>
      </c>
      <c r="Y30" s="24">
        <f t="shared" si="185"/>
        <v>700</v>
      </c>
      <c r="Z30" s="24">
        <f t="shared" si="185"/>
        <v>700</v>
      </c>
      <c r="AA30" s="24">
        <f t="shared" si="185"/>
        <v>700</v>
      </c>
      <c r="AB30" s="24">
        <f t="shared" si="185"/>
        <v>700</v>
      </c>
      <c r="AC30" s="24">
        <f t="shared" si="185"/>
        <v>700</v>
      </c>
      <c r="AD30" s="24">
        <f t="shared" si="185"/>
        <v>700</v>
      </c>
      <c r="AE30" s="24">
        <f t="shared" si="185"/>
        <v>700</v>
      </c>
      <c r="AF30" s="24">
        <f t="shared" si="185"/>
        <v>700</v>
      </c>
      <c r="AG30" s="24">
        <f t="shared" si="185"/>
        <v>700</v>
      </c>
      <c r="AH30" s="24">
        <f t="shared" si="185"/>
        <v>700</v>
      </c>
      <c r="AI30" s="24">
        <f t="shared" si="185"/>
        <v>700</v>
      </c>
      <c r="AJ30" s="24">
        <f t="shared" si="186"/>
        <v>700</v>
      </c>
      <c r="AK30" s="24">
        <f t="shared" si="186"/>
        <v>700</v>
      </c>
      <c r="AL30" s="24">
        <f t="shared" si="186"/>
        <v>700</v>
      </c>
      <c r="AM30" s="24">
        <f t="shared" si="186"/>
        <v>700</v>
      </c>
      <c r="AN30" s="24">
        <f t="shared" si="186"/>
        <v>700</v>
      </c>
      <c r="AO30" s="24">
        <f t="shared" si="186"/>
        <v>700</v>
      </c>
      <c r="AP30" s="24">
        <f t="shared" si="186"/>
        <v>700</v>
      </c>
      <c r="AQ30" s="24">
        <f t="shared" si="186"/>
        <v>700</v>
      </c>
      <c r="AR30" s="24">
        <f t="shared" si="186"/>
        <v>700</v>
      </c>
      <c r="AS30" s="24">
        <f t="shared" si="187"/>
        <v>700</v>
      </c>
      <c r="AT30" s="24">
        <f t="shared" si="187"/>
        <v>700</v>
      </c>
      <c r="AU30" s="24">
        <f t="shared" si="187"/>
        <v>700</v>
      </c>
      <c r="AV30" s="24">
        <f t="shared" si="187"/>
        <v>700</v>
      </c>
      <c r="AW30" s="24">
        <f t="shared" si="187"/>
        <v>700</v>
      </c>
      <c r="AX30" s="24">
        <f t="shared" si="187"/>
        <v>700</v>
      </c>
      <c r="AY30" s="24">
        <f t="shared" si="187"/>
        <v>700</v>
      </c>
      <c r="AZ30" s="24">
        <f t="shared" si="187"/>
        <v>700</v>
      </c>
      <c r="BA30" s="24">
        <f t="shared" si="187"/>
        <v>700</v>
      </c>
      <c r="BB30" s="24">
        <f t="shared" si="187"/>
        <v>700</v>
      </c>
      <c r="BC30" s="24">
        <f t="shared" si="187"/>
        <v>700</v>
      </c>
      <c r="BD30" s="24">
        <f t="shared" si="187"/>
        <v>700</v>
      </c>
      <c r="BE30" s="24">
        <f t="shared" si="187"/>
        <v>700</v>
      </c>
      <c r="BF30" s="24">
        <f t="shared" si="187"/>
        <v>700</v>
      </c>
      <c r="BG30" s="24">
        <f t="shared" si="187"/>
        <v>700</v>
      </c>
      <c r="BH30" s="24">
        <f t="shared" si="187"/>
        <v>700</v>
      </c>
      <c r="BI30" s="24">
        <f t="shared" si="187"/>
        <v>700</v>
      </c>
      <c r="BJ30" s="24">
        <f t="shared" si="187"/>
        <v>700</v>
      </c>
      <c r="BK30" s="24">
        <f t="shared" si="187"/>
        <v>700</v>
      </c>
      <c r="BL30" s="24">
        <f t="shared" si="187"/>
        <v>700</v>
      </c>
      <c r="BM30" s="24">
        <f t="shared" si="187"/>
        <v>700</v>
      </c>
      <c r="BN30" s="24">
        <f t="shared" si="187"/>
        <v>700</v>
      </c>
      <c r="BO30" s="24">
        <f t="shared" si="187"/>
        <v>700</v>
      </c>
      <c r="BP30" s="24">
        <f t="shared" si="187"/>
        <v>700</v>
      </c>
      <c r="BQ30" s="24">
        <f t="shared" si="187"/>
        <v>700</v>
      </c>
      <c r="BR30" s="24">
        <f t="shared" si="187"/>
        <v>700</v>
      </c>
      <c r="BS30" s="24">
        <f t="shared" si="187"/>
        <v>700</v>
      </c>
      <c r="BT30" s="24">
        <f t="shared" si="187"/>
        <v>700</v>
      </c>
      <c r="BU30" s="24">
        <f t="shared" si="187"/>
        <v>700</v>
      </c>
      <c r="BV30" s="24">
        <f t="shared" si="187"/>
        <v>700</v>
      </c>
      <c r="BW30" s="24">
        <f t="shared" si="187"/>
        <v>700</v>
      </c>
      <c r="BX30" s="24">
        <f t="shared" si="188"/>
        <v>700</v>
      </c>
      <c r="BY30" s="24">
        <f t="shared" si="188"/>
        <v>700</v>
      </c>
    </row>
    <row r="31" spans="1:77" ht="14.65" thickBot="1" x14ac:dyDescent="0.5">
      <c r="A31" s="75"/>
      <c r="B31" s="81" t="s">
        <v>146</v>
      </c>
      <c r="C31" s="76"/>
      <c r="D31" s="77" t="s">
        <v>294</v>
      </c>
      <c r="AA31" s="24">
        <f t="shared" si="185"/>
        <v>700</v>
      </c>
      <c r="AB31" s="24">
        <f t="shared" si="185"/>
        <v>700</v>
      </c>
      <c r="AC31" s="24">
        <f t="shared" si="185"/>
        <v>700</v>
      </c>
      <c r="AD31" s="24">
        <f t="shared" si="185"/>
        <v>700</v>
      </c>
      <c r="AE31" s="24">
        <f t="shared" si="185"/>
        <v>700</v>
      </c>
      <c r="AF31" s="24">
        <f t="shared" si="185"/>
        <v>700</v>
      </c>
      <c r="AG31" s="24">
        <f t="shared" si="185"/>
        <v>700</v>
      </c>
      <c r="AH31" s="24">
        <f t="shared" si="185"/>
        <v>700</v>
      </c>
      <c r="AI31" s="24">
        <f t="shared" si="185"/>
        <v>700</v>
      </c>
      <c r="AJ31" s="24">
        <f t="shared" si="186"/>
        <v>700</v>
      </c>
      <c r="AK31" s="24">
        <f t="shared" si="186"/>
        <v>700</v>
      </c>
      <c r="AL31" s="24">
        <f t="shared" si="186"/>
        <v>700</v>
      </c>
      <c r="AM31" s="24">
        <f t="shared" si="186"/>
        <v>700</v>
      </c>
      <c r="AN31" s="24">
        <f t="shared" si="186"/>
        <v>700</v>
      </c>
      <c r="AO31" s="24">
        <f t="shared" si="186"/>
        <v>700</v>
      </c>
      <c r="AP31" s="24">
        <f t="shared" si="186"/>
        <v>700</v>
      </c>
      <c r="AQ31" s="24">
        <f t="shared" si="186"/>
        <v>700</v>
      </c>
      <c r="AR31" s="24">
        <f t="shared" si="186"/>
        <v>700</v>
      </c>
      <c r="AS31" s="24">
        <f t="shared" si="187"/>
        <v>700</v>
      </c>
      <c r="AT31" s="24">
        <f t="shared" si="187"/>
        <v>700</v>
      </c>
      <c r="AU31" s="24">
        <f t="shared" si="187"/>
        <v>700</v>
      </c>
      <c r="AV31" s="24">
        <f t="shared" si="187"/>
        <v>700</v>
      </c>
      <c r="AW31" s="24">
        <f t="shared" si="187"/>
        <v>700</v>
      </c>
      <c r="AX31" s="24">
        <f t="shared" si="187"/>
        <v>700</v>
      </c>
      <c r="AY31" s="24">
        <f t="shared" si="187"/>
        <v>700</v>
      </c>
      <c r="AZ31" s="24">
        <f t="shared" si="187"/>
        <v>700</v>
      </c>
      <c r="BA31" s="24">
        <f t="shared" si="187"/>
        <v>700</v>
      </c>
      <c r="BB31" s="24">
        <f t="shared" si="187"/>
        <v>700</v>
      </c>
      <c r="BC31" s="24">
        <f t="shared" si="187"/>
        <v>700</v>
      </c>
      <c r="BD31" s="24">
        <f t="shared" si="187"/>
        <v>700</v>
      </c>
      <c r="BE31" s="24">
        <f t="shared" si="187"/>
        <v>700</v>
      </c>
      <c r="BF31" s="24">
        <f t="shared" si="187"/>
        <v>700</v>
      </c>
      <c r="BG31" s="24">
        <f t="shared" si="187"/>
        <v>700</v>
      </c>
      <c r="BH31" s="24">
        <f t="shared" si="187"/>
        <v>700</v>
      </c>
      <c r="BI31" s="24">
        <f t="shared" si="187"/>
        <v>700</v>
      </c>
      <c r="BJ31" s="24">
        <f t="shared" si="187"/>
        <v>700</v>
      </c>
      <c r="BK31" s="24">
        <f t="shared" si="187"/>
        <v>700</v>
      </c>
      <c r="BL31" s="24">
        <f t="shared" si="187"/>
        <v>700</v>
      </c>
      <c r="BM31" s="24">
        <f t="shared" si="187"/>
        <v>700</v>
      </c>
      <c r="BN31" s="24">
        <f t="shared" si="187"/>
        <v>700</v>
      </c>
      <c r="BO31" s="24">
        <f t="shared" si="187"/>
        <v>700</v>
      </c>
      <c r="BP31" s="24">
        <f t="shared" si="187"/>
        <v>700</v>
      </c>
      <c r="BQ31" s="24">
        <f t="shared" si="187"/>
        <v>700</v>
      </c>
      <c r="BR31" s="24">
        <f t="shared" si="187"/>
        <v>700</v>
      </c>
      <c r="BS31" s="24">
        <f t="shared" si="187"/>
        <v>700</v>
      </c>
      <c r="BT31" s="24">
        <f t="shared" si="187"/>
        <v>700</v>
      </c>
      <c r="BU31" s="24">
        <f t="shared" si="187"/>
        <v>700</v>
      </c>
      <c r="BV31" s="24">
        <f t="shared" si="187"/>
        <v>700</v>
      </c>
      <c r="BW31" s="24">
        <f t="shared" si="187"/>
        <v>700</v>
      </c>
      <c r="BX31" s="24">
        <f t="shared" si="188"/>
        <v>700</v>
      </c>
      <c r="BY31" s="24">
        <f t="shared" si="188"/>
        <v>700</v>
      </c>
    </row>
    <row r="32" spans="1:77" x14ac:dyDescent="0.45">
      <c r="A32" s="75"/>
      <c r="B32" s="75"/>
      <c r="C32" s="76"/>
      <c r="D32" s="77"/>
    </row>
    <row r="33" spans="1:77" x14ac:dyDescent="0.45">
      <c r="A33" s="75"/>
      <c r="B33" s="75"/>
      <c r="C33" s="76"/>
      <c r="D33" s="77" t="s">
        <v>137</v>
      </c>
      <c r="L33" s="24">
        <f t="shared" ref="L33:AG34" si="190">-$C$94</f>
        <v>-350</v>
      </c>
      <c r="M33" s="24">
        <f t="shared" si="190"/>
        <v>-350</v>
      </c>
      <c r="N33" s="24">
        <f t="shared" si="190"/>
        <v>-350</v>
      </c>
      <c r="O33" s="24">
        <f t="shared" si="190"/>
        <v>-350</v>
      </c>
      <c r="P33" s="24">
        <f t="shared" si="190"/>
        <v>-350</v>
      </c>
      <c r="Q33" s="24">
        <f t="shared" si="190"/>
        <v>-350</v>
      </c>
      <c r="R33" s="24">
        <f t="shared" si="190"/>
        <v>-350</v>
      </c>
      <c r="S33" s="24">
        <f t="shared" si="190"/>
        <v>-350</v>
      </c>
      <c r="T33" s="24">
        <f t="shared" si="190"/>
        <v>-350</v>
      </c>
      <c r="U33" s="24">
        <f t="shared" si="190"/>
        <v>-350</v>
      </c>
      <c r="V33" s="24">
        <f t="shared" si="190"/>
        <v>-350</v>
      </c>
      <c r="W33" s="24">
        <f t="shared" si="190"/>
        <v>-350</v>
      </c>
      <c r="X33" s="24">
        <f t="shared" si="190"/>
        <v>-350</v>
      </c>
      <c r="Y33" s="24">
        <f t="shared" si="190"/>
        <v>-350</v>
      </c>
      <c r="Z33" s="24">
        <f t="shared" si="190"/>
        <v>-350</v>
      </c>
      <c r="AA33" s="24">
        <f t="shared" si="190"/>
        <v>-350</v>
      </c>
      <c r="AB33" s="24">
        <f t="shared" si="190"/>
        <v>-350</v>
      </c>
      <c r="AC33" s="24">
        <f t="shared" si="190"/>
        <v>-350</v>
      </c>
      <c r="AD33" s="24">
        <f t="shared" si="190"/>
        <v>-350</v>
      </c>
      <c r="AE33" s="24">
        <f t="shared" si="190"/>
        <v>-350</v>
      </c>
      <c r="AF33" s="24">
        <f t="shared" si="190"/>
        <v>-350</v>
      </c>
      <c r="AG33" s="24">
        <f t="shared" si="190"/>
        <v>-350</v>
      </c>
      <c r="AH33" s="24">
        <f t="shared" ref="AG33:AI34" si="191">-$C$94</f>
        <v>-350</v>
      </c>
      <c r="AI33" s="24">
        <f t="shared" si="191"/>
        <v>-350</v>
      </c>
      <c r="AJ33" s="24">
        <v>-400</v>
      </c>
      <c r="AK33" s="24">
        <v>-400</v>
      </c>
      <c r="AL33" s="24">
        <v>-400</v>
      </c>
      <c r="AM33" s="24">
        <v>-400</v>
      </c>
      <c r="AN33" s="24">
        <v>-400</v>
      </c>
      <c r="AO33" s="24">
        <v>-400</v>
      </c>
      <c r="AP33" s="24">
        <v>-400</v>
      </c>
      <c r="AQ33" s="24">
        <v>-400</v>
      </c>
      <c r="AR33" s="24">
        <v>-400</v>
      </c>
      <c r="AS33" s="24">
        <v>-400</v>
      </c>
      <c r="AT33" s="24">
        <v>-400</v>
      </c>
      <c r="AU33" s="24">
        <v>-400</v>
      </c>
      <c r="AV33" s="24">
        <v>-400</v>
      </c>
      <c r="AW33" s="24">
        <v>-400</v>
      </c>
      <c r="AX33" s="24">
        <v>-400</v>
      </c>
      <c r="AY33" s="24">
        <v>-400</v>
      </c>
      <c r="AZ33" s="24">
        <v>-400</v>
      </c>
      <c r="BA33" s="24">
        <v>-400</v>
      </c>
      <c r="BB33" s="24">
        <v>-400</v>
      </c>
      <c r="BC33" s="24">
        <v>-400</v>
      </c>
      <c r="BD33" s="24">
        <v>-400</v>
      </c>
      <c r="BE33" s="24">
        <v>-400</v>
      </c>
      <c r="BF33" s="24">
        <v>-400</v>
      </c>
      <c r="BG33" s="24">
        <v>-400</v>
      </c>
      <c r="BH33" s="24">
        <v>-400</v>
      </c>
      <c r="BI33" s="24">
        <v>-400</v>
      </c>
      <c r="BJ33" s="24">
        <v>-400</v>
      </c>
      <c r="BK33" s="24">
        <v>-400</v>
      </c>
      <c r="BL33" s="24">
        <v>-400</v>
      </c>
      <c r="BM33" s="24">
        <v>-400</v>
      </c>
      <c r="BN33" s="24">
        <v>-400</v>
      </c>
      <c r="BO33" s="24">
        <v>-400</v>
      </c>
      <c r="BP33" s="24">
        <v>-400</v>
      </c>
      <c r="BQ33" s="24">
        <v>-400</v>
      </c>
      <c r="BR33" s="24">
        <v>-400</v>
      </c>
      <c r="BS33" s="24">
        <v>-400</v>
      </c>
      <c r="BT33" s="24">
        <v>-400</v>
      </c>
      <c r="BU33" s="24">
        <v>-400</v>
      </c>
      <c r="BV33" s="24">
        <v>-400</v>
      </c>
      <c r="BW33" s="24">
        <v>-400</v>
      </c>
      <c r="BX33" s="24">
        <v>-400</v>
      </c>
      <c r="BY33" s="24">
        <v>-400</v>
      </c>
    </row>
    <row r="34" spans="1:77" ht="14.65" thickBot="1" x14ac:dyDescent="0.5">
      <c r="A34" s="75"/>
      <c r="B34" s="75"/>
      <c r="C34" s="76"/>
      <c r="D34" s="77" t="s">
        <v>137</v>
      </c>
      <c r="AA34" s="24">
        <f t="shared" si="190"/>
        <v>-350</v>
      </c>
      <c r="AB34" s="24">
        <f t="shared" si="190"/>
        <v>-350</v>
      </c>
      <c r="AC34" s="24">
        <f t="shared" si="190"/>
        <v>-350</v>
      </c>
      <c r="AD34" s="24">
        <f t="shared" si="190"/>
        <v>-350</v>
      </c>
      <c r="AE34" s="24">
        <f t="shared" si="190"/>
        <v>-350</v>
      </c>
      <c r="AF34" s="24">
        <f t="shared" si="190"/>
        <v>-350</v>
      </c>
      <c r="AG34" s="24">
        <f t="shared" si="191"/>
        <v>-350</v>
      </c>
      <c r="AH34" s="24">
        <f t="shared" si="191"/>
        <v>-350</v>
      </c>
      <c r="AI34" s="24">
        <f t="shared" si="191"/>
        <v>-350</v>
      </c>
      <c r="AJ34" s="24">
        <v>-400</v>
      </c>
      <c r="AK34" s="24">
        <v>-400</v>
      </c>
      <c r="AL34" s="24">
        <v>-400</v>
      </c>
      <c r="AM34" s="24">
        <v>-400</v>
      </c>
      <c r="AN34" s="24">
        <v>-400</v>
      </c>
      <c r="AO34" s="24">
        <v>-400</v>
      </c>
      <c r="AP34" s="24">
        <v>-400</v>
      </c>
      <c r="AQ34" s="24">
        <v>-400</v>
      </c>
      <c r="AR34" s="24">
        <v>-400</v>
      </c>
      <c r="AS34" s="24">
        <v>-400</v>
      </c>
      <c r="AT34" s="24">
        <v>-400</v>
      </c>
      <c r="AU34" s="24">
        <v>-400</v>
      </c>
      <c r="AV34" s="24">
        <v>-400</v>
      </c>
      <c r="AW34" s="24">
        <v>-400</v>
      </c>
      <c r="AX34" s="24">
        <v>-400</v>
      </c>
      <c r="AY34" s="24">
        <v>-400</v>
      </c>
      <c r="AZ34" s="24">
        <v>-400</v>
      </c>
      <c r="BA34" s="24">
        <v>-400</v>
      </c>
      <c r="BB34" s="24">
        <v>-400</v>
      </c>
      <c r="BC34" s="24">
        <v>-400</v>
      </c>
      <c r="BD34" s="24">
        <v>-400</v>
      </c>
      <c r="BE34" s="24">
        <v>-400</v>
      </c>
      <c r="BF34" s="24">
        <v>-400</v>
      </c>
      <c r="BG34" s="24">
        <v>-400</v>
      </c>
      <c r="BH34" s="24">
        <v>-400</v>
      </c>
      <c r="BI34" s="24">
        <v>-400</v>
      </c>
      <c r="BJ34" s="24">
        <v>-400</v>
      </c>
      <c r="BK34" s="24">
        <v>-400</v>
      </c>
      <c r="BL34" s="24">
        <v>-400</v>
      </c>
      <c r="BM34" s="24">
        <v>-400</v>
      </c>
      <c r="BN34" s="24">
        <v>-400</v>
      </c>
      <c r="BO34" s="24">
        <v>-400</v>
      </c>
      <c r="BP34" s="24">
        <v>-400</v>
      </c>
      <c r="BQ34" s="24">
        <v>-400</v>
      </c>
      <c r="BR34" s="24">
        <v>-400</v>
      </c>
      <c r="BS34" s="24">
        <v>-400</v>
      </c>
      <c r="BT34" s="24">
        <v>-400</v>
      </c>
      <c r="BU34" s="24">
        <v>-400</v>
      </c>
      <c r="BV34" s="24">
        <v>-400</v>
      </c>
      <c r="BW34" s="24">
        <v>-400</v>
      </c>
      <c r="BX34" s="24">
        <v>-400</v>
      </c>
      <c r="BY34" s="24">
        <v>-400</v>
      </c>
    </row>
    <row r="35" spans="1:77" ht="14.65" thickBot="1" x14ac:dyDescent="0.5">
      <c r="A35" s="75"/>
      <c r="B35" s="81" t="s">
        <v>185</v>
      </c>
      <c r="C35" s="76"/>
      <c r="D35" s="77" t="s">
        <v>261</v>
      </c>
      <c r="L35" s="24">
        <f t="shared" ref="L35:AC35" si="192">-$C95</f>
        <v>-100</v>
      </c>
      <c r="M35" s="24">
        <f t="shared" si="192"/>
        <v>-100</v>
      </c>
      <c r="N35" s="24">
        <f t="shared" si="192"/>
        <v>-100</v>
      </c>
      <c r="O35" s="24">
        <f t="shared" si="192"/>
        <v>-100</v>
      </c>
      <c r="P35" s="24">
        <f t="shared" si="192"/>
        <v>-100</v>
      </c>
      <c r="Q35" s="24">
        <f t="shared" si="192"/>
        <v>-100</v>
      </c>
      <c r="R35" s="24">
        <f t="shared" si="192"/>
        <v>-100</v>
      </c>
      <c r="S35" s="24">
        <f t="shared" si="192"/>
        <v>-100</v>
      </c>
      <c r="T35" s="24">
        <f t="shared" si="192"/>
        <v>-100</v>
      </c>
      <c r="U35" s="24">
        <f t="shared" si="192"/>
        <v>-100</v>
      </c>
      <c r="V35" s="24">
        <f t="shared" si="192"/>
        <v>-100</v>
      </c>
      <c r="W35" s="24">
        <f t="shared" si="192"/>
        <v>-100</v>
      </c>
      <c r="X35" s="24">
        <f t="shared" si="192"/>
        <v>-100</v>
      </c>
      <c r="Y35" s="24">
        <f t="shared" si="192"/>
        <v>-100</v>
      </c>
      <c r="Z35" s="24">
        <f t="shared" si="192"/>
        <v>-100</v>
      </c>
      <c r="AA35" s="24">
        <f t="shared" si="192"/>
        <v>-100</v>
      </c>
      <c r="AB35" s="24">
        <f t="shared" si="192"/>
        <v>-100</v>
      </c>
      <c r="AC35" s="24">
        <f t="shared" si="192"/>
        <v>-100</v>
      </c>
      <c r="AD35" s="24">
        <f t="shared" ref="AD35:AF35" si="193">-$C95</f>
        <v>-100</v>
      </c>
      <c r="AE35" s="24">
        <f t="shared" si="193"/>
        <v>-100</v>
      </c>
      <c r="AF35" s="24">
        <f t="shared" si="193"/>
        <v>-100</v>
      </c>
      <c r="AG35" s="24">
        <f t="shared" ref="AG35:AI35" si="194">-$C95</f>
        <v>-100</v>
      </c>
      <c r="AH35" s="24">
        <f t="shared" si="194"/>
        <v>-100</v>
      </c>
      <c r="AI35" s="24">
        <f t="shared" si="194"/>
        <v>-100</v>
      </c>
      <c r="AJ35" s="24">
        <f t="shared" ref="AJ35:AL35" si="195">-$C95</f>
        <v>-100</v>
      </c>
      <c r="AK35" s="24">
        <f t="shared" si="195"/>
        <v>-100</v>
      </c>
      <c r="AL35" s="24">
        <f t="shared" si="195"/>
        <v>-100</v>
      </c>
      <c r="AM35" s="24">
        <f t="shared" ref="AM35:AO35" si="196">-$C95</f>
        <v>-100</v>
      </c>
      <c r="AN35" s="24">
        <f t="shared" si="196"/>
        <v>-100</v>
      </c>
      <c r="AO35" s="24">
        <f t="shared" si="196"/>
        <v>-100</v>
      </c>
      <c r="AP35" s="24">
        <f t="shared" ref="AP35:AQ35" si="197">-$C95</f>
        <v>-100</v>
      </c>
      <c r="AQ35" s="24">
        <f t="shared" si="197"/>
        <v>-100</v>
      </c>
      <c r="AR35" s="24">
        <f t="shared" ref="AR35:AS35" si="198">-$C95</f>
        <v>-100</v>
      </c>
      <c r="AS35" s="24">
        <f t="shared" si="198"/>
        <v>-100</v>
      </c>
      <c r="AT35" s="24">
        <f t="shared" ref="AT35:BY35" si="199">-$C95</f>
        <v>-100</v>
      </c>
      <c r="AU35" s="24">
        <f t="shared" si="199"/>
        <v>-100</v>
      </c>
      <c r="AV35" s="24">
        <f t="shared" si="199"/>
        <v>-100</v>
      </c>
      <c r="AW35" s="24">
        <f t="shared" si="199"/>
        <v>-100</v>
      </c>
      <c r="AX35" s="24">
        <f t="shared" si="199"/>
        <v>-100</v>
      </c>
      <c r="AY35" s="24">
        <f t="shared" si="199"/>
        <v>-100</v>
      </c>
      <c r="AZ35" s="24">
        <f t="shared" si="199"/>
        <v>-100</v>
      </c>
      <c r="BA35" s="24">
        <f t="shared" si="199"/>
        <v>-100</v>
      </c>
      <c r="BB35" s="24">
        <f t="shared" si="199"/>
        <v>-100</v>
      </c>
      <c r="BC35" s="24">
        <f t="shared" si="199"/>
        <v>-100</v>
      </c>
      <c r="BD35" s="24">
        <f t="shared" si="199"/>
        <v>-100</v>
      </c>
      <c r="BE35" s="24">
        <f t="shared" si="199"/>
        <v>-100</v>
      </c>
      <c r="BF35" s="24">
        <f t="shared" si="199"/>
        <v>-100</v>
      </c>
      <c r="BG35" s="24">
        <f t="shared" si="199"/>
        <v>-100</v>
      </c>
      <c r="BH35" s="24">
        <f t="shared" si="199"/>
        <v>-100</v>
      </c>
      <c r="BI35" s="24">
        <f t="shared" si="199"/>
        <v>-100</v>
      </c>
      <c r="BJ35" s="24">
        <f t="shared" si="199"/>
        <v>-100</v>
      </c>
      <c r="BK35" s="24">
        <f t="shared" si="199"/>
        <v>-100</v>
      </c>
      <c r="BL35" s="24">
        <f t="shared" si="199"/>
        <v>-100</v>
      </c>
      <c r="BM35" s="24">
        <f t="shared" si="199"/>
        <v>-100</v>
      </c>
      <c r="BN35" s="24">
        <f t="shared" si="199"/>
        <v>-100</v>
      </c>
      <c r="BO35" s="24">
        <f t="shared" si="199"/>
        <v>-100</v>
      </c>
      <c r="BP35" s="24">
        <f t="shared" si="199"/>
        <v>-100</v>
      </c>
      <c r="BQ35" s="24">
        <f t="shared" si="199"/>
        <v>-100</v>
      </c>
      <c r="BR35" s="24">
        <f t="shared" si="199"/>
        <v>-100</v>
      </c>
      <c r="BS35" s="24">
        <f t="shared" si="199"/>
        <v>-100</v>
      </c>
      <c r="BT35" s="24">
        <f t="shared" si="199"/>
        <v>-100</v>
      </c>
      <c r="BU35" s="24">
        <f t="shared" si="199"/>
        <v>-100</v>
      </c>
      <c r="BV35" s="24">
        <f t="shared" si="199"/>
        <v>-100</v>
      </c>
      <c r="BW35" s="24">
        <f t="shared" si="199"/>
        <v>-100</v>
      </c>
      <c r="BX35" s="24">
        <f t="shared" si="199"/>
        <v>-100</v>
      </c>
      <c r="BY35" s="24">
        <f t="shared" si="199"/>
        <v>-100</v>
      </c>
    </row>
    <row r="36" spans="1:77" s="27" customFormat="1" x14ac:dyDescent="0.45">
      <c r="A36" s="78"/>
      <c r="B36" s="78"/>
      <c r="C36" s="79"/>
      <c r="D36" s="80"/>
      <c r="K36" s="122" t="s">
        <v>283</v>
      </c>
      <c r="L36" s="82">
        <v>-8400</v>
      </c>
    </row>
    <row r="37" spans="1:77" x14ac:dyDescent="0.45">
      <c r="Z37" s="24" t="s">
        <v>293</v>
      </c>
      <c r="AA37" s="24">
        <f t="shared" ref="AA37:AC37" si="200">AA33*0.2</f>
        <v>-70</v>
      </c>
      <c r="AB37" s="24">
        <f t="shared" si="200"/>
        <v>-70</v>
      </c>
      <c r="AC37" s="24">
        <f t="shared" si="200"/>
        <v>-70</v>
      </c>
      <c r="AD37" s="24">
        <f>AD33*0.2</f>
        <v>-70</v>
      </c>
      <c r="AE37" s="24">
        <f t="shared" ref="AE37:AF37" si="201">AE33*0.2</f>
        <v>-70</v>
      </c>
      <c r="AF37" s="24">
        <f t="shared" si="201"/>
        <v>-70</v>
      </c>
      <c r="AG37" s="24">
        <f>AG33*0.2</f>
        <v>-70</v>
      </c>
      <c r="AH37" s="24">
        <f t="shared" ref="AH37" si="202">AH33*0.2</f>
        <v>-70</v>
      </c>
      <c r="AJ37" s="24">
        <f>AJ33*0.2</f>
        <v>-80</v>
      </c>
      <c r="AK37" s="24">
        <f t="shared" ref="AK37" si="203">AK33*0.2</f>
        <v>-80</v>
      </c>
    </row>
    <row r="38" spans="1:77" x14ac:dyDescent="0.45">
      <c r="D38" s="57"/>
    </row>
    <row r="39" spans="1:77" s="119" customFormat="1" ht="18" x14ac:dyDescent="0.55000000000000004">
      <c r="A39" s="121"/>
      <c r="B39" s="121"/>
      <c r="C39" s="121"/>
      <c r="D39" s="121" t="s">
        <v>224</v>
      </c>
    </row>
    <row r="40" spans="1:77" ht="14.65" thickBot="1" x14ac:dyDescent="0.5">
      <c r="A40" s="75"/>
      <c r="B40" s="120" t="s">
        <v>146</v>
      </c>
      <c r="C40" s="76"/>
      <c r="D40" s="77" t="s">
        <v>227</v>
      </c>
      <c r="O40" s="24">
        <f t="shared" ref="O40:AL40" si="204">$C$85*$C$88</f>
        <v>660</v>
      </c>
      <c r="P40" s="24">
        <f t="shared" si="204"/>
        <v>660</v>
      </c>
      <c r="Q40" s="24">
        <f t="shared" si="204"/>
        <v>660</v>
      </c>
      <c r="R40" s="24">
        <f t="shared" si="204"/>
        <v>660</v>
      </c>
      <c r="S40" s="24">
        <f t="shared" si="204"/>
        <v>660</v>
      </c>
      <c r="T40" s="24">
        <f t="shared" si="204"/>
        <v>660</v>
      </c>
      <c r="U40" s="24">
        <f t="shared" si="204"/>
        <v>660</v>
      </c>
      <c r="V40" s="24">
        <f t="shared" si="204"/>
        <v>660</v>
      </c>
      <c r="W40" s="24">
        <f t="shared" si="204"/>
        <v>660</v>
      </c>
      <c r="X40" s="24">
        <f t="shared" si="204"/>
        <v>660</v>
      </c>
      <c r="Y40" s="24">
        <f t="shared" si="204"/>
        <v>660</v>
      </c>
      <c r="Z40" s="24">
        <f t="shared" si="204"/>
        <v>660</v>
      </c>
      <c r="AA40" s="24">
        <f t="shared" si="204"/>
        <v>660</v>
      </c>
      <c r="AB40" s="24">
        <f t="shared" si="204"/>
        <v>660</v>
      </c>
      <c r="AC40" s="24">
        <f t="shared" si="204"/>
        <v>660</v>
      </c>
      <c r="AD40" s="24">
        <f t="shared" si="204"/>
        <v>660</v>
      </c>
      <c r="AE40" s="24">
        <f t="shared" si="204"/>
        <v>660</v>
      </c>
      <c r="AF40" s="24">
        <f t="shared" si="204"/>
        <v>660</v>
      </c>
      <c r="AG40" s="24">
        <f t="shared" si="204"/>
        <v>660</v>
      </c>
      <c r="AH40" s="24">
        <f t="shared" si="204"/>
        <v>660</v>
      </c>
      <c r="AI40" s="24">
        <f t="shared" si="204"/>
        <v>660</v>
      </c>
      <c r="AJ40" s="24">
        <f t="shared" si="204"/>
        <v>660</v>
      </c>
      <c r="AK40" s="24">
        <f t="shared" si="204"/>
        <v>660</v>
      </c>
      <c r="AL40" s="24">
        <f t="shared" si="204"/>
        <v>660</v>
      </c>
      <c r="AM40" s="24">
        <f t="shared" ref="AM40:BY40" si="205">$C$85*$C$88</f>
        <v>660</v>
      </c>
      <c r="AN40" s="24">
        <f t="shared" si="205"/>
        <v>660</v>
      </c>
      <c r="AO40" s="24">
        <f t="shared" si="205"/>
        <v>660</v>
      </c>
      <c r="AP40" s="24">
        <f t="shared" si="205"/>
        <v>660</v>
      </c>
      <c r="AQ40" s="24">
        <f t="shared" si="205"/>
        <v>660</v>
      </c>
      <c r="AR40" s="24">
        <f t="shared" si="205"/>
        <v>660</v>
      </c>
      <c r="AS40" s="24">
        <f t="shared" si="205"/>
        <v>660</v>
      </c>
      <c r="AT40" s="24">
        <f t="shared" si="205"/>
        <v>660</v>
      </c>
      <c r="AU40" s="24">
        <f t="shared" si="205"/>
        <v>660</v>
      </c>
      <c r="AV40" s="24">
        <f t="shared" si="205"/>
        <v>660</v>
      </c>
      <c r="AW40" s="24">
        <f t="shared" si="205"/>
        <v>660</v>
      </c>
      <c r="AX40" s="24">
        <f t="shared" si="205"/>
        <v>660</v>
      </c>
      <c r="AY40" s="24">
        <f t="shared" si="205"/>
        <v>660</v>
      </c>
      <c r="AZ40" s="24">
        <f t="shared" si="205"/>
        <v>660</v>
      </c>
      <c r="BA40" s="24">
        <f t="shared" si="205"/>
        <v>660</v>
      </c>
      <c r="BB40" s="24">
        <f t="shared" si="205"/>
        <v>660</v>
      </c>
      <c r="BC40" s="24">
        <f t="shared" si="205"/>
        <v>660</v>
      </c>
      <c r="BD40" s="24">
        <f t="shared" si="205"/>
        <v>660</v>
      </c>
      <c r="BE40" s="24">
        <f t="shared" si="205"/>
        <v>660</v>
      </c>
      <c r="BF40" s="24">
        <f t="shared" si="205"/>
        <v>660</v>
      </c>
      <c r="BG40" s="24">
        <f t="shared" si="205"/>
        <v>660</v>
      </c>
      <c r="BH40" s="24">
        <f t="shared" si="205"/>
        <v>660</v>
      </c>
      <c r="BI40" s="24">
        <f t="shared" si="205"/>
        <v>660</v>
      </c>
      <c r="BJ40" s="24">
        <f t="shared" si="205"/>
        <v>660</v>
      </c>
      <c r="BK40" s="24">
        <f t="shared" si="205"/>
        <v>660</v>
      </c>
      <c r="BL40" s="24">
        <f t="shared" si="205"/>
        <v>660</v>
      </c>
      <c r="BM40" s="24">
        <f t="shared" si="205"/>
        <v>660</v>
      </c>
      <c r="BN40" s="24">
        <f t="shared" si="205"/>
        <v>660</v>
      </c>
      <c r="BO40" s="24">
        <f t="shared" si="205"/>
        <v>660</v>
      </c>
      <c r="BP40" s="24">
        <f t="shared" si="205"/>
        <v>660</v>
      </c>
      <c r="BQ40" s="24">
        <f t="shared" si="205"/>
        <v>660</v>
      </c>
      <c r="BR40" s="24">
        <f t="shared" si="205"/>
        <v>660</v>
      </c>
      <c r="BS40" s="24">
        <f t="shared" si="205"/>
        <v>660</v>
      </c>
      <c r="BT40" s="24">
        <f t="shared" si="205"/>
        <v>660</v>
      </c>
      <c r="BU40" s="24">
        <f t="shared" si="205"/>
        <v>660</v>
      </c>
      <c r="BV40" s="24">
        <f t="shared" si="205"/>
        <v>660</v>
      </c>
      <c r="BW40" s="24">
        <f t="shared" si="205"/>
        <v>660</v>
      </c>
      <c r="BX40" s="24">
        <f t="shared" si="205"/>
        <v>660</v>
      </c>
      <c r="BY40" s="24">
        <f t="shared" si="205"/>
        <v>660</v>
      </c>
    </row>
    <row r="41" spans="1:77" ht="14.65" thickBot="1" x14ac:dyDescent="0.5">
      <c r="A41" s="75"/>
      <c r="B41" s="81" t="s">
        <v>185</v>
      </c>
      <c r="C41" s="76"/>
      <c r="D41" s="77" t="s">
        <v>189</v>
      </c>
      <c r="O41" s="24">
        <f t="shared" ref="O41:AI41" si="206">-$C$93</f>
        <v>-320</v>
      </c>
      <c r="P41" s="24">
        <f t="shared" si="206"/>
        <v>-320</v>
      </c>
      <c r="Q41" s="24">
        <f t="shared" si="206"/>
        <v>-320</v>
      </c>
      <c r="R41" s="24">
        <f t="shared" si="206"/>
        <v>-320</v>
      </c>
      <c r="S41" s="24">
        <f t="shared" si="206"/>
        <v>-320</v>
      </c>
      <c r="T41" s="24">
        <f t="shared" si="206"/>
        <v>-320</v>
      </c>
      <c r="U41" s="24">
        <f t="shared" si="206"/>
        <v>-320</v>
      </c>
      <c r="V41" s="24">
        <f t="shared" si="206"/>
        <v>-320</v>
      </c>
      <c r="W41" s="24">
        <f t="shared" si="206"/>
        <v>-320</v>
      </c>
      <c r="X41" s="24">
        <f t="shared" si="206"/>
        <v>-320</v>
      </c>
      <c r="Y41" s="24">
        <f t="shared" si="206"/>
        <v>-320</v>
      </c>
      <c r="Z41" s="24">
        <f t="shared" si="206"/>
        <v>-320</v>
      </c>
      <c r="AA41" s="24">
        <f t="shared" si="206"/>
        <v>-320</v>
      </c>
      <c r="AB41" s="24">
        <f t="shared" si="206"/>
        <v>-320</v>
      </c>
      <c r="AC41" s="24">
        <f t="shared" si="206"/>
        <v>-320</v>
      </c>
      <c r="AD41" s="24">
        <f t="shared" si="206"/>
        <v>-320</v>
      </c>
      <c r="AE41" s="24">
        <f t="shared" si="206"/>
        <v>-320</v>
      </c>
      <c r="AF41" s="24">
        <f t="shared" si="206"/>
        <v>-320</v>
      </c>
      <c r="AG41" s="24">
        <f t="shared" si="206"/>
        <v>-320</v>
      </c>
      <c r="AH41" s="24">
        <f t="shared" si="206"/>
        <v>-320</v>
      </c>
      <c r="AI41" s="24">
        <f t="shared" si="206"/>
        <v>-320</v>
      </c>
      <c r="AJ41" s="24">
        <v>-400</v>
      </c>
      <c r="AK41" s="24">
        <v>-400</v>
      </c>
      <c r="AL41" s="24">
        <v>-400</v>
      </c>
      <c r="AM41" s="24">
        <v>-400</v>
      </c>
      <c r="AN41" s="24">
        <v>-400</v>
      </c>
      <c r="AO41" s="24">
        <v>-400</v>
      </c>
      <c r="AP41" s="24">
        <v>-400</v>
      </c>
      <c r="AQ41" s="24">
        <v>-400</v>
      </c>
      <c r="AR41" s="24">
        <v>-400</v>
      </c>
      <c r="AS41" s="24">
        <v>-400</v>
      </c>
      <c r="AT41" s="24">
        <v>-400</v>
      </c>
      <c r="AU41" s="24">
        <v>-400</v>
      </c>
      <c r="AV41" s="24">
        <v>-400</v>
      </c>
      <c r="AW41" s="24">
        <v>-400</v>
      </c>
      <c r="AX41" s="24">
        <v>-400</v>
      </c>
      <c r="AY41" s="24">
        <v>-400</v>
      </c>
      <c r="AZ41" s="24">
        <v>-400</v>
      </c>
      <c r="BA41" s="24">
        <v>-400</v>
      </c>
      <c r="BB41" s="24">
        <v>-400</v>
      </c>
      <c r="BC41" s="24">
        <v>-400</v>
      </c>
      <c r="BD41" s="24">
        <v>-400</v>
      </c>
      <c r="BE41" s="24">
        <v>-400</v>
      </c>
      <c r="BF41" s="24">
        <v>-400</v>
      </c>
      <c r="BG41" s="24">
        <v>-400</v>
      </c>
      <c r="BH41" s="24">
        <v>-400</v>
      </c>
      <c r="BI41" s="24">
        <v>-400</v>
      </c>
      <c r="BJ41" s="24">
        <v>-400</v>
      </c>
      <c r="BK41" s="24">
        <v>-400</v>
      </c>
      <c r="BL41" s="24">
        <v>-400</v>
      </c>
      <c r="BM41" s="24">
        <v>-400</v>
      </c>
      <c r="BN41" s="24">
        <v>-400</v>
      </c>
      <c r="BO41" s="24">
        <v>-400</v>
      </c>
      <c r="BP41" s="24">
        <v>-400</v>
      </c>
      <c r="BQ41" s="24">
        <v>-400</v>
      </c>
      <c r="BR41" s="24">
        <v>-400</v>
      </c>
      <c r="BS41" s="24">
        <v>-400</v>
      </c>
      <c r="BT41" s="24">
        <v>-400</v>
      </c>
      <c r="BU41" s="24">
        <v>-400</v>
      </c>
      <c r="BV41" s="24">
        <v>-400</v>
      </c>
      <c r="BW41" s="24">
        <v>-400</v>
      </c>
      <c r="BX41" s="24">
        <v>-400</v>
      </c>
      <c r="BY41" s="24">
        <v>-400</v>
      </c>
    </row>
    <row r="42" spans="1:77" s="27" customFormat="1" x14ac:dyDescent="0.45">
      <c r="A42" s="78"/>
      <c r="B42" s="78"/>
      <c r="C42" s="79"/>
      <c r="D42" s="80"/>
    </row>
    <row r="45" spans="1:77" ht="18" x14ac:dyDescent="0.55000000000000004">
      <c r="A45" s="121"/>
      <c r="B45" s="121"/>
      <c r="C45" s="121"/>
      <c r="D45" s="121" t="s">
        <v>295</v>
      </c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19"/>
      <c r="BK45" s="119"/>
      <c r="BL45" s="119"/>
      <c r="BM45" s="119"/>
      <c r="BN45" s="119"/>
      <c r="BO45" s="119"/>
      <c r="BP45" s="119"/>
      <c r="BQ45" s="119"/>
      <c r="BR45" s="119"/>
      <c r="BS45" s="119"/>
      <c r="BT45" s="119"/>
      <c r="BU45" s="119"/>
      <c r="BV45" s="119"/>
      <c r="BW45" s="119"/>
      <c r="BX45" s="119"/>
      <c r="BY45" s="119"/>
    </row>
    <row r="46" spans="1:77" ht="14.65" thickBot="1" x14ac:dyDescent="0.5">
      <c r="A46" s="75"/>
      <c r="B46" s="120" t="s">
        <v>146</v>
      </c>
      <c r="C46" s="76"/>
      <c r="D46" s="77" t="s">
        <v>227</v>
      </c>
      <c r="AA46" s="24">
        <f t="shared" ref="AA46:BY46" si="207">$C$85*$C$88</f>
        <v>660</v>
      </c>
      <c r="AB46" s="24">
        <f t="shared" si="207"/>
        <v>660</v>
      </c>
      <c r="AC46" s="24">
        <f t="shared" si="207"/>
        <v>660</v>
      </c>
      <c r="AD46" s="24">
        <f t="shared" si="207"/>
        <v>660</v>
      </c>
      <c r="AE46" s="24">
        <f t="shared" si="207"/>
        <v>660</v>
      </c>
      <c r="AF46" s="24">
        <f t="shared" si="207"/>
        <v>660</v>
      </c>
      <c r="AG46" s="24">
        <f t="shared" si="207"/>
        <v>660</v>
      </c>
      <c r="AH46" s="24">
        <f t="shared" si="207"/>
        <v>660</v>
      </c>
      <c r="AI46" s="24">
        <f t="shared" si="207"/>
        <v>660</v>
      </c>
      <c r="AJ46" s="24">
        <f t="shared" si="207"/>
        <v>660</v>
      </c>
      <c r="AK46" s="24">
        <f t="shared" si="207"/>
        <v>660</v>
      </c>
      <c r="AL46" s="24">
        <f t="shared" si="207"/>
        <v>660</v>
      </c>
      <c r="AM46" s="24">
        <f t="shared" si="207"/>
        <v>660</v>
      </c>
      <c r="AN46" s="24">
        <f t="shared" si="207"/>
        <v>660</v>
      </c>
      <c r="AO46" s="24">
        <f t="shared" si="207"/>
        <v>660</v>
      </c>
      <c r="AP46" s="24">
        <f t="shared" si="207"/>
        <v>660</v>
      </c>
      <c r="AQ46" s="24">
        <f t="shared" si="207"/>
        <v>660</v>
      </c>
      <c r="AR46" s="24">
        <f t="shared" si="207"/>
        <v>660</v>
      </c>
      <c r="AS46" s="24">
        <f t="shared" si="207"/>
        <v>660</v>
      </c>
      <c r="AT46" s="24">
        <f t="shared" si="207"/>
        <v>660</v>
      </c>
      <c r="AU46" s="24">
        <f t="shared" si="207"/>
        <v>660</v>
      </c>
      <c r="AV46" s="24">
        <f t="shared" si="207"/>
        <v>660</v>
      </c>
      <c r="AW46" s="24">
        <f t="shared" si="207"/>
        <v>660</v>
      </c>
      <c r="AX46" s="24">
        <f t="shared" si="207"/>
        <v>660</v>
      </c>
      <c r="AY46" s="24">
        <f t="shared" si="207"/>
        <v>660</v>
      </c>
      <c r="AZ46" s="24">
        <f t="shared" si="207"/>
        <v>660</v>
      </c>
      <c r="BA46" s="24">
        <f t="shared" si="207"/>
        <v>660</v>
      </c>
      <c r="BB46" s="24">
        <f t="shared" si="207"/>
        <v>660</v>
      </c>
      <c r="BC46" s="24">
        <f t="shared" si="207"/>
        <v>660</v>
      </c>
      <c r="BD46" s="24">
        <f t="shared" si="207"/>
        <v>660</v>
      </c>
      <c r="BE46" s="24">
        <f t="shared" si="207"/>
        <v>660</v>
      </c>
      <c r="BF46" s="24">
        <f t="shared" si="207"/>
        <v>660</v>
      </c>
      <c r="BG46" s="24">
        <f t="shared" si="207"/>
        <v>660</v>
      </c>
      <c r="BH46" s="24">
        <f t="shared" si="207"/>
        <v>660</v>
      </c>
      <c r="BI46" s="24">
        <f t="shared" si="207"/>
        <v>660</v>
      </c>
      <c r="BJ46" s="24">
        <f t="shared" si="207"/>
        <v>660</v>
      </c>
      <c r="BK46" s="24">
        <f t="shared" si="207"/>
        <v>660</v>
      </c>
      <c r="BL46" s="24">
        <f t="shared" si="207"/>
        <v>660</v>
      </c>
      <c r="BM46" s="24">
        <f t="shared" si="207"/>
        <v>660</v>
      </c>
      <c r="BN46" s="24">
        <f t="shared" si="207"/>
        <v>660</v>
      </c>
      <c r="BO46" s="24">
        <f t="shared" si="207"/>
        <v>660</v>
      </c>
      <c r="BP46" s="24">
        <f t="shared" si="207"/>
        <v>660</v>
      </c>
      <c r="BQ46" s="24">
        <f t="shared" si="207"/>
        <v>660</v>
      </c>
      <c r="BR46" s="24">
        <f t="shared" si="207"/>
        <v>660</v>
      </c>
      <c r="BS46" s="24">
        <f t="shared" si="207"/>
        <v>660</v>
      </c>
      <c r="BT46" s="24">
        <f t="shared" si="207"/>
        <v>660</v>
      </c>
      <c r="BU46" s="24">
        <f t="shared" si="207"/>
        <v>660</v>
      </c>
      <c r="BV46" s="24">
        <f t="shared" si="207"/>
        <v>660</v>
      </c>
      <c r="BW46" s="24">
        <f t="shared" si="207"/>
        <v>660</v>
      </c>
      <c r="BX46" s="24">
        <f t="shared" si="207"/>
        <v>660</v>
      </c>
      <c r="BY46" s="24">
        <f t="shared" si="207"/>
        <v>660</v>
      </c>
    </row>
    <row r="47" spans="1:77" ht="14.65" thickBot="1" x14ac:dyDescent="0.5">
      <c r="A47" s="75"/>
      <c r="B47" s="81" t="s">
        <v>185</v>
      </c>
      <c r="C47" s="76"/>
      <c r="D47" s="77" t="s">
        <v>189</v>
      </c>
      <c r="AA47" s="24">
        <f t="shared" ref="AA47:AI47" si="208">-$C$93</f>
        <v>-320</v>
      </c>
      <c r="AB47" s="24">
        <f t="shared" si="208"/>
        <v>-320</v>
      </c>
      <c r="AC47" s="24">
        <f t="shared" si="208"/>
        <v>-320</v>
      </c>
      <c r="AD47" s="24">
        <f t="shared" si="208"/>
        <v>-320</v>
      </c>
      <c r="AE47" s="24">
        <f t="shared" si="208"/>
        <v>-320</v>
      </c>
      <c r="AF47" s="24">
        <f t="shared" si="208"/>
        <v>-320</v>
      </c>
      <c r="AG47" s="24">
        <f t="shared" si="208"/>
        <v>-320</v>
      </c>
      <c r="AH47" s="24">
        <f t="shared" si="208"/>
        <v>-320</v>
      </c>
      <c r="AI47" s="24">
        <f t="shared" si="208"/>
        <v>-320</v>
      </c>
      <c r="AJ47" s="24">
        <v>-400</v>
      </c>
      <c r="AK47" s="24">
        <v>-400</v>
      </c>
      <c r="AL47" s="24">
        <v>-400</v>
      </c>
      <c r="AM47" s="24">
        <v>-400</v>
      </c>
      <c r="AN47" s="24">
        <v>-400</v>
      </c>
      <c r="AO47" s="24">
        <v>-400</v>
      </c>
      <c r="AP47" s="24">
        <v>-400</v>
      </c>
      <c r="AQ47" s="24">
        <v>-400</v>
      </c>
      <c r="AR47" s="24">
        <v>-400</v>
      </c>
      <c r="AS47" s="24">
        <v>-400</v>
      </c>
      <c r="AT47" s="24">
        <v>-400</v>
      </c>
      <c r="AU47" s="24">
        <v>-400</v>
      </c>
      <c r="AV47" s="24">
        <v>-400</v>
      </c>
      <c r="AW47" s="24">
        <v>-400</v>
      </c>
      <c r="AX47" s="24">
        <v>-400</v>
      </c>
      <c r="AY47" s="24">
        <v>-400</v>
      </c>
      <c r="AZ47" s="24">
        <v>-400</v>
      </c>
      <c r="BA47" s="24">
        <v>-400</v>
      </c>
      <c r="BB47" s="24">
        <v>-400</v>
      </c>
      <c r="BC47" s="24">
        <v>-400</v>
      </c>
      <c r="BD47" s="24">
        <v>-400</v>
      </c>
      <c r="BE47" s="24">
        <v>-400</v>
      </c>
      <c r="BF47" s="24">
        <v>-400</v>
      </c>
      <c r="BG47" s="24">
        <v>-400</v>
      </c>
      <c r="BH47" s="24">
        <v>-400</v>
      </c>
      <c r="BI47" s="24">
        <v>-400</v>
      </c>
      <c r="BJ47" s="24">
        <v>-400</v>
      </c>
      <c r="BK47" s="24">
        <v>-400</v>
      </c>
      <c r="BL47" s="24">
        <v>-400</v>
      </c>
      <c r="BM47" s="24">
        <v>-400</v>
      </c>
      <c r="BN47" s="24">
        <v>-400</v>
      </c>
      <c r="BO47" s="24">
        <v>-400</v>
      </c>
      <c r="BP47" s="24">
        <v>-400</v>
      </c>
      <c r="BQ47" s="24">
        <v>-400</v>
      </c>
      <c r="BR47" s="24">
        <v>-400</v>
      </c>
      <c r="BS47" s="24">
        <v>-400</v>
      </c>
      <c r="BT47" s="24">
        <v>-400</v>
      </c>
      <c r="BU47" s="24">
        <v>-400</v>
      </c>
      <c r="BV47" s="24">
        <v>-400</v>
      </c>
      <c r="BW47" s="24">
        <v>-400</v>
      </c>
      <c r="BX47" s="24">
        <v>-400</v>
      </c>
      <c r="BY47" s="24">
        <v>-400</v>
      </c>
    </row>
    <row r="48" spans="1:77" x14ac:dyDescent="0.45">
      <c r="A48" s="78"/>
      <c r="B48" s="78"/>
      <c r="C48" s="79"/>
      <c r="D48" s="80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 t="s">
        <v>297</v>
      </c>
      <c r="AA48" s="82">
        <v>-3000</v>
      </c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</row>
    <row r="51" spans="1:77" ht="18" x14ac:dyDescent="0.55000000000000004">
      <c r="A51" s="121"/>
      <c r="B51" s="121"/>
      <c r="C51" s="121"/>
      <c r="D51" s="121" t="s">
        <v>298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</row>
    <row r="52" spans="1:77" ht="14.65" thickBot="1" x14ac:dyDescent="0.5">
      <c r="A52" s="75"/>
      <c r="B52" s="120" t="s">
        <v>185</v>
      </c>
      <c r="C52" s="76"/>
      <c r="D52" s="77" t="s">
        <v>164</v>
      </c>
      <c r="AA52" s="24">
        <f>(AA46+AA40)*$C$97+SUM(AA29:AA32)*$C$98</f>
        <v>348</v>
      </c>
      <c r="AB52" s="24">
        <f t="shared" ref="AB52:AI52" si="209">(AB46+AB40)*$C$97+SUM(AB29:AB32)*$C$98</f>
        <v>348</v>
      </c>
      <c r="AC52" s="24">
        <f t="shared" si="209"/>
        <v>348</v>
      </c>
      <c r="AD52" s="24">
        <f t="shared" si="209"/>
        <v>348</v>
      </c>
      <c r="AE52" s="24">
        <f t="shared" si="209"/>
        <v>348</v>
      </c>
      <c r="AF52" s="24">
        <f t="shared" si="209"/>
        <v>348</v>
      </c>
      <c r="AG52" s="24">
        <f t="shared" si="209"/>
        <v>348</v>
      </c>
      <c r="AH52" s="24">
        <f t="shared" si="209"/>
        <v>348</v>
      </c>
      <c r="AI52" s="24">
        <f t="shared" si="209"/>
        <v>348</v>
      </c>
      <c r="AJ52" s="24">
        <f t="shared" ref="AJ52:AL52" si="210">(AJ46+AJ40)*$C$97+SUM(AJ29:AJ32)*$C$98</f>
        <v>348</v>
      </c>
      <c r="AK52" s="24">
        <f t="shared" si="210"/>
        <v>348</v>
      </c>
      <c r="AL52" s="24">
        <f t="shared" si="210"/>
        <v>348</v>
      </c>
      <c r="AM52" s="24">
        <f t="shared" ref="AM52:AO52" si="211">(AM46+AM40)*$C$97+SUM(AM29:AM32)*$C$98</f>
        <v>348</v>
      </c>
      <c r="AN52" s="24">
        <f t="shared" si="211"/>
        <v>348</v>
      </c>
      <c r="AO52" s="24">
        <f t="shared" si="211"/>
        <v>348</v>
      </c>
      <c r="AP52" s="24">
        <f t="shared" ref="AP52:AQ52" si="212">(AP46+AP40)*$C$97+SUM(AP29:AP32)*$C$98</f>
        <v>348</v>
      </c>
      <c r="AQ52" s="24">
        <f t="shared" si="212"/>
        <v>348</v>
      </c>
      <c r="AR52" s="24">
        <f t="shared" ref="AR52:AS52" si="213">(AR46+AR40)*$C$97+SUM(AR29:AR32)*$C$98</f>
        <v>348</v>
      </c>
      <c r="AS52" s="24">
        <f t="shared" si="213"/>
        <v>348</v>
      </c>
      <c r="AT52" s="24">
        <f t="shared" ref="AT52:BY52" si="214">(AT46+AT40)*$C$97+SUM(AT29:AT32)*$C$98</f>
        <v>348</v>
      </c>
      <c r="AU52" s="24">
        <f t="shared" si="214"/>
        <v>348</v>
      </c>
      <c r="AV52" s="24">
        <f t="shared" si="214"/>
        <v>348</v>
      </c>
      <c r="AW52" s="24">
        <f t="shared" si="214"/>
        <v>348</v>
      </c>
      <c r="AX52" s="24">
        <f t="shared" si="214"/>
        <v>348</v>
      </c>
      <c r="AY52" s="24">
        <f t="shared" si="214"/>
        <v>348</v>
      </c>
      <c r="AZ52" s="24">
        <f t="shared" si="214"/>
        <v>348</v>
      </c>
      <c r="BA52" s="24">
        <f t="shared" si="214"/>
        <v>348</v>
      </c>
      <c r="BB52" s="24">
        <f t="shared" si="214"/>
        <v>348</v>
      </c>
      <c r="BC52" s="24">
        <f t="shared" si="214"/>
        <v>348</v>
      </c>
      <c r="BD52" s="24">
        <f t="shared" si="214"/>
        <v>348</v>
      </c>
      <c r="BE52" s="24">
        <f t="shared" si="214"/>
        <v>348</v>
      </c>
      <c r="BF52" s="24">
        <f t="shared" si="214"/>
        <v>348</v>
      </c>
      <c r="BG52" s="24">
        <f t="shared" si="214"/>
        <v>348</v>
      </c>
      <c r="BH52" s="24">
        <f t="shared" si="214"/>
        <v>348</v>
      </c>
      <c r="BI52" s="24">
        <f t="shared" si="214"/>
        <v>348</v>
      </c>
      <c r="BJ52" s="24">
        <f t="shared" si="214"/>
        <v>348</v>
      </c>
      <c r="BK52" s="24">
        <f t="shared" si="214"/>
        <v>348</v>
      </c>
      <c r="BL52" s="24">
        <f t="shared" si="214"/>
        <v>348</v>
      </c>
      <c r="BM52" s="24">
        <f t="shared" si="214"/>
        <v>348</v>
      </c>
      <c r="BN52" s="24">
        <f t="shared" si="214"/>
        <v>348</v>
      </c>
      <c r="BO52" s="24">
        <f t="shared" si="214"/>
        <v>348</v>
      </c>
      <c r="BP52" s="24">
        <f t="shared" si="214"/>
        <v>348</v>
      </c>
      <c r="BQ52" s="24">
        <f t="shared" si="214"/>
        <v>348</v>
      </c>
      <c r="BR52" s="24">
        <f t="shared" si="214"/>
        <v>348</v>
      </c>
      <c r="BS52" s="24">
        <f t="shared" si="214"/>
        <v>348</v>
      </c>
      <c r="BT52" s="24">
        <f t="shared" si="214"/>
        <v>348</v>
      </c>
      <c r="BU52" s="24">
        <f t="shared" si="214"/>
        <v>348</v>
      </c>
      <c r="BV52" s="24">
        <f t="shared" si="214"/>
        <v>348</v>
      </c>
      <c r="BW52" s="24">
        <f t="shared" si="214"/>
        <v>348</v>
      </c>
      <c r="BX52" s="24">
        <f t="shared" si="214"/>
        <v>348</v>
      </c>
      <c r="BY52" s="24">
        <f t="shared" si="214"/>
        <v>348</v>
      </c>
    </row>
    <row r="53" spans="1:77" ht="14.65" thickBot="1" x14ac:dyDescent="0.5">
      <c r="A53" s="75"/>
      <c r="B53" s="81" t="s">
        <v>146</v>
      </c>
      <c r="C53" s="76"/>
      <c r="D53" s="77" t="s">
        <v>168</v>
      </c>
      <c r="AA53" s="24">
        <v>-350</v>
      </c>
      <c r="AB53" s="24">
        <f>AA53</f>
        <v>-350</v>
      </c>
      <c r="AC53" s="24">
        <f t="shared" ref="AC53:AH53" si="215">AB53</f>
        <v>-350</v>
      </c>
      <c r="AD53" s="24">
        <f t="shared" si="215"/>
        <v>-350</v>
      </c>
      <c r="AE53" s="24">
        <f t="shared" si="215"/>
        <v>-350</v>
      </c>
      <c r="AF53" s="24">
        <f t="shared" si="215"/>
        <v>-350</v>
      </c>
      <c r="AG53" s="24">
        <f t="shared" si="215"/>
        <v>-350</v>
      </c>
      <c r="AH53" s="24">
        <f t="shared" si="215"/>
        <v>-350</v>
      </c>
      <c r="AI53" s="24">
        <f>AH53</f>
        <v>-350</v>
      </c>
      <c r="AJ53" s="24">
        <f t="shared" ref="AJ53" si="216">AI53</f>
        <v>-350</v>
      </c>
      <c r="AK53" s="24">
        <f t="shared" ref="AK53" si="217">AJ53</f>
        <v>-350</v>
      </c>
      <c r="AL53" s="24">
        <f>AK53</f>
        <v>-350</v>
      </c>
      <c r="AM53" s="24">
        <f t="shared" ref="AM53:AO53" si="218">AL53</f>
        <v>-350</v>
      </c>
      <c r="AN53" s="24">
        <f t="shared" si="218"/>
        <v>-350</v>
      </c>
      <c r="AO53" s="24">
        <f t="shared" si="218"/>
        <v>-350</v>
      </c>
      <c r="AP53" s="24">
        <f t="shared" ref="AP53:AR53" si="219">AO53</f>
        <v>-350</v>
      </c>
      <c r="AQ53" s="24">
        <f t="shared" ref="AQ53" si="220">AP53</f>
        <v>-350</v>
      </c>
      <c r="AR53" s="24">
        <f t="shared" si="219"/>
        <v>-350</v>
      </c>
      <c r="AS53" s="24">
        <f t="shared" ref="AS53" si="221">AR53</f>
        <v>-350</v>
      </c>
      <c r="AT53" s="24">
        <f t="shared" ref="AT53" si="222">AS53</f>
        <v>-350</v>
      </c>
      <c r="AU53" s="24">
        <f t="shared" ref="AU53" si="223">AT53</f>
        <v>-350</v>
      </c>
      <c r="AV53" s="24">
        <f t="shared" ref="AV53" si="224">AU53</f>
        <v>-350</v>
      </c>
      <c r="AW53" s="24">
        <f t="shared" ref="AW53" si="225">AV53</f>
        <v>-350</v>
      </c>
      <c r="AX53" s="24">
        <f t="shared" ref="AX53" si="226">AW53</f>
        <v>-350</v>
      </c>
      <c r="AY53" s="24">
        <f t="shared" ref="AY53" si="227">AX53</f>
        <v>-350</v>
      </c>
      <c r="AZ53" s="24">
        <f t="shared" ref="AZ53" si="228">AY53</f>
        <v>-350</v>
      </c>
      <c r="BA53" s="24">
        <f t="shared" ref="BA53" si="229">AZ53</f>
        <v>-350</v>
      </c>
      <c r="BB53" s="24">
        <f t="shared" ref="BB53" si="230">BA53</f>
        <v>-350</v>
      </c>
      <c r="BC53" s="24">
        <f t="shared" ref="BC53" si="231">BB53</f>
        <v>-350</v>
      </c>
      <c r="BD53" s="24">
        <f t="shared" ref="BD53" si="232">BC53</f>
        <v>-350</v>
      </c>
      <c r="BE53" s="24">
        <f t="shared" ref="BE53" si="233">BD53</f>
        <v>-350</v>
      </c>
      <c r="BF53" s="24">
        <f t="shared" ref="BF53" si="234">BE53</f>
        <v>-350</v>
      </c>
      <c r="BG53" s="24">
        <f t="shared" ref="BG53" si="235">BF53</f>
        <v>-350</v>
      </c>
      <c r="BH53" s="24">
        <f t="shared" ref="BH53" si="236">BG53</f>
        <v>-350</v>
      </c>
      <c r="BI53" s="24">
        <f t="shared" ref="BI53" si="237">BH53</f>
        <v>-350</v>
      </c>
      <c r="BJ53" s="24">
        <f t="shared" ref="BJ53" si="238">BI53</f>
        <v>-350</v>
      </c>
      <c r="BK53" s="24">
        <f t="shared" ref="BK53" si="239">BJ53</f>
        <v>-350</v>
      </c>
      <c r="BL53" s="24">
        <f t="shared" ref="BL53" si="240">BK53</f>
        <v>-350</v>
      </c>
      <c r="BM53" s="24">
        <f t="shared" ref="BM53" si="241">BL53</f>
        <v>-350</v>
      </c>
      <c r="BN53" s="24">
        <f t="shared" ref="BN53" si="242">BM53</f>
        <v>-350</v>
      </c>
      <c r="BO53" s="24">
        <f t="shared" ref="BO53" si="243">BN53</f>
        <v>-350</v>
      </c>
      <c r="BP53" s="24">
        <f t="shared" ref="BP53" si="244">BO53</f>
        <v>-350</v>
      </c>
      <c r="BQ53" s="24">
        <f t="shared" ref="BQ53" si="245">BP53</f>
        <v>-350</v>
      </c>
      <c r="BR53" s="24">
        <f t="shared" ref="BR53" si="246">BQ53</f>
        <v>-350</v>
      </c>
      <c r="BS53" s="24">
        <f t="shared" ref="BS53" si="247">BR53</f>
        <v>-350</v>
      </c>
      <c r="BT53" s="24">
        <f t="shared" ref="BT53" si="248">BS53</f>
        <v>-350</v>
      </c>
      <c r="BU53" s="24">
        <f t="shared" ref="BU53" si="249">BT53</f>
        <v>-350</v>
      </c>
      <c r="BV53" s="24">
        <f t="shared" ref="BV53" si="250">BU53</f>
        <v>-350</v>
      </c>
      <c r="BW53" s="24">
        <f t="shared" ref="BW53" si="251">BV53</f>
        <v>-350</v>
      </c>
      <c r="BX53" s="24">
        <f t="shared" ref="BX53" si="252">BW53</f>
        <v>-350</v>
      </c>
      <c r="BY53" s="24">
        <f t="shared" ref="BY53" si="253">BX53</f>
        <v>-350</v>
      </c>
    </row>
    <row r="54" spans="1:77" x14ac:dyDescent="0.45">
      <c r="A54" s="78"/>
      <c r="B54" s="78"/>
      <c r="C54" s="79"/>
      <c r="D54" s="80" t="s">
        <v>169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 t="s">
        <v>301</v>
      </c>
      <c r="AA54" s="82">
        <v>-5000</v>
      </c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</row>
    <row r="57" spans="1:77" ht="18" x14ac:dyDescent="0.55000000000000004">
      <c r="A57" s="121"/>
      <c r="B57" s="121"/>
      <c r="C57" s="121"/>
      <c r="D57" s="133" t="s">
        <v>347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</row>
    <row r="58" spans="1:77" x14ac:dyDescent="0.45">
      <c r="A58" s="75"/>
      <c r="B58" s="75"/>
      <c r="C58" s="76"/>
      <c r="D58" s="77" t="s">
        <v>296</v>
      </c>
      <c r="AC58" s="115"/>
      <c r="AD58" s="24">
        <v>-100</v>
      </c>
      <c r="AE58" s="24">
        <v>-100</v>
      </c>
      <c r="AF58" s="24">
        <v>-100</v>
      </c>
      <c r="AG58" s="24">
        <v>-100</v>
      </c>
      <c r="AH58" s="24">
        <v>-100</v>
      </c>
      <c r="AI58" s="24">
        <v>-100</v>
      </c>
      <c r="AJ58" s="24">
        <v>-100</v>
      </c>
      <c r="AK58" s="24">
        <v>-100</v>
      </c>
      <c r="AL58" s="24">
        <v>-100</v>
      </c>
      <c r="AM58" s="24">
        <v>-100</v>
      </c>
      <c r="AN58" s="24">
        <v>-100</v>
      </c>
      <c r="AO58" s="24">
        <v>-100</v>
      </c>
      <c r="AP58" s="24">
        <v>-100</v>
      </c>
      <c r="AQ58" s="24">
        <v>-100</v>
      </c>
      <c r="AR58" s="24">
        <v>-100</v>
      </c>
      <c r="AS58" s="24">
        <v>-100</v>
      </c>
      <c r="AT58" s="24">
        <v>-100</v>
      </c>
      <c r="AU58" s="24">
        <v>-100</v>
      </c>
      <c r="AV58" s="24">
        <v>-100</v>
      </c>
      <c r="AW58" s="24">
        <v>-100</v>
      </c>
      <c r="AX58" s="24">
        <v>-100</v>
      </c>
      <c r="AY58" s="24">
        <v>-100</v>
      </c>
      <c r="AZ58" s="24">
        <v>-100</v>
      </c>
      <c r="BA58" s="24">
        <v>-100</v>
      </c>
      <c r="BB58" s="24">
        <v>-100</v>
      </c>
      <c r="BC58" s="24">
        <v>-100</v>
      </c>
      <c r="BD58" s="24">
        <v>-100</v>
      </c>
      <c r="BE58" s="24">
        <v>-100</v>
      </c>
      <c r="BF58" s="24">
        <v>-100</v>
      </c>
      <c r="BG58" s="24">
        <v>-100</v>
      </c>
      <c r="BH58" s="24">
        <v>-100</v>
      </c>
      <c r="BI58" s="24">
        <v>-100</v>
      </c>
      <c r="BJ58" s="24">
        <v>-100</v>
      </c>
      <c r="BK58" s="24">
        <v>-100</v>
      </c>
      <c r="BL58" s="24">
        <v>-100</v>
      </c>
      <c r="BM58" s="24">
        <v>-100</v>
      </c>
      <c r="BN58" s="24">
        <v>-100</v>
      </c>
      <c r="BO58" s="24">
        <v>-100</v>
      </c>
      <c r="BP58" s="24">
        <v>-100</v>
      </c>
      <c r="BQ58" s="24">
        <v>-100</v>
      </c>
      <c r="BR58" s="24">
        <v>-100</v>
      </c>
      <c r="BS58" s="24">
        <v>-100</v>
      </c>
      <c r="BT58" s="24">
        <v>-100</v>
      </c>
      <c r="BU58" s="24">
        <v>-100</v>
      </c>
      <c r="BV58" s="24">
        <v>-100</v>
      </c>
      <c r="BW58" s="24">
        <v>-100</v>
      </c>
      <c r="BX58" s="24">
        <v>-100</v>
      </c>
      <c r="BY58" s="24">
        <v>-100</v>
      </c>
    </row>
    <row r="59" spans="1:77" x14ac:dyDescent="0.45">
      <c r="A59" s="75"/>
      <c r="B59" s="75"/>
      <c r="C59" s="76"/>
      <c r="D59" s="77" t="s">
        <v>346</v>
      </c>
      <c r="AC59" s="115"/>
      <c r="AG59" s="24">
        <v>-100</v>
      </c>
      <c r="AH59" s="24">
        <v>-100</v>
      </c>
      <c r="AI59" s="24">
        <v>-100</v>
      </c>
      <c r="AJ59" s="24">
        <v>-100</v>
      </c>
      <c r="AK59" s="24">
        <v>-100</v>
      </c>
      <c r="AL59" s="24">
        <v>-100</v>
      </c>
      <c r="AM59" s="24">
        <v>-100</v>
      </c>
      <c r="AN59" s="24">
        <v>-100</v>
      </c>
      <c r="AO59" s="24">
        <v>-100</v>
      </c>
      <c r="AP59" s="24">
        <v>-100</v>
      </c>
      <c r="AQ59" s="24">
        <v>-100</v>
      </c>
      <c r="AR59" s="24">
        <v>-100</v>
      </c>
      <c r="AS59" s="24">
        <v>-100</v>
      </c>
      <c r="AT59" s="24">
        <v>-100</v>
      </c>
      <c r="AU59" s="24">
        <v>-100</v>
      </c>
      <c r="AV59" s="24">
        <v>-100</v>
      </c>
      <c r="AW59" s="24">
        <v>-100</v>
      </c>
      <c r="AX59" s="24">
        <v>-100</v>
      </c>
      <c r="AY59" s="24">
        <v>-100</v>
      </c>
      <c r="AZ59" s="24">
        <v>-100</v>
      </c>
      <c r="BA59" s="24">
        <v>-100</v>
      </c>
      <c r="BB59" s="24">
        <v>-100</v>
      </c>
      <c r="BC59" s="24">
        <v>-100</v>
      </c>
      <c r="BD59" s="24">
        <v>-100</v>
      </c>
      <c r="BE59" s="24">
        <v>-100</v>
      </c>
      <c r="BF59" s="24">
        <v>-100</v>
      </c>
      <c r="BG59" s="24">
        <v>-100</v>
      </c>
      <c r="BH59" s="24">
        <v>-100</v>
      </c>
      <c r="BI59" s="24">
        <v>-100</v>
      </c>
      <c r="BJ59" s="24">
        <v>-100</v>
      </c>
      <c r="BK59" s="24">
        <v>-100</v>
      </c>
      <c r="BL59" s="24">
        <v>-100</v>
      </c>
      <c r="BM59" s="24">
        <v>-100</v>
      </c>
      <c r="BN59" s="24">
        <v>-100</v>
      </c>
      <c r="BO59" s="24">
        <v>-100</v>
      </c>
      <c r="BP59" s="24">
        <v>-100</v>
      </c>
      <c r="BQ59" s="24">
        <v>-100</v>
      </c>
      <c r="BR59" s="24">
        <v>-100</v>
      </c>
      <c r="BS59" s="24">
        <v>-100</v>
      </c>
      <c r="BT59" s="24">
        <v>-100</v>
      </c>
      <c r="BU59" s="24">
        <v>-100</v>
      </c>
      <c r="BV59" s="24">
        <v>-100</v>
      </c>
      <c r="BW59" s="24">
        <v>-100</v>
      </c>
      <c r="BX59" s="24">
        <v>-100</v>
      </c>
      <c r="BY59" s="24">
        <v>-100</v>
      </c>
    </row>
    <row r="60" spans="1:77" ht="14.65" thickBot="1" x14ac:dyDescent="0.5">
      <c r="A60" s="75"/>
      <c r="B60" s="75"/>
      <c r="C60" s="76"/>
      <c r="D60" s="77"/>
      <c r="AC60" s="115"/>
    </row>
    <row r="61" spans="1:77" ht="14.65" thickBot="1" x14ac:dyDescent="0.5">
      <c r="A61" s="75"/>
      <c r="B61" s="81" t="s">
        <v>146</v>
      </c>
      <c r="C61" s="76"/>
      <c r="D61" s="77" t="s">
        <v>350</v>
      </c>
      <c r="AG61" s="24">
        <v>-1000</v>
      </c>
      <c r="AH61" s="24">
        <v>-1000</v>
      </c>
      <c r="AI61" s="24">
        <v>-1000</v>
      </c>
      <c r="AJ61" s="24">
        <v>-1000</v>
      </c>
      <c r="AK61" s="24">
        <v>-1000</v>
      </c>
      <c r="AL61" s="24">
        <v>-1000</v>
      </c>
      <c r="AM61" s="24">
        <v>-500</v>
      </c>
      <c r="AN61" s="24">
        <v>-500</v>
      </c>
      <c r="AO61" s="24">
        <v>-500</v>
      </c>
      <c r="AP61" s="24">
        <v>-500</v>
      </c>
      <c r="AQ61" s="24">
        <v>-500</v>
      </c>
      <c r="AR61" s="24">
        <v>-500</v>
      </c>
      <c r="AS61" s="24">
        <v>-500</v>
      </c>
      <c r="AT61" s="24">
        <v>-500</v>
      </c>
      <c r="AU61" s="24">
        <v>-500</v>
      </c>
      <c r="AV61" s="24">
        <v>-500</v>
      </c>
      <c r="AW61" s="24">
        <v>-500</v>
      </c>
      <c r="AX61" s="24">
        <v>-500</v>
      </c>
      <c r="AY61" s="24">
        <v>-500</v>
      </c>
      <c r="AZ61" s="24">
        <v>-500</v>
      </c>
      <c r="BA61" s="24">
        <v>-500</v>
      </c>
      <c r="BB61" s="24">
        <v>-500</v>
      </c>
      <c r="BC61" s="24">
        <v>-500</v>
      </c>
      <c r="BD61" s="24">
        <v>-500</v>
      </c>
      <c r="BE61" s="24">
        <v>-500</v>
      </c>
      <c r="BF61" s="24">
        <v>-500</v>
      </c>
      <c r="BG61" s="24">
        <v>-500</v>
      </c>
      <c r="BH61" s="24">
        <v>-500</v>
      </c>
      <c r="BI61" s="24">
        <v>-500</v>
      </c>
      <c r="BJ61" s="24">
        <v>-500</v>
      </c>
      <c r="BK61" s="24">
        <v>-500</v>
      </c>
      <c r="BL61" s="24">
        <v>-500</v>
      </c>
      <c r="BM61" s="24">
        <v>-500</v>
      </c>
      <c r="BN61" s="24">
        <v>-500</v>
      </c>
      <c r="BO61" s="24">
        <v>-500</v>
      </c>
      <c r="BP61" s="24">
        <v>-500</v>
      </c>
      <c r="BQ61" s="24">
        <v>-500</v>
      </c>
      <c r="BR61" s="24">
        <v>-500</v>
      </c>
      <c r="BS61" s="24">
        <v>-500</v>
      </c>
      <c r="BT61" s="24">
        <v>-500</v>
      </c>
      <c r="BU61" s="24">
        <v>-500</v>
      </c>
      <c r="BV61" s="24">
        <v>-500</v>
      </c>
      <c r="BW61" s="24">
        <v>-500</v>
      </c>
      <c r="BX61" s="24">
        <v>-500</v>
      </c>
      <c r="BY61" s="24">
        <v>-500</v>
      </c>
    </row>
    <row r="62" spans="1:77" ht="14.65" thickBot="1" x14ac:dyDescent="0.5">
      <c r="A62" s="75"/>
      <c r="B62" s="81" t="s">
        <v>146</v>
      </c>
      <c r="C62" s="76"/>
      <c r="D62" s="77" t="s">
        <v>349</v>
      </c>
      <c r="AG62" s="24">
        <v>-700</v>
      </c>
      <c r="AH62" s="24">
        <v>-700</v>
      </c>
      <c r="AI62" s="24">
        <v>-700</v>
      </c>
      <c r="AJ62" s="24">
        <v>-700</v>
      </c>
      <c r="AK62" s="24">
        <v>-700</v>
      </c>
      <c r="AL62" s="24">
        <v>-700</v>
      </c>
      <c r="AM62" s="24">
        <v>-700</v>
      </c>
      <c r="AN62" s="24">
        <v>-700</v>
      </c>
      <c r="AO62" s="24">
        <v>-700</v>
      </c>
      <c r="AP62" s="24">
        <v>-700</v>
      </c>
      <c r="AQ62" s="24">
        <v>-700</v>
      </c>
      <c r="AR62" s="24">
        <v>-700</v>
      </c>
      <c r="AS62" s="24">
        <v>-700</v>
      </c>
      <c r="AT62" s="24">
        <v>-700</v>
      </c>
      <c r="AU62" s="24">
        <v>-700</v>
      </c>
      <c r="AV62" s="24">
        <v>-700</v>
      </c>
      <c r="AW62" s="24">
        <v>-700</v>
      </c>
      <c r="AX62" s="24">
        <v>-700</v>
      </c>
      <c r="AY62" s="24">
        <v>-700</v>
      </c>
      <c r="AZ62" s="24">
        <v>-700</v>
      </c>
      <c r="BA62" s="24">
        <v>-700</v>
      </c>
      <c r="BB62" s="24">
        <v>-700</v>
      </c>
      <c r="BC62" s="24">
        <v>-700</v>
      </c>
      <c r="BD62" s="24">
        <v>-700</v>
      </c>
      <c r="BE62" s="24">
        <v>-700</v>
      </c>
      <c r="BF62" s="24">
        <v>-700</v>
      </c>
      <c r="BG62" s="24">
        <v>-700</v>
      </c>
      <c r="BH62" s="24">
        <v>-700</v>
      </c>
      <c r="BI62" s="24">
        <v>-700</v>
      </c>
      <c r="BJ62" s="24">
        <v>-700</v>
      </c>
      <c r="BK62" s="24">
        <v>-700</v>
      </c>
      <c r="BL62" s="24">
        <v>-700</v>
      </c>
      <c r="BM62" s="24">
        <v>-700</v>
      </c>
      <c r="BN62" s="24">
        <v>-700</v>
      </c>
      <c r="BO62" s="24">
        <v>-700</v>
      </c>
      <c r="BP62" s="24">
        <v>-700</v>
      </c>
      <c r="BQ62" s="24">
        <v>-700</v>
      </c>
      <c r="BR62" s="24">
        <v>-700</v>
      </c>
      <c r="BS62" s="24">
        <v>-700</v>
      </c>
      <c r="BT62" s="24">
        <v>-700</v>
      </c>
      <c r="BU62" s="24">
        <v>-700</v>
      </c>
      <c r="BV62" s="24">
        <v>-700</v>
      </c>
      <c r="BW62" s="24">
        <v>-700</v>
      </c>
      <c r="BX62" s="24">
        <v>-700</v>
      </c>
      <c r="BY62" s="24">
        <v>-700</v>
      </c>
    </row>
    <row r="63" spans="1:77" ht="14.65" thickBot="1" x14ac:dyDescent="0.5">
      <c r="A63" s="75"/>
      <c r="B63" s="76"/>
      <c r="C63" s="76"/>
      <c r="D63" s="77" t="s">
        <v>355</v>
      </c>
      <c r="AG63" s="24">
        <v>100</v>
      </c>
      <c r="AH63" s="24">
        <v>100</v>
      </c>
      <c r="AI63" s="24">
        <v>100</v>
      </c>
      <c r="AJ63" s="24">
        <v>100</v>
      </c>
      <c r="AK63" s="24">
        <v>100</v>
      </c>
      <c r="AL63" s="24">
        <v>100</v>
      </c>
      <c r="AM63" s="24">
        <v>100</v>
      </c>
      <c r="AN63" s="24">
        <v>100</v>
      </c>
      <c r="AO63" s="24">
        <v>100</v>
      </c>
      <c r="AP63" s="24">
        <v>100</v>
      </c>
      <c r="AQ63" s="24">
        <v>100</v>
      </c>
      <c r="AR63" s="24">
        <v>100</v>
      </c>
      <c r="AS63" s="24">
        <v>100</v>
      </c>
      <c r="AT63" s="24">
        <v>100</v>
      </c>
      <c r="AU63" s="24">
        <v>100</v>
      </c>
      <c r="AV63" s="24">
        <v>100</v>
      </c>
      <c r="AW63" s="24">
        <v>100</v>
      </c>
      <c r="AX63" s="24">
        <v>100</v>
      </c>
      <c r="AY63" s="24">
        <v>100</v>
      </c>
      <c r="AZ63" s="24">
        <v>100</v>
      </c>
      <c r="BA63" s="24">
        <v>100</v>
      </c>
      <c r="BB63" s="24">
        <v>100</v>
      </c>
      <c r="BC63" s="24">
        <v>100</v>
      </c>
      <c r="BD63" s="24">
        <v>100</v>
      </c>
      <c r="BE63" s="24">
        <v>100</v>
      </c>
      <c r="BF63" s="24">
        <v>100</v>
      </c>
      <c r="BG63" s="24">
        <v>100</v>
      </c>
      <c r="BH63" s="24">
        <v>100</v>
      </c>
      <c r="BI63" s="24">
        <v>100</v>
      </c>
      <c r="BJ63" s="24">
        <v>100</v>
      </c>
      <c r="BK63" s="24">
        <v>100</v>
      </c>
      <c r="BL63" s="24">
        <v>100</v>
      </c>
      <c r="BM63" s="24">
        <v>100</v>
      </c>
      <c r="BN63" s="24">
        <v>100</v>
      </c>
      <c r="BO63" s="24">
        <v>100</v>
      </c>
      <c r="BP63" s="24">
        <v>100</v>
      </c>
      <c r="BQ63" s="24">
        <v>100</v>
      </c>
      <c r="BR63" s="24">
        <v>100</v>
      </c>
      <c r="BS63" s="24">
        <v>100</v>
      </c>
      <c r="BT63" s="24">
        <v>100</v>
      </c>
      <c r="BU63" s="24">
        <v>100</v>
      </c>
      <c r="BV63" s="24">
        <v>100</v>
      </c>
      <c r="BW63" s="24">
        <v>100</v>
      </c>
      <c r="BX63" s="24">
        <v>100</v>
      </c>
      <c r="BY63" s="24">
        <v>100</v>
      </c>
    </row>
    <row r="64" spans="1:77" ht="14.65" thickBot="1" x14ac:dyDescent="0.5">
      <c r="A64" s="75"/>
      <c r="B64" s="81"/>
      <c r="C64" s="76"/>
      <c r="D64" s="77" t="s">
        <v>303</v>
      </c>
    </row>
    <row r="65" spans="1:77" x14ac:dyDescent="0.45">
      <c r="A65" s="75"/>
      <c r="B65" s="75"/>
      <c r="C65" s="76"/>
      <c r="D65" s="77" t="s">
        <v>366</v>
      </c>
      <c r="AG65" s="24">
        <f>-200*AG8</f>
        <v>-1000</v>
      </c>
      <c r="AH65" s="24">
        <f t="shared" ref="AH65:AO65" si="254">-200*AH8</f>
        <v>-1000</v>
      </c>
      <c r="AI65" s="24">
        <f t="shared" si="254"/>
        <v>-1000</v>
      </c>
      <c r="AJ65" s="24">
        <f t="shared" si="254"/>
        <v>-1000</v>
      </c>
      <c r="AK65" s="24">
        <f t="shared" si="254"/>
        <v>-1000</v>
      </c>
      <c r="AL65" s="24">
        <f t="shared" si="254"/>
        <v>-1000</v>
      </c>
      <c r="AM65" s="24">
        <f t="shared" si="254"/>
        <v>-1000</v>
      </c>
      <c r="AN65" s="24">
        <f t="shared" si="254"/>
        <v>-1000</v>
      </c>
      <c r="AO65" s="24">
        <f t="shared" si="254"/>
        <v>-1000</v>
      </c>
      <c r="AP65" s="24">
        <f t="shared" ref="AP65:AQ65" si="255">-200*AP8</f>
        <v>-1000</v>
      </c>
      <c r="AQ65" s="24">
        <f t="shared" si="255"/>
        <v>-1000</v>
      </c>
      <c r="AR65" s="24">
        <f t="shared" ref="AR65:AS65" si="256">-200*AR8</f>
        <v>-1000</v>
      </c>
      <c r="AS65" s="24">
        <f t="shared" si="256"/>
        <v>-1000</v>
      </c>
      <c r="AT65" s="24">
        <f t="shared" ref="AT65:BY65" si="257">-200*AT8</f>
        <v>-1000</v>
      </c>
      <c r="AU65" s="24">
        <f t="shared" si="257"/>
        <v>-1000</v>
      </c>
      <c r="AV65" s="24">
        <f t="shared" si="257"/>
        <v>-1000</v>
      </c>
      <c r="AW65" s="24">
        <f t="shared" si="257"/>
        <v>-1000</v>
      </c>
      <c r="AX65" s="24">
        <f t="shared" si="257"/>
        <v>-1000</v>
      </c>
      <c r="AY65" s="24">
        <f t="shared" si="257"/>
        <v>-1000</v>
      </c>
      <c r="AZ65" s="24">
        <f t="shared" si="257"/>
        <v>-1000</v>
      </c>
      <c r="BA65" s="24">
        <f t="shared" si="257"/>
        <v>-1000</v>
      </c>
      <c r="BB65" s="24">
        <f t="shared" si="257"/>
        <v>-1000</v>
      </c>
      <c r="BC65" s="24">
        <f t="shared" si="257"/>
        <v>-1000</v>
      </c>
      <c r="BD65" s="24">
        <f t="shared" si="257"/>
        <v>-1000</v>
      </c>
      <c r="BE65" s="24">
        <f t="shared" si="257"/>
        <v>-1000</v>
      </c>
      <c r="BF65" s="24">
        <f t="shared" si="257"/>
        <v>-1000</v>
      </c>
      <c r="BG65" s="24">
        <f t="shared" si="257"/>
        <v>-1000</v>
      </c>
      <c r="BH65" s="24">
        <f t="shared" si="257"/>
        <v>-1000</v>
      </c>
      <c r="BI65" s="24">
        <f t="shared" si="257"/>
        <v>-1000</v>
      </c>
      <c r="BJ65" s="24">
        <f t="shared" si="257"/>
        <v>-1000</v>
      </c>
      <c r="BK65" s="24">
        <f t="shared" si="257"/>
        <v>-1000</v>
      </c>
      <c r="BL65" s="24">
        <f t="shared" si="257"/>
        <v>-1000</v>
      </c>
      <c r="BM65" s="24">
        <f t="shared" si="257"/>
        <v>-1000</v>
      </c>
      <c r="BN65" s="24">
        <f t="shared" si="257"/>
        <v>-1000</v>
      </c>
      <c r="BO65" s="24">
        <f t="shared" si="257"/>
        <v>-1000</v>
      </c>
      <c r="BP65" s="24">
        <f t="shared" si="257"/>
        <v>-1000</v>
      </c>
      <c r="BQ65" s="24">
        <f t="shared" si="257"/>
        <v>-1000</v>
      </c>
      <c r="BR65" s="24">
        <f t="shared" si="257"/>
        <v>-1000</v>
      </c>
      <c r="BS65" s="24">
        <f t="shared" si="257"/>
        <v>-1000</v>
      </c>
      <c r="BT65" s="24">
        <f t="shared" si="257"/>
        <v>-1000</v>
      </c>
      <c r="BU65" s="24">
        <f t="shared" si="257"/>
        <v>-1000</v>
      </c>
      <c r="BV65" s="24">
        <f t="shared" si="257"/>
        <v>-1000</v>
      </c>
      <c r="BW65" s="24">
        <f t="shared" si="257"/>
        <v>-1000</v>
      </c>
      <c r="BX65" s="24">
        <f t="shared" si="257"/>
        <v>-1000</v>
      </c>
      <c r="BY65" s="24">
        <f t="shared" si="257"/>
        <v>-1000</v>
      </c>
    </row>
    <row r="66" spans="1:77" x14ac:dyDescent="0.45">
      <c r="A66" s="75"/>
      <c r="B66" s="75"/>
      <c r="C66" s="76"/>
      <c r="D66" s="77" t="s">
        <v>354</v>
      </c>
      <c r="AG66" s="24">
        <f>-1.1*AG65</f>
        <v>1100</v>
      </c>
      <c r="AH66" s="24">
        <f t="shared" ref="AH66:AO66" si="258">-1.1*AH65</f>
        <v>1100</v>
      </c>
      <c r="AI66" s="24">
        <f t="shared" si="258"/>
        <v>1100</v>
      </c>
      <c r="AJ66" s="24">
        <f t="shared" si="258"/>
        <v>1100</v>
      </c>
      <c r="AK66" s="24">
        <f t="shared" si="258"/>
        <v>1100</v>
      </c>
      <c r="AL66" s="24">
        <f t="shared" si="258"/>
        <v>1100</v>
      </c>
      <c r="AM66" s="24">
        <f t="shared" si="258"/>
        <v>1100</v>
      </c>
      <c r="AN66" s="24">
        <f t="shared" si="258"/>
        <v>1100</v>
      </c>
      <c r="AO66" s="24">
        <f t="shared" si="258"/>
        <v>1100</v>
      </c>
      <c r="AP66" s="24">
        <f t="shared" ref="AP66:AQ66" si="259">-1.1*AP65</f>
        <v>1100</v>
      </c>
      <c r="AQ66" s="24">
        <f t="shared" si="259"/>
        <v>1100</v>
      </c>
      <c r="AR66" s="24">
        <f t="shared" ref="AR66:AS66" si="260">-1.1*AR65</f>
        <v>1100</v>
      </c>
      <c r="AS66" s="24">
        <f t="shared" si="260"/>
        <v>1100</v>
      </c>
      <c r="AT66" s="24">
        <f t="shared" ref="AT66:BY66" si="261">-1.1*AT65</f>
        <v>1100</v>
      </c>
      <c r="AU66" s="24">
        <f t="shared" si="261"/>
        <v>1100</v>
      </c>
      <c r="AV66" s="24">
        <f t="shared" si="261"/>
        <v>1100</v>
      </c>
      <c r="AW66" s="24">
        <f t="shared" si="261"/>
        <v>1100</v>
      </c>
      <c r="AX66" s="24">
        <f t="shared" si="261"/>
        <v>1100</v>
      </c>
      <c r="AY66" s="24">
        <f t="shared" si="261"/>
        <v>1100</v>
      </c>
      <c r="AZ66" s="24">
        <f t="shared" si="261"/>
        <v>1100</v>
      </c>
      <c r="BA66" s="24">
        <f t="shared" si="261"/>
        <v>1100</v>
      </c>
      <c r="BB66" s="24">
        <f t="shared" si="261"/>
        <v>1100</v>
      </c>
      <c r="BC66" s="24">
        <f t="shared" si="261"/>
        <v>1100</v>
      </c>
      <c r="BD66" s="24">
        <f t="shared" si="261"/>
        <v>1100</v>
      </c>
      <c r="BE66" s="24">
        <f t="shared" si="261"/>
        <v>1100</v>
      </c>
      <c r="BF66" s="24">
        <f t="shared" si="261"/>
        <v>1100</v>
      </c>
      <c r="BG66" s="24">
        <f t="shared" si="261"/>
        <v>1100</v>
      </c>
      <c r="BH66" s="24">
        <f t="shared" si="261"/>
        <v>1100</v>
      </c>
      <c r="BI66" s="24">
        <f t="shared" si="261"/>
        <v>1100</v>
      </c>
      <c r="BJ66" s="24">
        <f t="shared" si="261"/>
        <v>1100</v>
      </c>
      <c r="BK66" s="24">
        <f t="shared" si="261"/>
        <v>1100</v>
      </c>
      <c r="BL66" s="24">
        <f t="shared" si="261"/>
        <v>1100</v>
      </c>
      <c r="BM66" s="24">
        <f t="shared" si="261"/>
        <v>1100</v>
      </c>
      <c r="BN66" s="24">
        <f t="shared" si="261"/>
        <v>1100</v>
      </c>
      <c r="BO66" s="24">
        <f t="shared" si="261"/>
        <v>1100</v>
      </c>
      <c r="BP66" s="24">
        <f t="shared" si="261"/>
        <v>1100</v>
      </c>
      <c r="BQ66" s="24">
        <f t="shared" si="261"/>
        <v>1100</v>
      </c>
      <c r="BR66" s="24">
        <f t="shared" si="261"/>
        <v>1100</v>
      </c>
      <c r="BS66" s="24">
        <f t="shared" si="261"/>
        <v>1100</v>
      </c>
      <c r="BT66" s="24">
        <f t="shared" si="261"/>
        <v>1100</v>
      </c>
      <c r="BU66" s="24">
        <f t="shared" si="261"/>
        <v>1100</v>
      </c>
      <c r="BV66" s="24">
        <f t="shared" si="261"/>
        <v>1100</v>
      </c>
      <c r="BW66" s="24">
        <f t="shared" si="261"/>
        <v>1100</v>
      </c>
      <c r="BX66" s="24">
        <f t="shared" si="261"/>
        <v>1100</v>
      </c>
      <c r="BY66" s="24">
        <f t="shared" si="261"/>
        <v>1100</v>
      </c>
    </row>
    <row r="67" spans="1:77" x14ac:dyDescent="0.45">
      <c r="AL67" s="24" t="s">
        <v>353</v>
      </c>
      <c r="AM67" s="24" t="s">
        <v>406</v>
      </c>
    </row>
    <row r="69" spans="1:77" s="116" customFormat="1" x14ac:dyDescent="0.45">
      <c r="A69" s="126"/>
      <c r="B69" s="126"/>
      <c r="C69" s="127"/>
      <c r="D69" s="128" t="s">
        <v>328</v>
      </c>
      <c r="F69" s="116">
        <f>-SUMIF(F19:F54, "&gt;=0")*$C$100</f>
        <v>-21.599999999999998</v>
      </c>
      <c r="G69" s="116">
        <f t="shared" ref="G69:AI69" si="262">-SUMIF(G19:G54, "&gt;=0")*$C$100</f>
        <v>-21.599999999999998</v>
      </c>
      <c r="H69" s="116">
        <f t="shared" si="262"/>
        <v>-21.599999999999998</v>
      </c>
      <c r="I69" s="116">
        <f t="shared" si="262"/>
        <v>-29.7</v>
      </c>
      <c r="J69" s="116">
        <f t="shared" si="262"/>
        <v>-29.7</v>
      </c>
      <c r="K69" s="116">
        <f t="shared" si="262"/>
        <v>-29.7</v>
      </c>
      <c r="L69" s="116">
        <f t="shared" si="262"/>
        <v>-49.5</v>
      </c>
      <c r="M69" s="116">
        <f t="shared" si="262"/>
        <v>-49.5</v>
      </c>
      <c r="N69" s="116">
        <f t="shared" si="262"/>
        <v>-49.5</v>
      </c>
      <c r="O69" s="116">
        <f t="shared" si="262"/>
        <v>-69.3</v>
      </c>
      <c r="P69" s="116">
        <f t="shared" si="262"/>
        <v>-69.3</v>
      </c>
      <c r="Q69" s="116">
        <f t="shared" si="262"/>
        <v>-69.3</v>
      </c>
      <c r="R69" s="116">
        <f t="shared" si="262"/>
        <v>-69.3</v>
      </c>
      <c r="S69" s="116">
        <f t="shared" si="262"/>
        <v>-69.3</v>
      </c>
      <c r="T69" s="116">
        <f t="shared" si="262"/>
        <v>-69.3</v>
      </c>
      <c r="U69" s="116">
        <f t="shared" si="262"/>
        <v>-75.3</v>
      </c>
      <c r="V69" s="116">
        <f t="shared" si="262"/>
        <v>-75.3</v>
      </c>
      <c r="W69" s="116">
        <f t="shared" si="262"/>
        <v>-75.3</v>
      </c>
      <c r="X69" s="116">
        <f t="shared" si="262"/>
        <v>-75.3</v>
      </c>
      <c r="Y69" s="116">
        <f t="shared" si="262"/>
        <v>-75.3</v>
      </c>
      <c r="Z69" s="116">
        <f t="shared" si="262"/>
        <v>-75.3</v>
      </c>
      <c r="AA69" s="116">
        <f t="shared" si="262"/>
        <v>-126.53999999999999</v>
      </c>
      <c r="AB69" s="116">
        <f t="shared" si="262"/>
        <v>-126.53999999999999</v>
      </c>
      <c r="AC69" s="116">
        <f t="shared" si="262"/>
        <v>-126.53999999999999</v>
      </c>
      <c r="AD69" s="116">
        <f t="shared" si="262"/>
        <v>-126.53999999999999</v>
      </c>
      <c r="AE69" s="116">
        <f t="shared" si="262"/>
        <v>-126.53999999999999</v>
      </c>
      <c r="AF69" s="116">
        <f t="shared" si="262"/>
        <v>-126.53999999999999</v>
      </c>
      <c r="AG69" s="116">
        <f t="shared" si="262"/>
        <v>-126.53999999999999</v>
      </c>
      <c r="AH69" s="116">
        <f t="shared" si="262"/>
        <v>-126.53999999999999</v>
      </c>
      <c r="AI69" s="116">
        <f t="shared" si="262"/>
        <v>-126.53999999999999</v>
      </c>
      <c r="AJ69" s="116">
        <f t="shared" ref="AJ69:AL69" si="263">-SUMIF(AJ19:AJ54, "&gt;=0")*$C$100</f>
        <v>-126.53999999999999</v>
      </c>
      <c r="AK69" s="116">
        <f t="shared" si="263"/>
        <v>-126.53999999999999</v>
      </c>
      <c r="AL69" s="116">
        <f t="shared" si="263"/>
        <v>-126.53999999999999</v>
      </c>
      <c r="AM69" s="116">
        <f t="shared" ref="AM69:AO69" si="264">-SUMIF(AM19:AM54, "&gt;=0")*$C$100</f>
        <v>-126.53999999999999</v>
      </c>
      <c r="AN69" s="116">
        <f t="shared" si="264"/>
        <v>-126.53999999999999</v>
      </c>
      <c r="AO69" s="116">
        <f t="shared" si="264"/>
        <v>-126.53999999999999</v>
      </c>
      <c r="AP69" s="116">
        <f t="shared" ref="AP69:AQ69" si="265">-SUMIF(AP19:AP54, "&gt;=0")*$C$100</f>
        <v>-126.53999999999999</v>
      </c>
      <c r="AQ69" s="116">
        <f t="shared" si="265"/>
        <v>-126.53999999999999</v>
      </c>
      <c r="AR69" s="116">
        <f t="shared" ref="AR69:AS69" si="266">-SUMIF(AR19:AR54, "&gt;=0")*$C$100</f>
        <v>-126.53999999999999</v>
      </c>
      <c r="AS69" s="116">
        <f t="shared" si="266"/>
        <v>-126.53999999999999</v>
      </c>
      <c r="AT69" s="116">
        <f t="shared" ref="AT69:BY69" si="267">-SUMIF(AT19:AT54, "&gt;=0")*$C$100</f>
        <v>-126.53999999999999</v>
      </c>
      <c r="AU69" s="116">
        <f t="shared" si="267"/>
        <v>-126.53999999999999</v>
      </c>
      <c r="AV69" s="116">
        <f t="shared" si="267"/>
        <v>-126.53999999999999</v>
      </c>
      <c r="AW69" s="116">
        <f t="shared" si="267"/>
        <v>-126.53999999999999</v>
      </c>
      <c r="AX69" s="116">
        <f t="shared" si="267"/>
        <v>-126.53999999999999</v>
      </c>
      <c r="AY69" s="116">
        <f t="shared" si="267"/>
        <v>-126.53999999999999</v>
      </c>
      <c r="AZ69" s="116">
        <f t="shared" si="267"/>
        <v>-126.53999999999999</v>
      </c>
      <c r="BA69" s="116">
        <f t="shared" si="267"/>
        <v>-126.53999999999999</v>
      </c>
      <c r="BB69" s="116">
        <f t="shared" si="267"/>
        <v>-126.53999999999999</v>
      </c>
      <c r="BC69" s="116">
        <f t="shared" si="267"/>
        <v>-126.53999999999999</v>
      </c>
      <c r="BD69" s="116">
        <f t="shared" si="267"/>
        <v>-126.53999999999999</v>
      </c>
      <c r="BE69" s="116">
        <f t="shared" si="267"/>
        <v>-126.53999999999999</v>
      </c>
      <c r="BF69" s="116">
        <f t="shared" si="267"/>
        <v>-126.53999999999999</v>
      </c>
      <c r="BG69" s="116">
        <f t="shared" si="267"/>
        <v>-126.53999999999999</v>
      </c>
      <c r="BH69" s="116">
        <f t="shared" si="267"/>
        <v>-126.53999999999999</v>
      </c>
      <c r="BI69" s="116">
        <f t="shared" si="267"/>
        <v>-126.53999999999999</v>
      </c>
      <c r="BJ69" s="116">
        <f t="shared" si="267"/>
        <v>-126.53999999999999</v>
      </c>
      <c r="BK69" s="116">
        <f t="shared" si="267"/>
        <v>-126.53999999999999</v>
      </c>
      <c r="BL69" s="116">
        <f t="shared" si="267"/>
        <v>-126.53999999999999</v>
      </c>
      <c r="BM69" s="116">
        <f t="shared" si="267"/>
        <v>-126.53999999999999</v>
      </c>
      <c r="BN69" s="116">
        <f t="shared" si="267"/>
        <v>-126.53999999999999</v>
      </c>
      <c r="BO69" s="116">
        <f t="shared" si="267"/>
        <v>-126.53999999999999</v>
      </c>
      <c r="BP69" s="116">
        <f t="shared" si="267"/>
        <v>-126.53999999999999</v>
      </c>
      <c r="BQ69" s="116">
        <f t="shared" si="267"/>
        <v>-126.53999999999999</v>
      </c>
      <c r="BR69" s="116">
        <f t="shared" si="267"/>
        <v>-126.53999999999999</v>
      </c>
      <c r="BS69" s="116">
        <f t="shared" si="267"/>
        <v>-126.53999999999999</v>
      </c>
      <c r="BT69" s="116">
        <f t="shared" si="267"/>
        <v>-126.53999999999999</v>
      </c>
      <c r="BU69" s="116">
        <f t="shared" si="267"/>
        <v>-126.53999999999999</v>
      </c>
      <c r="BV69" s="116">
        <f t="shared" si="267"/>
        <v>-126.53999999999999</v>
      </c>
      <c r="BW69" s="116">
        <f t="shared" si="267"/>
        <v>-126.53999999999999</v>
      </c>
      <c r="BX69" s="116">
        <f t="shared" si="267"/>
        <v>-126.53999999999999</v>
      </c>
      <c r="BY69" s="116">
        <f t="shared" si="267"/>
        <v>-126.53999999999999</v>
      </c>
    </row>
    <row r="70" spans="1:77" x14ac:dyDescent="0.45">
      <c r="D70" s="117"/>
      <c r="AG70" s="24">
        <f t="shared" ref="AG70:AI70" si="268">$AG$74*$C$100/3</f>
        <v>-100</v>
      </c>
      <c r="AH70" s="24">
        <f t="shared" si="268"/>
        <v>-100</v>
      </c>
      <c r="AI70" s="24">
        <f t="shared" si="268"/>
        <v>-100</v>
      </c>
      <c r="AJ70" s="24">
        <f t="shared" ref="AJ70:BY70" si="269">$AG$74*$C$100/3</f>
        <v>-100</v>
      </c>
      <c r="AK70" s="24">
        <f t="shared" si="269"/>
        <v>-100</v>
      </c>
      <c r="AL70" s="24">
        <f t="shared" si="269"/>
        <v>-100</v>
      </c>
      <c r="AM70" s="24">
        <f t="shared" si="269"/>
        <v>-100</v>
      </c>
      <c r="AN70" s="24">
        <f t="shared" si="269"/>
        <v>-100</v>
      </c>
      <c r="AO70" s="24">
        <f t="shared" si="269"/>
        <v>-100</v>
      </c>
      <c r="AP70" s="24">
        <f t="shared" si="269"/>
        <v>-100</v>
      </c>
      <c r="AQ70" s="24">
        <f t="shared" si="269"/>
        <v>-100</v>
      </c>
      <c r="AR70" s="24">
        <f t="shared" si="269"/>
        <v>-100</v>
      </c>
      <c r="AS70" s="24">
        <f t="shared" si="269"/>
        <v>-100</v>
      </c>
      <c r="AT70" s="24">
        <f t="shared" si="269"/>
        <v>-100</v>
      </c>
      <c r="AU70" s="24">
        <f t="shared" si="269"/>
        <v>-100</v>
      </c>
      <c r="AV70" s="24">
        <f t="shared" si="269"/>
        <v>-100</v>
      </c>
      <c r="AW70" s="24">
        <f t="shared" si="269"/>
        <v>-100</v>
      </c>
      <c r="AX70" s="24">
        <f t="shared" si="269"/>
        <v>-100</v>
      </c>
      <c r="AY70" s="24">
        <f t="shared" si="269"/>
        <v>-100</v>
      </c>
      <c r="AZ70" s="24">
        <f t="shared" si="269"/>
        <v>-100</v>
      </c>
      <c r="BA70" s="24">
        <f t="shared" si="269"/>
        <v>-100</v>
      </c>
      <c r="BB70" s="24">
        <f t="shared" si="269"/>
        <v>-100</v>
      </c>
      <c r="BC70" s="24">
        <f t="shared" si="269"/>
        <v>-100</v>
      </c>
      <c r="BD70" s="24">
        <f t="shared" si="269"/>
        <v>-100</v>
      </c>
      <c r="BE70" s="24">
        <f t="shared" si="269"/>
        <v>-100</v>
      </c>
      <c r="BF70" s="24">
        <f t="shared" si="269"/>
        <v>-100</v>
      </c>
      <c r="BG70" s="24">
        <f t="shared" si="269"/>
        <v>-100</v>
      </c>
      <c r="BH70" s="24">
        <f t="shared" si="269"/>
        <v>-100</v>
      </c>
      <c r="BI70" s="24">
        <f t="shared" si="269"/>
        <v>-100</v>
      </c>
      <c r="BJ70" s="24">
        <f t="shared" si="269"/>
        <v>-100</v>
      </c>
      <c r="BK70" s="24">
        <f t="shared" si="269"/>
        <v>-100</v>
      </c>
      <c r="BL70" s="24">
        <f t="shared" si="269"/>
        <v>-100</v>
      </c>
      <c r="BM70" s="24">
        <f t="shared" si="269"/>
        <v>-100</v>
      </c>
      <c r="BN70" s="24">
        <f t="shared" si="269"/>
        <v>-100</v>
      </c>
      <c r="BO70" s="24">
        <f t="shared" si="269"/>
        <v>-100</v>
      </c>
      <c r="BP70" s="24">
        <f t="shared" si="269"/>
        <v>-100</v>
      </c>
      <c r="BQ70" s="24">
        <f t="shared" si="269"/>
        <v>-100</v>
      </c>
      <c r="BR70" s="24">
        <f t="shared" si="269"/>
        <v>-100</v>
      </c>
      <c r="BS70" s="24">
        <f t="shared" si="269"/>
        <v>-100</v>
      </c>
      <c r="BT70" s="24">
        <f t="shared" si="269"/>
        <v>-100</v>
      </c>
      <c r="BU70" s="24">
        <f t="shared" si="269"/>
        <v>-100</v>
      </c>
      <c r="BV70" s="24">
        <f t="shared" si="269"/>
        <v>-100</v>
      </c>
      <c r="BW70" s="24">
        <f t="shared" si="269"/>
        <v>-100</v>
      </c>
      <c r="BX70" s="24">
        <f t="shared" si="269"/>
        <v>-100</v>
      </c>
      <c r="BY70" s="24">
        <f t="shared" si="269"/>
        <v>-100</v>
      </c>
    </row>
    <row r="73" spans="1:77" x14ac:dyDescent="0.45">
      <c r="AR73" s="24" t="s">
        <v>407</v>
      </c>
    </row>
    <row r="74" spans="1:77" x14ac:dyDescent="0.45">
      <c r="AF74" s="24" t="s">
        <v>351</v>
      </c>
      <c r="AG74" s="37">
        <v>-10000</v>
      </c>
      <c r="AI74" s="24" t="s">
        <v>244</v>
      </c>
      <c r="AJ74" s="24">
        <v>200</v>
      </c>
    </row>
    <row r="75" spans="1:77" ht="28.5" x14ac:dyDescent="0.45">
      <c r="E75" s="25" t="s">
        <v>119</v>
      </c>
      <c r="M75" s="24" t="s">
        <v>203</v>
      </c>
      <c r="R75" s="24" t="s">
        <v>222</v>
      </c>
      <c r="AF75" s="24" t="s">
        <v>352</v>
      </c>
      <c r="AG75" s="24">
        <v>-600</v>
      </c>
    </row>
    <row r="76" spans="1:77" x14ac:dyDescent="0.45">
      <c r="E76" s="24">
        <v>5000</v>
      </c>
      <c r="L76" s="24" t="s">
        <v>204</v>
      </c>
      <c r="R76" s="24">
        <v>-200</v>
      </c>
      <c r="AC76" s="24" t="s">
        <v>302</v>
      </c>
      <c r="AD76" s="24">
        <v>-5</v>
      </c>
    </row>
    <row r="77" spans="1:77" x14ac:dyDescent="0.45">
      <c r="L77" s="82">
        <v>-250</v>
      </c>
      <c r="AF77" s="115" t="s">
        <v>365</v>
      </c>
      <c r="AG77" s="24">
        <f>-(AG62+AG61+AG65)/2</f>
        <v>1350</v>
      </c>
      <c r="AH77" s="24">
        <f t="shared" ref="AH77:AL77" si="270">-(AH62+AH61+AH65)/2</f>
        <v>1350</v>
      </c>
      <c r="AI77" s="24">
        <f t="shared" si="270"/>
        <v>1350</v>
      </c>
      <c r="AJ77" s="24">
        <f t="shared" si="270"/>
        <v>1350</v>
      </c>
      <c r="AK77" s="24">
        <f t="shared" si="270"/>
        <v>1350</v>
      </c>
      <c r="AL77" s="24">
        <f t="shared" si="270"/>
        <v>1350</v>
      </c>
    </row>
    <row r="78" spans="1:77" x14ac:dyDescent="0.45">
      <c r="AC78" s="24" t="s">
        <v>341</v>
      </c>
      <c r="AD78" s="24">
        <f>-1200/30*2</f>
        <v>-80</v>
      </c>
    </row>
    <row r="80" spans="1:77" x14ac:dyDescent="0.45">
      <c r="K80" s="24" t="s">
        <v>198</v>
      </c>
      <c r="L80" s="24" t="s">
        <v>202</v>
      </c>
      <c r="X80" s="24" t="s">
        <v>202</v>
      </c>
    </row>
    <row r="81" spans="1:24" x14ac:dyDescent="0.45">
      <c r="K81" s="24">
        <v>185</v>
      </c>
      <c r="L81" s="24">
        <v>5000</v>
      </c>
      <c r="X81" s="24">
        <v>-5300</v>
      </c>
    </row>
    <row r="82" spans="1:24" s="27" customFormat="1" x14ac:dyDescent="0.45">
      <c r="A82" s="58"/>
      <c r="B82" s="58"/>
      <c r="C82" s="66"/>
      <c r="D82" s="61"/>
    </row>
    <row r="84" spans="1:24" x14ac:dyDescent="0.45">
      <c r="C84" s="23">
        <v>450</v>
      </c>
      <c r="D84" s="23" t="s">
        <v>255</v>
      </c>
    </row>
    <row r="85" spans="1:24" x14ac:dyDescent="0.45">
      <c r="C85" s="23">
        <v>1100</v>
      </c>
      <c r="D85" s="23" t="s">
        <v>260</v>
      </c>
    </row>
    <row r="86" spans="1:24" x14ac:dyDescent="0.45">
      <c r="C86" s="23">
        <v>600</v>
      </c>
      <c r="D86" s="23" t="s">
        <v>262</v>
      </c>
    </row>
    <row r="87" spans="1:24" x14ac:dyDescent="0.45">
      <c r="C87" s="23">
        <v>700</v>
      </c>
    </row>
    <row r="88" spans="1:24" x14ac:dyDescent="0.45">
      <c r="C88" s="35">
        <v>0.6</v>
      </c>
      <c r="D88" s="23" t="s">
        <v>258</v>
      </c>
    </row>
    <row r="89" spans="1:24" x14ac:dyDescent="0.45">
      <c r="C89" s="35">
        <v>0.6</v>
      </c>
      <c r="D89" s="23" t="s">
        <v>225</v>
      </c>
    </row>
    <row r="90" spans="1:24" x14ac:dyDescent="0.45">
      <c r="C90" s="23">
        <v>120</v>
      </c>
      <c r="D90" s="23" t="s">
        <v>141</v>
      </c>
    </row>
    <row r="91" spans="1:24" x14ac:dyDescent="0.45">
      <c r="C91" s="23">
        <v>200</v>
      </c>
      <c r="D91" s="23" t="s">
        <v>223</v>
      </c>
    </row>
    <row r="92" spans="1:24" x14ac:dyDescent="0.45">
      <c r="C92" s="23">
        <v>25</v>
      </c>
      <c r="D92" s="23" t="s">
        <v>157</v>
      </c>
    </row>
    <row r="93" spans="1:24" x14ac:dyDescent="0.45">
      <c r="C93" s="23">
        <v>320</v>
      </c>
      <c r="D93" s="23" t="s">
        <v>226</v>
      </c>
    </row>
    <row r="94" spans="1:24" x14ac:dyDescent="0.45">
      <c r="C94" s="23">
        <v>350</v>
      </c>
      <c r="D94" s="23" t="s">
        <v>259</v>
      </c>
    </row>
    <row r="95" spans="1:24" x14ac:dyDescent="0.45">
      <c r="C95" s="23">
        <v>100</v>
      </c>
      <c r="D95" s="23" t="s">
        <v>261</v>
      </c>
    </row>
    <row r="97" spans="3:4" x14ac:dyDescent="0.45">
      <c r="C97" s="35">
        <v>0.2</v>
      </c>
      <c r="D97" s="23" t="s">
        <v>299</v>
      </c>
    </row>
    <row r="98" spans="3:4" x14ac:dyDescent="0.45">
      <c r="C98" s="35">
        <v>0.04</v>
      </c>
      <c r="D98" s="23" t="s">
        <v>300</v>
      </c>
    </row>
    <row r="100" spans="3:4" x14ac:dyDescent="0.45">
      <c r="C100" s="35">
        <v>0.03</v>
      </c>
      <c r="D100" s="23" t="s">
        <v>288</v>
      </c>
    </row>
    <row r="102" spans="3:4" x14ac:dyDescent="0.45">
      <c r="D102" s="125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677-6511-4D3E-B7CE-86D18F0ED0F5}">
  <dimension ref="A1:CC87"/>
  <sheetViews>
    <sheetView tabSelected="1" topLeftCell="A6" workbookViewId="0">
      <selection activeCell="K20" sqref="K20"/>
    </sheetView>
  </sheetViews>
  <sheetFormatPr defaultColWidth="8.46484375" defaultRowHeight="14.25" x14ac:dyDescent="0.45"/>
  <cols>
    <col min="1" max="6" width="8.46484375" style="6"/>
    <col min="7" max="7" width="8.46484375" style="83"/>
    <col min="8" max="16384" width="8.46484375" style="6"/>
  </cols>
  <sheetData>
    <row r="1" spans="1:81" s="114" customFormat="1" x14ac:dyDescent="0.45">
      <c r="B1" s="114">
        <v>1</v>
      </c>
      <c r="C1" s="114">
        <f>B1+1</f>
        <v>2</v>
      </c>
      <c r="D1" s="114">
        <f t="shared" ref="D1:E1" si="0">C1+1</f>
        <v>3</v>
      </c>
      <c r="E1" s="114">
        <f t="shared" si="0"/>
        <v>4</v>
      </c>
      <c r="F1" s="114">
        <f t="shared" ref="F1:K1" si="1">E1+1</f>
        <v>5</v>
      </c>
      <c r="G1" s="114">
        <f>F1+1</f>
        <v>6</v>
      </c>
      <c r="H1" s="114">
        <f t="shared" si="1"/>
        <v>7</v>
      </c>
      <c r="I1" s="114">
        <f t="shared" si="1"/>
        <v>8</v>
      </c>
      <c r="J1" s="114">
        <f t="shared" si="1"/>
        <v>9</v>
      </c>
      <c r="K1" s="114">
        <f t="shared" si="1"/>
        <v>10</v>
      </c>
      <c r="L1" s="114">
        <f t="shared" ref="L1" si="2">K1+1</f>
        <v>11</v>
      </c>
      <c r="M1" s="114">
        <f t="shared" ref="M1" si="3">L1+1</f>
        <v>12</v>
      </c>
      <c r="N1" s="114">
        <f t="shared" ref="N1" si="4">M1+1</f>
        <v>13</v>
      </c>
      <c r="O1" s="114">
        <f t="shared" ref="O1" si="5">N1+1</f>
        <v>14</v>
      </c>
      <c r="P1" s="114">
        <f t="shared" ref="P1" si="6">O1+1</f>
        <v>15</v>
      </c>
      <c r="Q1" s="114">
        <f t="shared" ref="Q1" si="7">P1+1</f>
        <v>16</v>
      </c>
      <c r="R1" s="114">
        <f t="shared" ref="R1" si="8">Q1+1</f>
        <v>17</v>
      </c>
      <c r="S1" s="114">
        <f t="shared" ref="S1" si="9">R1+1</f>
        <v>18</v>
      </c>
      <c r="T1" s="114">
        <f t="shared" ref="T1" si="10">S1+1</f>
        <v>19</v>
      </c>
      <c r="U1" s="114">
        <f t="shared" ref="U1" si="11">T1+1</f>
        <v>20</v>
      </c>
      <c r="V1" s="114">
        <f t="shared" ref="V1" si="12">U1+1</f>
        <v>21</v>
      </c>
      <c r="W1" s="114">
        <f t="shared" ref="W1" si="13">V1+1</f>
        <v>22</v>
      </c>
      <c r="X1" s="114">
        <f t="shared" ref="X1" si="14">W1+1</f>
        <v>23</v>
      </c>
      <c r="Y1" s="114">
        <f t="shared" ref="Y1" si="15">X1+1</f>
        <v>24</v>
      </c>
      <c r="Z1" s="114">
        <f t="shared" ref="Z1" si="16">Y1+1</f>
        <v>25</v>
      </c>
      <c r="AA1" s="114">
        <f t="shared" ref="AA1" si="17">Z1+1</f>
        <v>26</v>
      </c>
      <c r="AB1" s="114">
        <f t="shared" ref="AB1:AC1" si="18">AA1+1</f>
        <v>27</v>
      </c>
      <c r="AC1" s="114">
        <f t="shared" si="18"/>
        <v>28</v>
      </c>
      <c r="AD1" s="114">
        <f t="shared" ref="AD1" si="19">AC1+1</f>
        <v>29</v>
      </c>
      <c r="AE1" s="114">
        <f t="shared" ref="AE1" si="20">AD1+1</f>
        <v>30</v>
      </c>
      <c r="AF1" s="114">
        <f t="shared" ref="AF1" si="21">AE1+1</f>
        <v>31</v>
      </c>
      <c r="AG1" s="114">
        <f t="shared" ref="AG1" si="22">AF1+1</f>
        <v>32</v>
      </c>
      <c r="AH1" s="114">
        <f t="shared" ref="AH1" si="23">AG1+1</f>
        <v>33</v>
      </c>
      <c r="AI1" s="114">
        <f t="shared" ref="AI1" si="24">AH1+1</f>
        <v>34</v>
      </c>
      <c r="AJ1" s="114">
        <f t="shared" ref="AJ1" si="25">AI1+1</f>
        <v>35</v>
      </c>
      <c r="AK1" s="114">
        <f t="shared" ref="AK1" si="26">AJ1+1</f>
        <v>36</v>
      </c>
      <c r="AL1" s="114">
        <f t="shared" ref="AL1" si="27">AK1+1</f>
        <v>37</v>
      </c>
      <c r="AM1" s="114">
        <f t="shared" ref="AM1" si="28">AL1+1</f>
        <v>38</v>
      </c>
      <c r="AN1" s="114">
        <f t="shared" ref="AN1" si="29">AM1+1</f>
        <v>39</v>
      </c>
      <c r="AO1" s="114">
        <f t="shared" ref="AO1" si="30">AN1+1</f>
        <v>40</v>
      </c>
      <c r="AP1" s="114">
        <f t="shared" ref="AP1" si="31">AO1+1</f>
        <v>41</v>
      </c>
      <c r="AQ1" s="114">
        <f t="shared" ref="AQ1" si="32">AP1+1</f>
        <v>42</v>
      </c>
      <c r="AR1" s="114">
        <f t="shared" ref="AR1" si="33">AQ1+1</f>
        <v>43</v>
      </c>
      <c r="AS1" s="114">
        <f t="shared" ref="AS1" si="34">AR1+1</f>
        <v>44</v>
      </c>
      <c r="AT1" s="114">
        <f t="shared" ref="AT1" si="35">AS1+1</f>
        <v>45</v>
      </c>
      <c r="AU1" s="114">
        <f t="shared" ref="AU1" si="36">AT1+1</f>
        <v>46</v>
      </c>
      <c r="AV1" s="114">
        <f t="shared" ref="AV1" si="37">AU1+1</f>
        <v>47</v>
      </c>
      <c r="AW1" s="114">
        <f t="shared" ref="AW1" si="38">AV1+1</f>
        <v>48</v>
      </c>
      <c r="AX1" s="114">
        <f t="shared" ref="AX1" si="39">AW1+1</f>
        <v>49</v>
      </c>
      <c r="AY1" s="114">
        <f t="shared" ref="AY1" si="40">AX1+1</f>
        <v>50</v>
      </c>
      <c r="AZ1" s="114">
        <f t="shared" ref="AZ1" si="41">AY1+1</f>
        <v>51</v>
      </c>
      <c r="BA1" s="114">
        <f t="shared" ref="BA1" si="42">AZ1+1</f>
        <v>52</v>
      </c>
      <c r="BB1" s="114">
        <f t="shared" ref="BB1" si="43">BA1+1</f>
        <v>53</v>
      </c>
      <c r="BC1" s="114">
        <f t="shared" ref="BC1" si="44">BB1+1</f>
        <v>54</v>
      </c>
      <c r="BD1" s="114">
        <f t="shared" ref="BD1" si="45">BC1+1</f>
        <v>55</v>
      </c>
      <c r="BE1" s="114">
        <f t="shared" ref="BE1" si="46">BD1+1</f>
        <v>56</v>
      </c>
      <c r="BF1" s="114">
        <f t="shared" ref="BF1" si="47">BE1+1</f>
        <v>57</v>
      </c>
      <c r="BG1" s="114">
        <f t="shared" ref="BG1" si="48">BF1+1</f>
        <v>58</v>
      </c>
      <c r="BH1" s="114">
        <f t="shared" ref="BH1" si="49">BG1+1</f>
        <v>59</v>
      </c>
      <c r="BI1" s="114">
        <f t="shared" ref="BI1" si="50">BH1+1</f>
        <v>60</v>
      </c>
      <c r="BJ1" s="114">
        <f t="shared" ref="BJ1" si="51">BI1+1</f>
        <v>61</v>
      </c>
      <c r="BK1" s="114">
        <f t="shared" ref="BK1" si="52">BJ1+1</f>
        <v>62</v>
      </c>
      <c r="BL1" s="114">
        <f t="shared" ref="BL1" si="53">BK1+1</f>
        <v>63</v>
      </c>
      <c r="BM1" s="114">
        <f t="shared" ref="BM1" si="54">BL1+1</f>
        <v>64</v>
      </c>
      <c r="BN1" s="114">
        <f t="shared" ref="BN1" si="55">BM1+1</f>
        <v>65</v>
      </c>
      <c r="BO1" s="114">
        <f t="shared" ref="BO1" si="56">BN1+1</f>
        <v>66</v>
      </c>
      <c r="BP1" s="114">
        <f t="shared" ref="BP1" si="57">BO1+1</f>
        <v>67</v>
      </c>
      <c r="BQ1" s="114">
        <f t="shared" ref="BQ1" si="58">BP1+1</f>
        <v>68</v>
      </c>
      <c r="BR1" s="114">
        <f t="shared" ref="BR1" si="59">BQ1+1</f>
        <v>69</v>
      </c>
      <c r="BS1" s="114">
        <f t="shared" ref="BS1" si="60">BR1+1</f>
        <v>70</v>
      </c>
      <c r="BT1" s="114">
        <f t="shared" ref="BT1" si="61">BS1+1</f>
        <v>71</v>
      </c>
      <c r="BU1" s="114">
        <f t="shared" ref="BU1" si="62">BT1+1</f>
        <v>72</v>
      </c>
      <c r="BV1" s="114">
        <f t="shared" ref="BV1" si="63">BU1+1</f>
        <v>73</v>
      </c>
      <c r="BW1" s="114">
        <f t="shared" ref="BW1" si="64">BV1+1</f>
        <v>74</v>
      </c>
      <c r="BX1" s="114">
        <f t="shared" ref="BX1" si="65">BW1+1</f>
        <v>75</v>
      </c>
    </row>
    <row r="2" spans="1:81" x14ac:dyDescent="0.45">
      <c r="A2" s="6" t="s">
        <v>123</v>
      </c>
      <c r="B2" s="9">
        <f>Nic!D6/100</f>
        <v>51.8</v>
      </c>
      <c r="C2" s="9">
        <f>Nic!E6/100</f>
        <v>54.5</v>
      </c>
      <c r="D2" s="9">
        <f>Nic!F6/100</f>
        <v>57.2</v>
      </c>
      <c r="E2" s="9">
        <f>Nic!G6/100</f>
        <v>59.9</v>
      </c>
      <c r="F2" s="9">
        <f>Nic!H6/100</f>
        <v>62.6</v>
      </c>
      <c r="G2" s="9">
        <f>Nic!I6/100</f>
        <v>65.3</v>
      </c>
      <c r="H2" s="9">
        <f>Nic!J6/100</f>
        <v>68</v>
      </c>
      <c r="I2" s="9">
        <f>Nic!K6/100</f>
        <v>70.7</v>
      </c>
      <c r="J2" s="9">
        <f>Nic!L6/100</f>
        <v>73.400000000000006</v>
      </c>
      <c r="K2" s="9">
        <f>Nic!M6/100</f>
        <v>76.099999999999994</v>
      </c>
      <c r="L2" s="9">
        <f>Nic!N6/100</f>
        <v>78.8</v>
      </c>
      <c r="M2" s="9">
        <f>Nic!O6/100</f>
        <v>81.5</v>
      </c>
      <c r="N2" s="9">
        <f>Nic!P6/100</f>
        <v>84.2</v>
      </c>
      <c r="O2" s="9">
        <f>Nic!Q6/100</f>
        <v>86.9</v>
      </c>
      <c r="P2" s="9">
        <f>Nic!R6/100</f>
        <v>89.6</v>
      </c>
      <c r="Q2" s="9">
        <f>Nic!S6/100</f>
        <v>96.8</v>
      </c>
      <c r="R2" s="9">
        <f>Nic!T6/100</f>
        <v>99.5</v>
      </c>
      <c r="S2" s="9">
        <f>Nic!U6/100</f>
        <v>102.2</v>
      </c>
      <c r="T2" s="9">
        <f>Nic!V6/100</f>
        <v>105.4</v>
      </c>
      <c r="U2" s="9">
        <f>Nic!W6/100</f>
        <v>108.1</v>
      </c>
      <c r="V2" s="9">
        <f>Nic!X6/100</f>
        <v>110.8</v>
      </c>
      <c r="W2" s="9">
        <f>Nic!Y6/100</f>
        <v>113.4</v>
      </c>
      <c r="X2" s="9">
        <f>Nic!Z6/100</f>
        <v>116.1</v>
      </c>
      <c r="Y2" s="9">
        <f>Nic!AA6/100</f>
        <v>118.8</v>
      </c>
      <c r="Z2" s="9">
        <f>Nic!AB6/100</f>
        <v>121.5</v>
      </c>
      <c r="AA2" s="9">
        <f>Nic!AC6/100</f>
        <v>124.2</v>
      </c>
      <c r="AB2" s="9">
        <f>Nic!AD6/100</f>
        <v>126.9</v>
      </c>
      <c r="AC2" s="9">
        <f>Nic!AE6/100</f>
        <v>133.6</v>
      </c>
      <c r="AD2" s="9">
        <f>Nic!AF6/100</f>
        <v>136.30000000000001</v>
      </c>
      <c r="AE2" s="9">
        <f>Nic!AG6/100</f>
        <v>139</v>
      </c>
      <c r="AF2" s="9">
        <f>Nic!AH6/100</f>
        <v>180.8</v>
      </c>
      <c r="AG2" s="9">
        <f>Nic!AI6/100</f>
        <v>182.6</v>
      </c>
      <c r="AH2" s="9">
        <f>Nic!AJ6/100</f>
        <v>184.4</v>
      </c>
      <c r="AI2" s="9">
        <f>Nic!AK6/100</f>
        <v>180.6</v>
      </c>
      <c r="AJ2" s="9">
        <f>Nic!AL6/100</f>
        <v>216.8</v>
      </c>
      <c r="AK2" s="9">
        <f>Nic!AM6/100</f>
        <v>228</v>
      </c>
      <c r="AL2" s="9">
        <f>Nic!AN6/100</f>
        <v>239.2</v>
      </c>
      <c r="AM2" s="9">
        <f>Nic!AO6/100</f>
        <v>249.5</v>
      </c>
      <c r="AN2" s="9">
        <f>Nic!AP6/100</f>
        <v>259.8</v>
      </c>
      <c r="AO2" s="9">
        <f>Nic!AQ6/100</f>
        <v>270.10000000000002</v>
      </c>
      <c r="AP2" s="9">
        <f>Nic!AR6/100</f>
        <v>280.39999999999998</v>
      </c>
      <c r="AQ2" s="9">
        <f>Nic!AS6/100</f>
        <v>290.7</v>
      </c>
      <c r="AR2" s="9">
        <f>Nic!AT6/100</f>
        <v>301</v>
      </c>
      <c r="AS2" s="9">
        <f>Nic!AU6/100</f>
        <v>311.3</v>
      </c>
      <c r="AT2" s="9">
        <f>Nic!AV6/100</f>
        <v>321.60000000000002</v>
      </c>
      <c r="AU2" s="9">
        <f>Nic!AW6/100</f>
        <v>331.9</v>
      </c>
      <c r="AV2" s="9">
        <f>Nic!AX6/100</f>
        <v>342.2</v>
      </c>
      <c r="AW2" s="9">
        <f>Nic!AY6/100</f>
        <v>352.5</v>
      </c>
      <c r="AX2" s="9">
        <f>Nic!AZ6/100</f>
        <v>362.8</v>
      </c>
      <c r="AY2" s="9">
        <f>Nic!BA6/100</f>
        <v>373.1</v>
      </c>
      <c r="AZ2" s="9">
        <f>Nic!BB6/100</f>
        <v>383.4</v>
      </c>
      <c r="BA2" s="9">
        <f>Nic!BC6/100</f>
        <v>393.7</v>
      </c>
      <c r="BB2" s="9">
        <f>Nic!BD6/100</f>
        <v>404</v>
      </c>
      <c r="BC2" s="9">
        <f>Nic!BE6/100</f>
        <v>414.3</v>
      </c>
      <c r="BD2" s="9">
        <f>Nic!BF6/100</f>
        <v>424.6</v>
      </c>
      <c r="BE2" s="9">
        <f>Nic!BG6/100</f>
        <v>434.9</v>
      </c>
      <c r="BF2" s="9">
        <f>Nic!BH6/100</f>
        <v>445.2</v>
      </c>
      <c r="BG2" s="9">
        <f>Nic!BI6/100</f>
        <v>455.5</v>
      </c>
      <c r="BH2" s="9">
        <f>Nic!BJ6/100</f>
        <v>465.8</v>
      </c>
      <c r="BI2" s="9">
        <f>Nic!BK6/100</f>
        <v>476.1</v>
      </c>
      <c r="BJ2" s="9">
        <f>Nic!BL6/100</f>
        <v>486.4</v>
      </c>
      <c r="BK2" s="9">
        <f>Nic!BM6/100</f>
        <v>496.7</v>
      </c>
      <c r="BL2" s="9">
        <f>Nic!BN6/100</f>
        <v>507</v>
      </c>
      <c r="BM2" s="9">
        <f>Nic!BO6/100</f>
        <v>517.29999999999995</v>
      </c>
      <c r="BN2" s="9">
        <f>Nic!BP6/100</f>
        <v>527.6</v>
      </c>
      <c r="BO2" s="9">
        <f>Nic!BQ6/100</f>
        <v>537.9</v>
      </c>
      <c r="BP2" s="9">
        <f>Nic!BR6/100</f>
        <v>548.20000000000005</v>
      </c>
      <c r="BQ2" s="9">
        <f>Nic!BS6/100</f>
        <v>558.5</v>
      </c>
      <c r="BR2" s="9">
        <f>Nic!BT6/100</f>
        <v>568.79999999999995</v>
      </c>
      <c r="BS2" s="9">
        <f>Nic!BU6/100</f>
        <v>579.1</v>
      </c>
      <c r="BT2" s="9">
        <f>Nic!BV6/100</f>
        <v>589.4</v>
      </c>
      <c r="BU2" s="9">
        <f>Nic!BW6/100</f>
        <v>599.70000000000005</v>
      </c>
      <c r="BV2" s="9">
        <f>Nic!BX6/100</f>
        <v>0</v>
      </c>
      <c r="BW2" s="9">
        <f>Nic!BY6/100</f>
        <v>0</v>
      </c>
      <c r="BX2" s="9">
        <f>Nic!BZ6/100</f>
        <v>0</v>
      </c>
      <c r="BY2" s="9"/>
      <c r="BZ2" s="9"/>
      <c r="CA2" s="9"/>
      <c r="CB2" s="9"/>
      <c r="CC2" s="9"/>
    </row>
    <row r="3" spans="1:81" x14ac:dyDescent="0.45">
      <c r="A3" s="6" t="s">
        <v>124</v>
      </c>
      <c r="B3" s="9">
        <f>Cris!D6/100</f>
        <v>42.35</v>
      </c>
      <c r="C3" s="9">
        <f>Cris!E6/100</f>
        <v>45.14</v>
      </c>
      <c r="D3" s="9">
        <f>Cris!F6/100</f>
        <v>48.03</v>
      </c>
      <c r="E3" s="9">
        <f>Cris!G6/100</f>
        <v>51.56</v>
      </c>
      <c r="F3" s="9">
        <f>Cris!H6/100</f>
        <v>54.92</v>
      </c>
      <c r="G3" s="9">
        <f>Cris!I6/100</f>
        <v>58.33</v>
      </c>
      <c r="H3" s="9">
        <f>Cris!J6/100</f>
        <v>61.47</v>
      </c>
      <c r="I3" s="9">
        <f>Cris!K6/100</f>
        <v>64.650000000000006</v>
      </c>
      <c r="J3" s="9">
        <f>Cris!L6/100</f>
        <v>67.819999999999993</v>
      </c>
      <c r="K3" s="9">
        <f>Cris!M6/100</f>
        <v>70.12</v>
      </c>
      <c r="L3" s="9">
        <f>Cris!N6/100</f>
        <v>72.42</v>
      </c>
      <c r="M3" s="9">
        <f>Cris!O6/100</f>
        <v>107.72</v>
      </c>
      <c r="N3" s="9">
        <f>Cris!P6/100</f>
        <v>110.02</v>
      </c>
      <c r="O3" s="9">
        <f>Cris!Q6/100</f>
        <v>112.32</v>
      </c>
      <c r="P3" s="9">
        <f>Cris!R6/100</f>
        <v>114.62</v>
      </c>
      <c r="Q3" s="9">
        <f>Cris!S6/100</f>
        <v>116.92</v>
      </c>
      <c r="R3" s="9">
        <f>Cris!T6/100</f>
        <v>119.22</v>
      </c>
      <c r="S3" s="9">
        <f>Cris!U6/100</f>
        <v>121.52</v>
      </c>
      <c r="T3" s="9">
        <f>Cris!V6/100</f>
        <v>123.82</v>
      </c>
      <c r="U3" s="9">
        <f>Cris!W6/100</f>
        <v>126.12</v>
      </c>
      <c r="V3" s="9">
        <f>Cris!X6/100</f>
        <v>128.41999999999999</v>
      </c>
      <c r="W3" s="9">
        <f>Cris!Y6/100</f>
        <v>134.22</v>
      </c>
      <c r="X3" s="9">
        <f>Cris!Z6/100</f>
        <v>140.02000000000001</v>
      </c>
      <c r="Y3" s="9">
        <f>Cris!AA6/100</f>
        <v>145.82</v>
      </c>
      <c r="Z3" s="9">
        <f>Cris!AB6/100</f>
        <v>151.62</v>
      </c>
      <c r="AA3" s="9">
        <f>Cris!AC6/100</f>
        <v>157.41999999999999</v>
      </c>
      <c r="AB3" s="9">
        <f>Cris!AD6/100</f>
        <v>163.22</v>
      </c>
      <c r="AC3" s="9">
        <f>Cris!AE6/100</f>
        <v>209.32</v>
      </c>
      <c r="AD3" s="9">
        <f>Cris!AF6/100</f>
        <v>217.12</v>
      </c>
      <c r="AE3" s="9">
        <f>Cris!AG6/100</f>
        <v>224.92</v>
      </c>
      <c r="AF3" s="9">
        <f>Cris!AH6/100</f>
        <v>232.72</v>
      </c>
      <c r="AG3" s="9">
        <f>Cris!AI6/100</f>
        <v>240.52</v>
      </c>
      <c r="AH3" s="9">
        <f>Cris!AJ6/100</f>
        <v>248.32</v>
      </c>
      <c r="AI3" s="9">
        <f>Cris!AK6/100</f>
        <v>257.62</v>
      </c>
      <c r="AJ3" s="9">
        <f>Cris!AL6/100</f>
        <v>265.42</v>
      </c>
      <c r="AK3" s="9">
        <f>Cris!AM6/100</f>
        <v>273.22000000000003</v>
      </c>
      <c r="AL3" s="9">
        <f>Cris!AN6/100</f>
        <v>281.02</v>
      </c>
      <c r="AM3" s="9">
        <f>Cris!AO6/100</f>
        <v>288.82</v>
      </c>
      <c r="AN3" s="9">
        <f>Cris!AP6/100</f>
        <v>296.62</v>
      </c>
      <c r="AO3" s="9">
        <f>Cris!AQ6/100</f>
        <v>304.42</v>
      </c>
      <c r="AP3" s="9">
        <f>Cris!AR6/100</f>
        <v>312.22000000000003</v>
      </c>
      <c r="AQ3" s="9">
        <f>Cris!AS6/100</f>
        <v>320.02</v>
      </c>
      <c r="AR3" s="9">
        <f>Cris!AT6/100</f>
        <v>327.82</v>
      </c>
      <c r="AS3" s="9">
        <f>Cris!AU6/100</f>
        <v>335.62</v>
      </c>
      <c r="AT3" s="9">
        <f>Cris!AV6/100</f>
        <v>343.42</v>
      </c>
      <c r="AU3" s="9">
        <f>Cris!AW6/100</f>
        <v>351.22</v>
      </c>
      <c r="AV3" s="9">
        <f>Cris!AX6/100</f>
        <v>359.02</v>
      </c>
      <c r="AW3" s="9">
        <f>Cris!AY6/100</f>
        <v>366.82</v>
      </c>
      <c r="AX3" s="9">
        <f>Cris!AZ6/100</f>
        <v>374.62</v>
      </c>
      <c r="AY3" s="9">
        <f>Cris!BA6/100</f>
        <v>382.42</v>
      </c>
      <c r="AZ3" s="9">
        <f>Cris!BB6/100</f>
        <v>390.22</v>
      </c>
      <c r="BA3" s="9">
        <f>Cris!BC6/100</f>
        <v>398.02</v>
      </c>
      <c r="BB3" s="9">
        <f>Cris!BD6/100</f>
        <v>405.82</v>
      </c>
      <c r="BC3" s="9">
        <f>Cris!BE6/100</f>
        <v>413.62</v>
      </c>
      <c r="BD3" s="9">
        <f>Cris!BF6/100</f>
        <v>421.42</v>
      </c>
      <c r="BE3" s="9">
        <f>Cris!BG6/100</f>
        <v>429.22</v>
      </c>
      <c r="BF3" s="9">
        <f>Cris!BH6/100</f>
        <v>437.02</v>
      </c>
      <c r="BG3" s="9">
        <f>Cris!BI6/100</f>
        <v>444.82</v>
      </c>
      <c r="BH3" s="9">
        <f>Cris!BJ6/100</f>
        <v>452.62</v>
      </c>
      <c r="BI3" s="9">
        <f>Cris!BK6/100</f>
        <v>460.42</v>
      </c>
      <c r="BJ3" s="9">
        <f>Cris!BL6/100</f>
        <v>468.22</v>
      </c>
      <c r="BK3" s="9">
        <f>Cris!BM6/100</f>
        <v>476.02</v>
      </c>
      <c r="BL3" s="9">
        <f>Cris!BN6/100</f>
        <v>483.82</v>
      </c>
      <c r="BM3" s="9">
        <f>Cris!BO6/100</f>
        <v>491.62</v>
      </c>
      <c r="BN3" s="9">
        <f>Cris!BP6/100</f>
        <v>499.42</v>
      </c>
      <c r="BO3" s="9">
        <f>Cris!BQ6/100</f>
        <v>507.22</v>
      </c>
      <c r="BP3" s="9">
        <f>Cris!BR6/100</f>
        <v>515.02</v>
      </c>
      <c r="BQ3" s="9">
        <f>Cris!BS6/100</f>
        <v>522.82000000000005</v>
      </c>
      <c r="BR3" s="9">
        <f>Cris!BT6/100</f>
        <v>530.62</v>
      </c>
      <c r="BS3" s="9">
        <f>Cris!BU6/100</f>
        <v>538.41999999999996</v>
      </c>
      <c r="BT3" s="9">
        <f>Cris!BV6/100</f>
        <v>546.22</v>
      </c>
      <c r="BU3" s="9">
        <f>Cris!BW6/100</f>
        <v>554.02</v>
      </c>
      <c r="BV3" s="9">
        <f>Cris!BX6/100</f>
        <v>0</v>
      </c>
      <c r="BW3" s="9">
        <f>Cris!BY6/100</f>
        <v>0</v>
      </c>
      <c r="BX3" s="9">
        <f>Cris!BZ6/100</f>
        <v>0</v>
      </c>
      <c r="BY3" s="9"/>
      <c r="BZ3" s="9"/>
      <c r="CA3" s="9"/>
      <c r="CB3" s="9"/>
      <c r="CC3" s="9"/>
    </row>
    <row r="4" spans="1:81" x14ac:dyDescent="0.45">
      <c r="A4" s="6" t="s">
        <v>125</v>
      </c>
      <c r="B4" s="9">
        <f>Peter!D6/100</f>
        <v>54.27</v>
      </c>
      <c r="C4" s="9">
        <f>Peter!E6/100</f>
        <v>59.14</v>
      </c>
      <c r="D4" s="9">
        <f>Peter!F6/100</f>
        <v>64.010000000000005</v>
      </c>
      <c r="E4" s="9">
        <f>Peter!G6/100</f>
        <v>71.331999999999994</v>
      </c>
      <c r="F4" s="9">
        <f>Peter!H6/100</f>
        <v>78.653999999999996</v>
      </c>
      <c r="G4" s="9">
        <f>Peter!I6/100</f>
        <v>85.975999999999985</v>
      </c>
      <c r="H4" s="9">
        <f>Peter!J6/100</f>
        <v>96</v>
      </c>
      <c r="I4" s="9">
        <f>Peter!K6/100</f>
        <v>116.024</v>
      </c>
      <c r="J4" s="9">
        <f>Peter!L6/100</f>
        <v>122.04799999999999</v>
      </c>
      <c r="K4" s="9">
        <f>Peter!M6/100</f>
        <v>136.26679999999999</v>
      </c>
      <c r="L4" s="9">
        <f>Peter!N6/100</f>
        <v>147.48560000000001</v>
      </c>
      <c r="M4" s="9">
        <f>Peter!O6/100</f>
        <v>158.70439999999999</v>
      </c>
      <c r="N4" s="9">
        <f>Peter!P6/100</f>
        <v>168.92320000000001</v>
      </c>
      <c r="O4" s="9">
        <f>Peter!Q6/100</f>
        <v>180.142</v>
      </c>
      <c r="P4" s="9">
        <f>Peter!R6/100</f>
        <v>191.36080000000001</v>
      </c>
      <c r="Q4" s="9">
        <f>Peter!S6/100</f>
        <v>201.28160000000003</v>
      </c>
      <c r="R4" s="9">
        <f>Peter!T6/100</f>
        <v>216.20240000000001</v>
      </c>
      <c r="S4" s="9">
        <f>Peter!U6/100</f>
        <v>231.1232</v>
      </c>
      <c r="T4" s="9">
        <f>Peter!V6/100</f>
        <v>241.04400000000001</v>
      </c>
      <c r="U4" s="9">
        <f>Peter!W6/100</f>
        <v>255.96480000000003</v>
      </c>
      <c r="V4" s="9">
        <f>Peter!X6/100</f>
        <v>270.88560000000007</v>
      </c>
      <c r="W4" s="9">
        <f>Peter!Y6/100</f>
        <v>248.04084444444447</v>
      </c>
      <c r="X4" s="9">
        <f>Peter!Z6/100</f>
        <v>227.19608888888891</v>
      </c>
      <c r="Y4" s="9">
        <f>Peter!AA6/100</f>
        <v>206.35133333333334</v>
      </c>
      <c r="Z4" s="9">
        <f>Peter!AB6/100</f>
        <v>192.80657777777779</v>
      </c>
      <c r="AA4" s="9">
        <f>Peter!AC6/100</f>
        <v>180.26182222222226</v>
      </c>
      <c r="AB4" s="9">
        <f>Peter!AD6/100</f>
        <v>167.71706666666668</v>
      </c>
      <c r="AC4" s="9">
        <f>Peter!AE6/100</f>
        <v>151.15131111111111</v>
      </c>
      <c r="AD4" s="9">
        <f>Peter!AF6/100</f>
        <v>131.58555555555557</v>
      </c>
      <c r="AE4" s="9">
        <f>Peter!AG6/100</f>
        <v>387.51980000000003</v>
      </c>
      <c r="AF4" s="9">
        <f>Peter!AH6/100</f>
        <v>396.75959999999998</v>
      </c>
      <c r="AG4" s="9">
        <f>Peter!AI6/100</f>
        <v>400.14940000000001</v>
      </c>
      <c r="AH4" s="9">
        <f>Peter!AJ6/100</f>
        <v>406.23919999999998</v>
      </c>
      <c r="AI4" s="9">
        <f>Peter!AK6/100</f>
        <v>412.84899999999999</v>
      </c>
      <c r="AJ4" s="9">
        <f>Peter!AL6/100</f>
        <v>419.47880000000004</v>
      </c>
      <c r="AK4" s="9">
        <f>Peter!AM6/100</f>
        <v>426.62860000000001</v>
      </c>
      <c r="AL4" s="9">
        <f>Peter!AN6/100</f>
        <v>433.79840000000002</v>
      </c>
      <c r="AM4" s="9">
        <f>Peter!AO6/100</f>
        <v>441.48820000000001</v>
      </c>
      <c r="AN4" s="9">
        <f>Peter!AP6/100</f>
        <v>449.19800000000004</v>
      </c>
      <c r="AO4" s="9">
        <f>Peter!AQ6/100</f>
        <v>456.92779999999999</v>
      </c>
      <c r="AP4" s="9">
        <f>Peter!AR6/100</f>
        <v>464.67760000000004</v>
      </c>
      <c r="AQ4" s="9">
        <f>Peter!AS6/100</f>
        <v>472.44739999999996</v>
      </c>
      <c r="AR4" s="9">
        <f>Peter!AT6/100</f>
        <v>480.23720000000003</v>
      </c>
      <c r="AS4" s="9">
        <f>Peter!AU6/100</f>
        <v>488.04699999999997</v>
      </c>
      <c r="AT4" s="9">
        <f>Peter!AV6/100</f>
        <v>495.8768</v>
      </c>
      <c r="AU4" s="9">
        <f>Peter!AW6/100</f>
        <v>503.72659999999996</v>
      </c>
      <c r="AV4" s="9">
        <f>Peter!AX6/100</f>
        <v>511.59640000000002</v>
      </c>
      <c r="AW4" s="9">
        <f>Peter!AY6/100</f>
        <v>519.48619999999994</v>
      </c>
      <c r="AX4" s="9">
        <f>Peter!AZ6/100</f>
        <v>527.39599999999996</v>
      </c>
      <c r="AY4" s="9">
        <f>Peter!BA6/100</f>
        <v>535.32579999999996</v>
      </c>
      <c r="AZ4" s="9">
        <f>Peter!BB6/100</f>
        <v>543.27559999999994</v>
      </c>
      <c r="BA4" s="9">
        <f>Peter!BC6/100</f>
        <v>551.2453999999999</v>
      </c>
      <c r="BB4" s="9">
        <f>Peter!BD6/100</f>
        <v>559.23519999999996</v>
      </c>
      <c r="BC4" s="9">
        <f>Peter!BE6/100</f>
        <v>567.245</v>
      </c>
      <c r="BD4" s="9">
        <f>Peter!BF6/100</f>
        <v>575.27479999999991</v>
      </c>
      <c r="BE4" s="9">
        <f>Peter!BG6/100</f>
        <v>583.32459999999992</v>
      </c>
      <c r="BF4" s="9">
        <f>Peter!BH6/100</f>
        <v>591.39439999999991</v>
      </c>
      <c r="BG4" s="9">
        <f>Peter!BI6/100</f>
        <v>599.48419999999999</v>
      </c>
      <c r="BH4" s="9">
        <f>Peter!BJ6/100</f>
        <v>607.59399999999994</v>
      </c>
      <c r="BI4" s="9">
        <f>Peter!BK6/100</f>
        <v>615.72379999999987</v>
      </c>
      <c r="BJ4" s="9">
        <f>Peter!BL6/100</f>
        <v>623.8735999999999</v>
      </c>
      <c r="BK4" s="9">
        <f>Peter!BM6/100</f>
        <v>632.04340000000002</v>
      </c>
      <c r="BL4" s="9">
        <f>Peter!BN6/100</f>
        <v>640.2331999999999</v>
      </c>
      <c r="BM4" s="9">
        <f>Peter!BO6/100</f>
        <v>648.44299999999987</v>
      </c>
      <c r="BN4" s="9">
        <f>Peter!BP6/100</f>
        <v>656.67279999999994</v>
      </c>
      <c r="BO4" s="9">
        <f>Peter!BQ6/100</f>
        <v>664.92259999999999</v>
      </c>
      <c r="BP4" s="9">
        <f>Peter!BR6/100</f>
        <v>673.19239999999991</v>
      </c>
      <c r="BQ4" s="9">
        <f>Peter!BS6/100</f>
        <v>681.48219999999992</v>
      </c>
      <c r="BR4" s="9">
        <f>Peter!BT6/100</f>
        <v>689.7919999999998</v>
      </c>
      <c r="BS4" s="9">
        <f>Peter!BU6/100</f>
        <v>698.12179999999989</v>
      </c>
      <c r="BT4" s="9">
        <f>Peter!BV6/100</f>
        <v>706.47159999999985</v>
      </c>
      <c r="BU4" s="9">
        <f>Peter!BW6/100</f>
        <v>714.84139999999979</v>
      </c>
      <c r="BV4" s="9">
        <f>Peter!BX6/100</f>
        <v>0</v>
      </c>
      <c r="BW4" s="9">
        <f>Peter!BY6/100</f>
        <v>0</v>
      </c>
      <c r="BX4" s="9">
        <f>Peter!BZ6/100</f>
        <v>0</v>
      </c>
      <c r="BY4" s="9"/>
      <c r="BZ4" s="9"/>
      <c r="CA4" s="9"/>
      <c r="CB4" s="9"/>
      <c r="CC4" s="9"/>
    </row>
    <row r="5" spans="1:81" x14ac:dyDescent="0.45">
      <c r="A5" s="6" t="s">
        <v>127</v>
      </c>
      <c r="B5" s="9">
        <f>Zilla!H6/100</f>
        <v>56.02</v>
      </c>
      <c r="C5" s="9">
        <f>Zilla!I6/100</f>
        <v>62.04</v>
      </c>
      <c r="D5" s="9">
        <f>Zilla!J6/100</f>
        <v>67.326666666666668</v>
      </c>
      <c r="E5" s="9">
        <f>Zilla!K6/100</f>
        <v>75.498666666666665</v>
      </c>
      <c r="F5" s="9">
        <f>Zilla!L6/100</f>
        <v>83.304000000000016</v>
      </c>
      <c r="G5" s="9">
        <f>Zilla!M6/100</f>
        <v>91.475999999999999</v>
      </c>
      <c r="H5" s="9">
        <f>Zilla!N6/100</f>
        <v>101.8</v>
      </c>
      <c r="I5" s="9">
        <f>Zilla!O6/100</f>
        <v>112.124</v>
      </c>
      <c r="J5" s="9">
        <f>Zilla!P6/100</f>
        <v>122.44799999999999</v>
      </c>
      <c r="K5" s="9">
        <f>Zilla!Q6/100</f>
        <v>135.43627999999998</v>
      </c>
      <c r="L5" s="9">
        <f>Zilla!R6/100</f>
        <v>146.92455999999999</v>
      </c>
      <c r="M5" s="9">
        <f>Zilla!S6/100</f>
        <v>158.91283999999999</v>
      </c>
      <c r="N5" s="9">
        <f>Zilla!T6/100</f>
        <v>170.90111999999996</v>
      </c>
      <c r="O5" s="9">
        <f>Zilla!U6/100</f>
        <v>182.88939999999994</v>
      </c>
      <c r="P5" s="9">
        <f>Zilla!V6/100</f>
        <v>194.87767999999997</v>
      </c>
      <c r="Q5" s="9">
        <f>Zilla!W6/100</f>
        <v>206.86595999999997</v>
      </c>
      <c r="R5" s="9">
        <f>Zilla!X6/100</f>
        <v>218.85423999999995</v>
      </c>
      <c r="S5" s="9">
        <f>Zilla!Y6/100</f>
        <v>230.84251999999998</v>
      </c>
      <c r="T5" s="9">
        <f>Zilla!Z6/100</f>
        <v>246.07915199999997</v>
      </c>
      <c r="U5" s="9">
        <f>Zilla!AA6/100</f>
        <v>261.31578399999995</v>
      </c>
      <c r="V5" s="9">
        <f>Zilla!AB6/100</f>
        <v>276.55241599999994</v>
      </c>
      <c r="W5" s="9">
        <f>Zilla!AC6/100</f>
        <v>291.11619085714278</v>
      </c>
      <c r="X5" s="9">
        <f>Zilla!AD6/100</f>
        <v>305.68996571428562</v>
      </c>
      <c r="Y5" s="9">
        <f>Zilla!AE6/100</f>
        <v>320.2737405714285</v>
      </c>
      <c r="Z5" s="9">
        <f>Zilla!AF6/100</f>
        <v>324.97428342857137</v>
      </c>
      <c r="AA5" s="9">
        <f>Zilla!AG6/100</f>
        <v>344.07482628571421</v>
      </c>
      <c r="AB5" s="9">
        <f>Zilla!AH6/100</f>
        <v>363.17536914285711</v>
      </c>
      <c r="AC5" s="9">
        <f>Zilla!AI6/100</f>
        <v>379.27591199999995</v>
      </c>
      <c r="AD5" s="9">
        <f>Zilla!AJ6/100</f>
        <v>395.37645485714279</v>
      </c>
      <c r="AE5" s="9">
        <f>Zilla!AK6/100</f>
        <v>411.47699771428569</v>
      </c>
      <c r="AF5" s="9">
        <f>Zilla!AL6/100</f>
        <v>427.59754057142857</v>
      </c>
      <c r="AG5" s="9">
        <f>Zilla!AM6/100</f>
        <v>443.73808342857143</v>
      </c>
      <c r="AH5" s="9">
        <f>Zilla!AN6/100</f>
        <v>459.89862628571427</v>
      </c>
      <c r="AI5" s="9">
        <f>Zilla!AO6/100</f>
        <v>476.07916914285715</v>
      </c>
      <c r="AJ5" s="9">
        <f>Zilla!AP6/100</f>
        <v>492.27971200000002</v>
      </c>
      <c r="AK5" s="9">
        <f>Zilla!AQ6/100</f>
        <v>508.50025485714286</v>
      </c>
      <c r="AL5" s="9">
        <f>Zilla!AR6/100</f>
        <v>524.74079771428569</v>
      </c>
      <c r="AM5" s="9">
        <f>Zilla!AS6/100</f>
        <v>541.00134057142861</v>
      </c>
      <c r="AN5" s="9">
        <f>Zilla!AT6/100</f>
        <v>557.2818834285714</v>
      </c>
      <c r="AO5" s="9">
        <f>Zilla!AU6/100</f>
        <v>573.58242628571429</v>
      </c>
      <c r="AP5" s="9">
        <f>Zilla!AV6/100</f>
        <v>589.90296914285716</v>
      </c>
      <c r="AQ5" s="9">
        <f>Zilla!AW6/100</f>
        <v>606.24351200000001</v>
      </c>
      <c r="AR5" s="9">
        <f>Zilla!AX6/100</f>
        <v>622.60405485714296</v>
      </c>
      <c r="AS5" s="9">
        <f>Zilla!AY6/100</f>
        <v>638.98459771428577</v>
      </c>
      <c r="AT5" s="9">
        <f>Zilla!AZ6/100</f>
        <v>655.38514057142868</v>
      </c>
      <c r="AU5" s="9">
        <f>Zilla!BA6/100</f>
        <v>671.80568342857146</v>
      </c>
      <c r="AV5" s="9">
        <f>Zilla!BB6/100</f>
        <v>688.24622628571433</v>
      </c>
      <c r="AW5" s="9">
        <f>Zilla!BC6/100</f>
        <v>704.70676914285718</v>
      </c>
      <c r="AX5" s="9">
        <f>Zilla!BD6/100</f>
        <v>721.18731200000013</v>
      </c>
      <c r="AY5" s="9">
        <f>Zilla!BE6/100</f>
        <v>737.68785485714295</v>
      </c>
      <c r="AZ5" s="9">
        <f>Zilla!BF6/100</f>
        <v>754.20839771428587</v>
      </c>
      <c r="BA5" s="9">
        <f>Zilla!BG6/100</f>
        <v>770.74894057142865</v>
      </c>
      <c r="BB5" s="9">
        <f>Zilla!BH6/100</f>
        <v>787.30948342857153</v>
      </c>
      <c r="BC5" s="9">
        <f>Zilla!BI6/100</f>
        <v>803.89002628571438</v>
      </c>
      <c r="BD5" s="9">
        <f>Zilla!BJ6/100</f>
        <v>820.49056914285723</v>
      </c>
      <c r="BE5" s="9">
        <f>Zilla!BK6/100</f>
        <v>837.11111200000016</v>
      </c>
      <c r="BF5" s="9">
        <f>Zilla!BL6/100</f>
        <v>853.75165485714297</v>
      </c>
      <c r="BG5" s="9">
        <f>Zilla!BM6/100</f>
        <v>870.41219771428587</v>
      </c>
      <c r="BH5" s="9">
        <f>Zilla!BN6/100</f>
        <v>887.09274057142875</v>
      </c>
      <c r="BI5" s="9">
        <f>Zilla!BO6/100</f>
        <v>903.79328342857161</v>
      </c>
      <c r="BJ5" s="9">
        <f>Zilla!BP6/100</f>
        <v>920.51382628571446</v>
      </c>
      <c r="BK5" s="9">
        <f>Zilla!BQ6/100</f>
        <v>937.25436914285729</v>
      </c>
      <c r="BL5" s="9">
        <f>Zilla!BR6/100</f>
        <v>954.01491200000021</v>
      </c>
      <c r="BM5" s="9">
        <f>Zilla!BS6/100</f>
        <v>970.795454857143</v>
      </c>
      <c r="BN5" s="9">
        <f>Zilla!BT6/100</f>
        <v>987.59599771428589</v>
      </c>
      <c r="BO5" s="9">
        <f>Zilla!BU6/100</f>
        <v>1004.4165405714288</v>
      </c>
      <c r="BP5" s="9">
        <f>Zilla!BV6/100</f>
        <v>1021.2570834285716</v>
      </c>
      <c r="BQ5" s="9">
        <f>Zilla!BW6/100</f>
        <v>1038.1176262857146</v>
      </c>
      <c r="BR5" s="9">
        <f>Zilla!BX6/100</f>
        <v>1055.0181691428575</v>
      </c>
      <c r="BS5" s="9">
        <f>Zilla!BY6/100</f>
        <v>1071.9587120000003</v>
      </c>
      <c r="BT5" s="9">
        <f>Zilla!BZ6/100</f>
        <v>1088.9392548571432</v>
      </c>
      <c r="BU5" s="9">
        <f>Zilla!CA6/100</f>
        <v>1105.959797714286</v>
      </c>
      <c r="BV5" s="9">
        <f>Zilla!CB6/100</f>
        <v>0</v>
      </c>
      <c r="BW5" s="9">
        <f>Zilla!CC6/100</f>
        <v>0</v>
      </c>
      <c r="BX5" s="9">
        <f>Zilla!CD6/100</f>
        <v>0</v>
      </c>
      <c r="BY5" s="9"/>
      <c r="BZ5" s="9"/>
      <c r="CA5" s="9"/>
      <c r="CB5" s="9"/>
      <c r="CC5" s="9"/>
    </row>
    <row r="6" spans="1:81" x14ac:dyDescent="0.45">
      <c r="A6" s="6" t="s">
        <v>128</v>
      </c>
      <c r="B6" s="9">
        <f>Vito!F6/100</f>
        <v>52.23</v>
      </c>
      <c r="C6" s="9">
        <f>Vito!G6/100</f>
        <v>54.79</v>
      </c>
      <c r="D6" s="9">
        <f>Vito!H6/100</f>
        <v>57.74</v>
      </c>
      <c r="E6" s="9">
        <f>Vito!I6/100</f>
        <v>60.24</v>
      </c>
      <c r="F6" s="9">
        <f>Vito!J6/100</f>
        <v>63.04</v>
      </c>
      <c r="G6" s="9">
        <f>Vito!K6/100</f>
        <v>65.84</v>
      </c>
      <c r="H6" s="9">
        <f>Vito!L6/100</f>
        <v>68.64</v>
      </c>
      <c r="I6" s="9">
        <f>Vito!M6/100</f>
        <v>71.44</v>
      </c>
      <c r="J6" s="9">
        <f>Vito!N6/100</f>
        <v>74.239999999999995</v>
      </c>
      <c r="K6" s="9">
        <f>Vito!O6/100</f>
        <v>80.540000000000006</v>
      </c>
      <c r="L6" s="9">
        <f>Vito!P6/100</f>
        <v>83.34</v>
      </c>
      <c r="M6" s="9">
        <f>Vito!Q6/100</f>
        <v>85.64</v>
      </c>
      <c r="N6" s="9">
        <f>Vito!R6/100</f>
        <v>88.44</v>
      </c>
      <c r="O6" s="9">
        <f>Vito!S6/100</f>
        <v>91.24</v>
      </c>
      <c r="P6" s="9">
        <f>Vito!T6/100</f>
        <v>94.04</v>
      </c>
      <c r="Q6" s="9">
        <f>Vito!U6/100</f>
        <v>96.84</v>
      </c>
      <c r="R6" s="9">
        <f>Vito!V6/100</f>
        <v>99.64</v>
      </c>
      <c r="S6" s="9">
        <f>Vito!W6/100</f>
        <v>102.44</v>
      </c>
      <c r="T6" s="9">
        <f>Vito!X6/100</f>
        <v>105.24</v>
      </c>
      <c r="U6" s="9">
        <f>Vito!Y6/100</f>
        <v>108.04</v>
      </c>
      <c r="V6" s="9">
        <f>Vito!Z6/100</f>
        <v>110.84</v>
      </c>
      <c r="W6" s="9">
        <f>Vito!AA6/100</f>
        <v>113.64</v>
      </c>
      <c r="X6" s="9">
        <f>Vito!AB6/100</f>
        <v>116.44</v>
      </c>
      <c r="Y6" s="9">
        <f>Vito!AC6/100</f>
        <v>119.24</v>
      </c>
      <c r="Z6" s="9">
        <f>Vito!AD6/100</f>
        <v>112.54</v>
      </c>
      <c r="AA6" s="9">
        <f>Vito!AE6/100</f>
        <v>106.24</v>
      </c>
      <c r="AB6" s="9">
        <f>Vito!AF6/100</f>
        <v>100.34</v>
      </c>
      <c r="AC6" s="9">
        <f>Vito!AG6/100</f>
        <v>93.14</v>
      </c>
      <c r="AD6" s="9">
        <f>Vito!AH6/100</f>
        <v>88.04</v>
      </c>
      <c r="AE6" s="9">
        <f>Vito!AI6/100</f>
        <v>83.34</v>
      </c>
      <c r="AF6" s="9">
        <f>Vito!AJ6/100</f>
        <v>78.540000000000006</v>
      </c>
      <c r="AG6" s="9">
        <f>Vito!AK6/100</f>
        <v>75.239999999999995</v>
      </c>
      <c r="AH6" s="9">
        <f>Vito!AL6/100</f>
        <v>72.64</v>
      </c>
      <c r="AI6" s="9">
        <f>Vito!AM6/100</f>
        <v>70.040000000000006</v>
      </c>
      <c r="AJ6" s="9">
        <f>Vito!AN6/100</f>
        <v>68.84</v>
      </c>
      <c r="AK6" s="9">
        <f>Vito!AO6/100</f>
        <v>68.34</v>
      </c>
      <c r="AL6" s="9">
        <f>Vito!AP6/100</f>
        <v>68.540000000000006</v>
      </c>
      <c r="AM6" s="9">
        <f>Vito!AQ6/100</f>
        <v>69.44</v>
      </c>
      <c r="AN6" s="9">
        <f>Vito!AR6/100</f>
        <v>71.040000000000006</v>
      </c>
      <c r="AO6" s="9">
        <f>Vito!AS6/100</f>
        <v>73.34</v>
      </c>
      <c r="AP6" s="9">
        <f>Vito!AT6/100</f>
        <v>76.34</v>
      </c>
      <c r="AQ6" s="9">
        <f>Vito!AU6/100</f>
        <v>80.040000000000006</v>
      </c>
      <c r="AR6" s="9">
        <f>Vito!AV6/100</f>
        <v>84.44</v>
      </c>
      <c r="AS6" s="9">
        <f>Vito!AW6/100</f>
        <v>89.54</v>
      </c>
      <c r="AT6" s="9">
        <f>Vito!AX6/100</f>
        <v>95.34</v>
      </c>
      <c r="AU6" s="9">
        <f>Vito!AY6/100</f>
        <v>100.34</v>
      </c>
      <c r="AV6" s="9">
        <f>Vito!AZ6/100</f>
        <v>107.54</v>
      </c>
      <c r="AW6" s="9">
        <f>Vito!BA6/100</f>
        <v>115.44</v>
      </c>
      <c r="AX6" s="9">
        <f>Vito!BB6/100</f>
        <v>124.04</v>
      </c>
      <c r="AY6" s="9">
        <f>Vito!BC6/100</f>
        <v>133.34</v>
      </c>
      <c r="AZ6" s="9">
        <f>Vito!BD6/100</f>
        <v>143.34</v>
      </c>
      <c r="BA6" s="9">
        <f>Vito!BE6/100</f>
        <v>154.04</v>
      </c>
      <c r="BB6" s="9">
        <f>Vito!BF6/100</f>
        <v>165.44</v>
      </c>
      <c r="BC6" s="9">
        <f>Vito!BG6/100</f>
        <v>177.54</v>
      </c>
      <c r="BD6" s="9">
        <f>Vito!BH6/100</f>
        <v>190.34</v>
      </c>
      <c r="BE6" s="9">
        <f>Vito!BI6/100</f>
        <v>203.84</v>
      </c>
      <c r="BF6" s="9">
        <f>Vito!BJ6/100</f>
        <v>218.04</v>
      </c>
      <c r="BG6" s="9">
        <f>Vito!BK6/100</f>
        <v>232.94</v>
      </c>
      <c r="BH6" s="9">
        <f>Vito!BL6/100</f>
        <v>248.54</v>
      </c>
      <c r="BI6" s="9">
        <f>Vito!BM6/100</f>
        <v>264.83999999999997</v>
      </c>
      <c r="BJ6" s="9">
        <f>Vito!BN6/100</f>
        <v>281.83999999999997</v>
      </c>
      <c r="BK6" s="9">
        <f>Vito!BO6/100</f>
        <v>299.54000000000002</v>
      </c>
      <c r="BL6" s="9">
        <f>Vito!BP6/100</f>
        <v>317.94</v>
      </c>
      <c r="BM6" s="9">
        <f>Vito!BQ6/100</f>
        <v>337.04</v>
      </c>
      <c r="BN6" s="9">
        <f>Vito!BR6/100</f>
        <v>356.84</v>
      </c>
      <c r="BO6" s="9">
        <f>Vito!BS6/100</f>
        <v>377.34</v>
      </c>
      <c r="BP6" s="9">
        <f>Vito!BT6/100</f>
        <v>398.54</v>
      </c>
      <c r="BQ6" s="9">
        <f>Vito!BU6/100</f>
        <v>420.44</v>
      </c>
      <c r="BR6" s="9">
        <f>Vito!BV6/100</f>
        <v>443.04</v>
      </c>
      <c r="BS6" s="9">
        <f>Vito!BW6/100</f>
        <v>466.34</v>
      </c>
      <c r="BT6" s="9">
        <f>Vito!BX6/100</f>
        <v>490.34</v>
      </c>
      <c r="BU6" s="9">
        <f>Vito!BY6/100</f>
        <v>515.04</v>
      </c>
      <c r="BV6" s="9">
        <f>Vito!BZ6/100</f>
        <v>0</v>
      </c>
      <c r="BW6" s="9">
        <f>Vito!CA6/100</f>
        <v>0</v>
      </c>
      <c r="BX6" s="9">
        <f>Vito!CB6/100</f>
        <v>0</v>
      </c>
      <c r="BY6" s="9"/>
      <c r="BZ6" s="9"/>
      <c r="CA6" s="9"/>
      <c r="CB6" s="9"/>
      <c r="CC6" s="9"/>
    </row>
    <row r="7" spans="1:81" x14ac:dyDescent="0.45">
      <c r="A7" s="6" t="s">
        <v>126</v>
      </c>
      <c r="B7" s="9">
        <f>Kleit!F6/100</f>
        <v>50.833999999999996</v>
      </c>
      <c r="C7" s="9">
        <f>Kleit!G6/100</f>
        <v>51.667999999999992</v>
      </c>
      <c r="D7" s="9">
        <f>Kleit!H6/100</f>
        <v>52.501999999999988</v>
      </c>
      <c r="E7" s="9">
        <f>Kleit!I6/100</f>
        <v>54.754999999999988</v>
      </c>
      <c r="F7" s="9">
        <f>Kleit!J6/100</f>
        <v>57.007999999999996</v>
      </c>
      <c r="G7" s="9">
        <f>Kleit!K6/100</f>
        <v>61.110999999999997</v>
      </c>
      <c r="H7" s="9">
        <f>Kleit!L6/100</f>
        <v>65.665999999999997</v>
      </c>
      <c r="I7" s="9">
        <f>Kleit!M6/100</f>
        <v>70.220999999999989</v>
      </c>
      <c r="J7" s="9">
        <f>Kleit!N6/100</f>
        <v>74.775999999999996</v>
      </c>
      <c r="K7" s="9">
        <f>Kleit!O6/100</f>
        <v>82.532999999999987</v>
      </c>
      <c r="L7" s="9">
        <f>Kleit!P6/100</f>
        <v>90.29</v>
      </c>
      <c r="M7" s="9">
        <f>Kleit!Q6/100</f>
        <v>98.046999999999983</v>
      </c>
      <c r="N7" s="9">
        <f>Kleit!R6/100</f>
        <v>103.80399999999997</v>
      </c>
      <c r="O7" s="9">
        <f>Kleit!S6/100</f>
        <v>111.56099999999998</v>
      </c>
      <c r="P7" s="9">
        <f>Kleit!T6/100</f>
        <v>119.318</v>
      </c>
      <c r="Q7" s="9">
        <f>Kleit!U6/100</f>
        <v>129.01499999999999</v>
      </c>
      <c r="R7" s="9">
        <f>Kleit!V6/100</f>
        <v>138.71199999999999</v>
      </c>
      <c r="S7" s="9">
        <f>Kleit!W6/100</f>
        <v>148.40899999999999</v>
      </c>
      <c r="T7" s="9">
        <f>Kleit!X6/100</f>
        <v>158.10599999999999</v>
      </c>
      <c r="U7" s="9">
        <f>Kleit!Y6/100</f>
        <v>167.803</v>
      </c>
      <c r="V7" s="9">
        <f>Kleit!Z6/100</f>
        <v>177.5</v>
      </c>
      <c r="W7" s="9">
        <f>Kleit!AA6/100</f>
        <v>192.8646</v>
      </c>
      <c r="X7" s="9">
        <f>Kleit!AB6/100</f>
        <v>208.22919999999999</v>
      </c>
      <c r="Y7" s="9">
        <f>Kleit!AC6/100</f>
        <v>223.59380000000002</v>
      </c>
      <c r="Z7" s="9">
        <f>Kleit!AD6/100</f>
        <v>237.10839999999999</v>
      </c>
      <c r="AA7" s="9">
        <f>Kleit!AE6/100</f>
        <v>251.47299999999998</v>
      </c>
      <c r="AB7" s="9">
        <f>Kleit!AF6/100</f>
        <v>265.83760000000001</v>
      </c>
      <c r="AC7" s="9">
        <f>Kleit!AG6/100</f>
        <v>170.7022</v>
      </c>
      <c r="AD7" s="9">
        <f>Kleit!AH6/100</f>
        <v>181.5668</v>
      </c>
      <c r="AE7" s="9">
        <f>Kleit!AI6/100</f>
        <v>193.13139999999999</v>
      </c>
      <c r="AF7" s="9">
        <f>Kleit!AJ6/100</f>
        <v>301.29599999999999</v>
      </c>
      <c r="AG7" s="9">
        <f>Kleit!AK6/100</f>
        <v>307.4606</v>
      </c>
      <c r="AH7" s="9">
        <f>Kleit!AL6/100</f>
        <v>314.42520000000002</v>
      </c>
      <c r="AI7" s="9">
        <f>Kleit!AM6/100</f>
        <v>312.88979999999998</v>
      </c>
      <c r="AJ7" s="9">
        <f>Kleit!AN6/100</f>
        <v>311.3544</v>
      </c>
      <c r="AK7" s="9">
        <f>Kleit!AO6/100</f>
        <v>309.81900000000002</v>
      </c>
      <c r="AL7" s="9">
        <f>Kleit!AP6/100</f>
        <v>308.28359999999998</v>
      </c>
      <c r="AM7" s="9">
        <f>Kleit!AQ6/100</f>
        <v>306.7482</v>
      </c>
      <c r="AN7" s="9">
        <f>Kleit!AR6/100</f>
        <v>305.21280000000002</v>
      </c>
      <c r="AO7" s="9">
        <f>Kleit!AS6/100</f>
        <v>303.67739999999998</v>
      </c>
      <c r="AP7" s="9">
        <f>Kleit!AT6/100</f>
        <v>302.142</v>
      </c>
      <c r="AQ7" s="9">
        <f>Kleit!AU6/100</f>
        <v>300.60660000000001</v>
      </c>
      <c r="AR7" s="9">
        <f>Kleit!AV6/100</f>
        <v>299.07119999999998</v>
      </c>
      <c r="AS7" s="9">
        <f>Kleit!AW6/100</f>
        <v>297.53579999999999</v>
      </c>
      <c r="AT7" s="9">
        <f>Kleit!AX6/100</f>
        <v>296.00040000000001</v>
      </c>
      <c r="AU7" s="9">
        <f>Kleit!AY6/100</f>
        <v>294.46499999999997</v>
      </c>
      <c r="AV7" s="9">
        <f>Kleit!AZ6/100</f>
        <v>292.92959999999999</v>
      </c>
      <c r="AW7" s="9">
        <f>Kleit!BA6/100</f>
        <v>291.39419999999996</v>
      </c>
      <c r="AX7" s="9">
        <f>Kleit!BB6/100</f>
        <v>289.85880000000003</v>
      </c>
      <c r="AY7" s="9">
        <f>Kleit!BC6/100</f>
        <v>288.32339999999999</v>
      </c>
      <c r="AZ7" s="9">
        <f>Kleit!BD6/100</f>
        <v>286.78800000000001</v>
      </c>
      <c r="BA7" s="9">
        <f>Kleit!BE6/100</f>
        <v>285.25260000000003</v>
      </c>
      <c r="BB7" s="9">
        <f>Kleit!BF6/100</f>
        <v>283.71719999999999</v>
      </c>
      <c r="BC7" s="9">
        <f>Kleit!BG6/100</f>
        <v>282.18180000000001</v>
      </c>
      <c r="BD7" s="9">
        <f>Kleit!BH6/100</f>
        <v>280.64639999999997</v>
      </c>
      <c r="BE7" s="9">
        <f>Kleit!BI6/100</f>
        <v>279.11099999999999</v>
      </c>
      <c r="BF7" s="9">
        <f>Kleit!BJ6/100</f>
        <v>277.57560000000001</v>
      </c>
      <c r="BG7" s="9">
        <f>Kleit!BK6/100</f>
        <v>276.04020000000003</v>
      </c>
      <c r="BH7" s="9">
        <f>Kleit!BL6/100</f>
        <v>274.50479999999999</v>
      </c>
      <c r="BI7" s="9">
        <f>Kleit!BM6/100</f>
        <v>272.96940000000001</v>
      </c>
      <c r="BJ7" s="9">
        <f>Kleit!BN6/100</f>
        <v>271.43400000000003</v>
      </c>
      <c r="BK7" s="9">
        <f>Kleit!BO6/100</f>
        <v>269.89859999999999</v>
      </c>
      <c r="BL7" s="9">
        <f>Kleit!BP6/100</f>
        <v>268.36320000000001</v>
      </c>
      <c r="BM7" s="9">
        <f>Kleit!BQ6/100</f>
        <v>266.82779999999997</v>
      </c>
      <c r="BN7" s="9">
        <f>Kleit!BR6/100</f>
        <v>265.29240000000004</v>
      </c>
      <c r="BO7" s="9">
        <f>Kleit!BS6/100</f>
        <v>263.75700000000001</v>
      </c>
      <c r="BP7" s="9">
        <f>Kleit!BT6/100</f>
        <v>262.22160000000002</v>
      </c>
      <c r="BQ7" s="9">
        <f>Kleit!BU6/100</f>
        <v>260.68619999999999</v>
      </c>
      <c r="BR7" s="9">
        <f>Kleit!BV6/100</f>
        <v>259.1508</v>
      </c>
      <c r="BS7" s="9">
        <f>Kleit!BW6/100</f>
        <v>257.61540000000002</v>
      </c>
      <c r="BT7" s="9">
        <f>Kleit!BX6/100</f>
        <v>256.08</v>
      </c>
      <c r="BU7" s="9">
        <f>Kleit!BY6/100</f>
        <v>254.5446</v>
      </c>
      <c r="BV7" s="9">
        <f>Kleit!BZ6/100</f>
        <v>0</v>
      </c>
      <c r="BW7" s="9">
        <f>Kleit!CA6/100</f>
        <v>0</v>
      </c>
      <c r="BX7" s="9">
        <f>Kleit!CB6/100</f>
        <v>0</v>
      </c>
      <c r="BY7" s="9"/>
      <c r="BZ7" s="9"/>
      <c r="CA7" s="9"/>
      <c r="CB7" s="9"/>
      <c r="CC7" s="9"/>
    </row>
    <row r="9" spans="1:81" x14ac:dyDescent="0.45">
      <c r="AH9" s="9"/>
    </row>
    <row r="10" spans="1:81" x14ac:dyDescent="0.45">
      <c r="V10" s="9"/>
      <c r="W10" s="9"/>
      <c r="X10" s="9"/>
      <c r="Y10" s="9"/>
    </row>
    <row r="11" spans="1:81" x14ac:dyDescent="0.45">
      <c r="N11" s="185">
        <v>45862</v>
      </c>
      <c r="O11" s="185">
        <v>45918</v>
      </c>
    </row>
    <row r="12" spans="1:81" x14ac:dyDescent="0.45">
      <c r="B12" s="60"/>
      <c r="Y12" s="9"/>
    </row>
    <row r="13" spans="1:81" x14ac:dyDescent="0.45">
      <c r="B13" s="60"/>
      <c r="N13" s="6" t="s">
        <v>308</v>
      </c>
      <c r="O13" s="6" t="s">
        <v>308</v>
      </c>
      <c r="Y13" s="9"/>
    </row>
    <row r="14" spans="1:81" x14ac:dyDescent="0.45">
      <c r="B14" s="60"/>
      <c r="M14" s="6" t="s">
        <v>309</v>
      </c>
      <c r="N14" s="6">
        <v>25485</v>
      </c>
      <c r="O14" s="6">
        <v>32000</v>
      </c>
      <c r="P14" s="135"/>
      <c r="Y14" s="9"/>
    </row>
    <row r="15" spans="1:81" x14ac:dyDescent="0.45">
      <c r="B15" s="60"/>
      <c r="M15" s="6" t="s">
        <v>310</v>
      </c>
      <c r="N15" s="6">
        <v>18937</v>
      </c>
      <c r="O15" s="6">
        <v>21400</v>
      </c>
      <c r="Y15" s="9"/>
    </row>
    <row r="16" spans="1:81" x14ac:dyDescent="0.45">
      <c r="B16" s="60"/>
      <c r="M16" s="6" t="s">
        <v>311</v>
      </c>
      <c r="N16" s="6">
        <v>9353</v>
      </c>
      <c r="O16" s="6">
        <v>10300</v>
      </c>
    </row>
    <row r="17" spans="2:15" x14ac:dyDescent="0.45">
      <c r="B17" s="60"/>
      <c r="M17" s="6" t="s">
        <v>312</v>
      </c>
      <c r="N17" s="6">
        <f>N18-SUM(N14:N16)</f>
        <v>11296</v>
      </c>
      <c r="O17" s="6">
        <f>O18-SUM(O14:O16)</f>
        <v>15000</v>
      </c>
    </row>
    <row r="18" spans="2:15" x14ac:dyDescent="0.45">
      <c r="M18" s="6" t="s">
        <v>307</v>
      </c>
      <c r="N18" s="6">
        <v>65071</v>
      </c>
      <c r="O18" s="6">
        <v>78700</v>
      </c>
    </row>
    <row r="21" spans="2:15" x14ac:dyDescent="0.45">
      <c r="N21" s="8"/>
      <c r="O21" s="8"/>
    </row>
    <row r="22" spans="2:15" x14ac:dyDescent="0.45">
      <c r="N22" s="8"/>
      <c r="O22" s="8"/>
    </row>
    <row r="23" spans="2:15" x14ac:dyDescent="0.45">
      <c r="N23" s="8"/>
      <c r="O23" s="8"/>
    </row>
    <row r="24" spans="2:15" x14ac:dyDescent="0.45">
      <c r="N24" s="8"/>
      <c r="O24" s="8"/>
    </row>
    <row r="33" spans="2:28" x14ac:dyDescent="0.45">
      <c r="S33" s="19"/>
      <c r="T33" s="19"/>
      <c r="U33" s="19"/>
      <c r="V33" s="19"/>
      <c r="W33" s="19"/>
    </row>
    <row r="34" spans="2:28" x14ac:dyDescent="0.45">
      <c r="B34" s="8"/>
      <c r="C34" s="8"/>
      <c r="D34" s="8"/>
      <c r="E34" s="8"/>
      <c r="F34" s="8"/>
      <c r="G34" s="89"/>
      <c r="H34" s="8"/>
      <c r="I34" s="8"/>
      <c r="J34" s="8"/>
      <c r="K34" s="8"/>
      <c r="L34" s="8"/>
      <c r="V34" s="18"/>
      <c r="W34" s="18"/>
    </row>
    <row r="35" spans="2:28" x14ac:dyDescent="0.45">
      <c r="B35" s="8"/>
      <c r="C35" s="8"/>
      <c r="D35" s="8"/>
      <c r="E35" s="8"/>
      <c r="F35" s="8"/>
      <c r="G35" s="89"/>
      <c r="H35" s="8"/>
      <c r="I35" s="8"/>
      <c r="J35" s="8"/>
      <c r="K35" s="8"/>
      <c r="V35" s="18"/>
      <c r="W35" s="18"/>
    </row>
    <row r="36" spans="2:28" x14ac:dyDescent="0.45">
      <c r="B36" s="8"/>
      <c r="C36" s="8"/>
      <c r="D36" s="8"/>
      <c r="E36" s="8"/>
      <c r="F36" s="8"/>
      <c r="G36" s="89"/>
      <c r="H36" s="8"/>
      <c r="I36" s="8"/>
      <c r="J36" s="8"/>
      <c r="K36" s="8"/>
      <c r="V36" s="18"/>
      <c r="W36" s="18"/>
    </row>
    <row r="37" spans="2:28" x14ac:dyDescent="0.45">
      <c r="V37" s="18"/>
      <c r="W37" s="18"/>
    </row>
    <row r="38" spans="2:28" x14ac:dyDescent="0.45">
      <c r="B38" s="8"/>
      <c r="C38" s="8"/>
      <c r="D38" s="8"/>
      <c r="H38" s="8"/>
      <c r="I38" s="8"/>
      <c r="J38" s="8"/>
      <c r="V38" s="18"/>
      <c r="W38" s="18"/>
      <c r="AB38" s="8"/>
    </row>
    <row r="39" spans="2:28" x14ac:dyDescent="0.45">
      <c r="V39" s="18"/>
      <c r="W39" s="18"/>
    </row>
    <row r="40" spans="2:28" x14ac:dyDescent="0.45">
      <c r="V40" s="18"/>
      <c r="W40" s="18"/>
    </row>
    <row r="41" spans="2:28" x14ac:dyDescent="0.45">
      <c r="V41" s="18"/>
      <c r="W41" s="18"/>
    </row>
    <row r="42" spans="2:28" x14ac:dyDescent="0.45">
      <c r="G42" s="90"/>
      <c r="K42" s="9"/>
      <c r="L42" s="9"/>
      <c r="M42" s="9"/>
      <c r="N42" s="9"/>
      <c r="O42" s="9"/>
    </row>
    <row r="43" spans="2:28" x14ac:dyDescent="0.45">
      <c r="G43" s="90"/>
      <c r="K43" s="9"/>
      <c r="L43" s="9"/>
      <c r="M43" s="9"/>
      <c r="N43" s="9"/>
      <c r="O43" s="9"/>
    </row>
    <row r="44" spans="2:28" x14ac:dyDescent="0.45">
      <c r="G44" s="90"/>
      <c r="K44" s="9"/>
      <c r="L44" s="9"/>
      <c r="M44" s="9"/>
      <c r="N44" s="9"/>
      <c r="O44" s="9"/>
    </row>
    <row r="45" spans="2:28" x14ac:dyDescent="0.45">
      <c r="K45" s="9"/>
      <c r="L45" s="9"/>
      <c r="M45" s="9"/>
      <c r="N45" s="9"/>
      <c r="O45" s="9"/>
      <c r="S45" s="7"/>
    </row>
    <row r="46" spans="2:28" x14ac:dyDescent="0.45">
      <c r="G46" s="90"/>
      <c r="H46" s="9"/>
      <c r="I46" s="9"/>
      <c r="J46" s="9"/>
      <c r="K46" s="9"/>
      <c r="L46" s="9"/>
      <c r="M46" s="9"/>
      <c r="N46" s="9"/>
      <c r="O46" s="10"/>
      <c r="S46" s="7"/>
    </row>
    <row r="47" spans="2:28" x14ac:dyDescent="0.45">
      <c r="J47" s="9"/>
      <c r="K47" s="9"/>
      <c r="L47" s="9"/>
      <c r="M47" s="9"/>
      <c r="N47" s="9"/>
      <c r="S47" s="7"/>
    </row>
    <row r="48" spans="2:28" x14ac:dyDescent="0.45">
      <c r="S48" s="7"/>
    </row>
    <row r="49" spans="3:19" x14ac:dyDescent="0.45">
      <c r="S49" s="7"/>
    </row>
    <row r="53" spans="3:19" x14ac:dyDescent="0.45">
      <c r="C53" s="6" t="s">
        <v>6</v>
      </c>
      <c r="D53" s="6">
        <v>1000</v>
      </c>
      <c r="F53" s="6">
        <f>AVERAGE(D53:D54)</f>
        <v>750</v>
      </c>
      <c r="I53" s="6">
        <v>1500</v>
      </c>
      <c r="J53" s="6" t="s">
        <v>62</v>
      </c>
    </row>
    <row r="54" spans="3:19" x14ac:dyDescent="0.45">
      <c r="C54" s="6" t="s">
        <v>5</v>
      </c>
      <c r="D54" s="6">
        <v>500</v>
      </c>
      <c r="F54" s="6">
        <f>(D53-D54)/2</f>
        <v>250</v>
      </c>
      <c r="I54" s="6">
        <f>I53/100</f>
        <v>15</v>
      </c>
      <c r="J54" s="6" t="s">
        <v>70</v>
      </c>
    </row>
    <row r="55" spans="3:19" x14ac:dyDescent="0.45">
      <c r="C55" s="6" t="s">
        <v>8</v>
      </c>
      <c r="D55" s="6">
        <v>9</v>
      </c>
      <c r="F55" s="6">
        <f>AVERAGE(D55:D56)</f>
        <v>6.5</v>
      </c>
      <c r="I55" s="6">
        <f>I53/0.375*3.6/100</f>
        <v>144</v>
      </c>
      <c r="J55" s="6" t="s">
        <v>61</v>
      </c>
    </row>
    <row r="56" spans="3:19" x14ac:dyDescent="0.45">
      <c r="C56" s="6" t="s">
        <v>7</v>
      </c>
      <c r="D56" s="6">
        <v>4</v>
      </c>
      <c r="F56" s="6">
        <f>(D55-D56)/2</f>
        <v>2.5</v>
      </c>
      <c r="I56" s="6">
        <f>10000/40</f>
        <v>250</v>
      </c>
      <c r="J56" s="6" t="s">
        <v>11</v>
      </c>
    </row>
    <row r="58" spans="3:19" x14ac:dyDescent="0.45">
      <c r="C58" s="6" t="s">
        <v>9</v>
      </c>
      <c r="D58" s="6">
        <f>F58+F59</f>
        <v>8375</v>
      </c>
      <c r="F58" s="6">
        <f>F53*F55</f>
        <v>4875</v>
      </c>
    </row>
    <row r="59" spans="3:19" x14ac:dyDescent="0.45">
      <c r="C59" s="6" t="s">
        <v>10</v>
      </c>
      <c r="D59" s="6">
        <f>F58-F59</f>
        <v>1375</v>
      </c>
      <c r="F59" s="6">
        <f>F53*F56+F54*F55</f>
        <v>3500</v>
      </c>
    </row>
    <row r="65" spans="1:16" x14ac:dyDescent="0.45">
      <c r="C65" s="6" t="s">
        <v>130</v>
      </c>
      <c r="D65" s="6">
        <f>3300 + 2100 + 1900</f>
        <v>7300</v>
      </c>
    </row>
    <row r="66" spans="1:16" x14ac:dyDescent="0.45">
      <c r="C66" s="6" t="s">
        <v>131</v>
      </c>
      <c r="D66" s="6">
        <v>10</v>
      </c>
    </row>
    <row r="67" spans="1:16" x14ac:dyDescent="0.45">
      <c r="C67" s="6" t="s">
        <v>132</v>
      </c>
      <c r="D67" s="6">
        <v>330</v>
      </c>
    </row>
    <row r="68" spans="1:16" x14ac:dyDescent="0.45">
      <c r="C68" s="6" t="s">
        <v>133</v>
      </c>
      <c r="D68" s="6">
        <f>D67/D66</f>
        <v>33</v>
      </c>
    </row>
    <row r="69" spans="1:16" x14ac:dyDescent="0.45">
      <c r="C69" s="6" t="s">
        <v>134</v>
      </c>
      <c r="D69" s="6">
        <f>D68*D65</f>
        <v>240900</v>
      </c>
    </row>
    <row r="73" spans="1:16" x14ac:dyDescent="0.45">
      <c r="B73" s="83"/>
      <c r="C73" s="83"/>
      <c r="D73" s="83"/>
      <c r="E73" s="83"/>
      <c r="F73" s="83"/>
      <c r="H73" s="83"/>
      <c r="I73" s="83"/>
    </row>
    <row r="74" spans="1:16" ht="72" x14ac:dyDescent="0.55000000000000004">
      <c r="A74" s="88" t="s">
        <v>239</v>
      </c>
      <c r="C74" s="87" t="s">
        <v>237</v>
      </c>
      <c r="D74" s="85" t="s">
        <v>231</v>
      </c>
      <c r="E74" s="85" t="s">
        <v>232</v>
      </c>
      <c r="F74" s="83" t="s">
        <v>233</v>
      </c>
      <c r="G74" s="88" t="s">
        <v>240</v>
      </c>
      <c r="H74" s="83"/>
      <c r="J74" s="87" t="s">
        <v>238</v>
      </c>
      <c r="K74" s="85" t="s">
        <v>231</v>
      </c>
      <c r="L74" s="85" t="s">
        <v>232</v>
      </c>
      <c r="M74" s="6" t="s">
        <v>233</v>
      </c>
      <c r="N74" s="88" t="s">
        <v>240</v>
      </c>
      <c r="O74" s="19" t="s">
        <v>234</v>
      </c>
    </row>
    <row r="75" spans="1:16" x14ac:dyDescent="0.45">
      <c r="A75" s="86">
        <v>100</v>
      </c>
      <c r="C75" s="83"/>
      <c r="D75" s="86">
        <v>100</v>
      </c>
      <c r="E75" s="84">
        <v>0</v>
      </c>
      <c r="F75" s="83">
        <v>0</v>
      </c>
      <c r="G75" s="83">
        <v>0</v>
      </c>
      <c r="H75" s="91" t="s">
        <v>235</v>
      </c>
      <c r="K75" s="86">
        <v>100</v>
      </c>
      <c r="L75" s="84">
        <v>0</v>
      </c>
      <c r="M75" s="83">
        <v>0</v>
      </c>
      <c r="N75" s="83">
        <v>0</v>
      </c>
      <c r="O75" s="83">
        <v>0</v>
      </c>
      <c r="P75" s="91" t="s">
        <v>235</v>
      </c>
    </row>
    <row r="76" spans="1:16" x14ac:dyDescent="0.45">
      <c r="A76" s="86">
        <v>100</v>
      </c>
      <c r="C76" s="83"/>
      <c r="D76" s="86">
        <v>0</v>
      </c>
      <c r="E76" s="84">
        <v>1</v>
      </c>
      <c r="F76" s="83">
        <v>0</v>
      </c>
      <c r="G76" s="83">
        <v>0</v>
      </c>
      <c r="H76" s="91"/>
      <c r="K76" s="86">
        <v>0</v>
      </c>
      <c r="L76" s="84">
        <v>1</v>
      </c>
      <c r="M76" s="83">
        <v>0</v>
      </c>
      <c r="N76" s="83">
        <v>0</v>
      </c>
      <c r="O76" s="83">
        <v>0</v>
      </c>
      <c r="P76" s="91"/>
    </row>
    <row r="77" spans="1:16" x14ac:dyDescent="0.45">
      <c r="A77" s="86">
        <v>100</v>
      </c>
      <c r="C77" s="83"/>
      <c r="D77" s="86">
        <v>0</v>
      </c>
      <c r="E77" s="84">
        <v>1</v>
      </c>
      <c r="F77" s="83">
        <v>0</v>
      </c>
      <c r="G77" s="83">
        <v>0</v>
      </c>
      <c r="H77" s="91"/>
      <c r="K77" s="86">
        <v>0</v>
      </c>
      <c r="L77" s="84">
        <v>1</v>
      </c>
      <c r="M77" s="83">
        <v>0</v>
      </c>
      <c r="N77" s="83">
        <v>0</v>
      </c>
      <c r="O77" s="83">
        <v>0</v>
      </c>
      <c r="P77" s="91"/>
    </row>
    <row r="78" spans="1:16" x14ac:dyDescent="0.45">
      <c r="A78" s="86">
        <v>50</v>
      </c>
      <c r="C78" s="83"/>
      <c r="D78" s="86">
        <v>0</v>
      </c>
      <c r="E78" s="84">
        <v>1</v>
      </c>
      <c r="F78" s="83">
        <v>0</v>
      </c>
      <c r="G78" s="83">
        <v>0</v>
      </c>
      <c r="H78" s="91"/>
      <c r="K78" s="86">
        <v>0</v>
      </c>
      <c r="L78" s="84">
        <v>1</v>
      </c>
      <c r="M78" s="83">
        <v>0</v>
      </c>
      <c r="N78" s="83">
        <v>0</v>
      </c>
      <c r="O78" s="83">
        <v>0</v>
      </c>
      <c r="P78" s="91"/>
    </row>
    <row r="79" spans="1:16" x14ac:dyDescent="0.45">
      <c r="A79" s="86">
        <v>50</v>
      </c>
      <c r="C79" s="83"/>
      <c r="D79" s="86">
        <v>0</v>
      </c>
      <c r="E79" s="84">
        <v>1</v>
      </c>
      <c r="F79" s="83">
        <v>0</v>
      </c>
      <c r="G79" s="83">
        <v>0</v>
      </c>
      <c r="H79" s="91"/>
      <c r="K79" s="86">
        <v>50</v>
      </c>
      <c r="L79" s="84">
        <v>0</v>
      </c>
      <c r="M79" s="83">
        <v>0</v>
      </c>
      <c r="N79" s="83">
        <v>0</v>
      </c>
      <c r="O79" s="83">
        <f>K75-K79</f>
        <v>50</v>
      </c>
      <c r="P79" s="92" t="s">
        <v>236</v>
      </c>
    </row>
    <row r="80" spans="1:16" x14ac:dyDescent="0.45">
      <c r="A80" s="86">
        <v>50</v>
      </c>
      <c r="C80" s="83"/>
      <c r="D80" s="86">
        <v>0</v>
      </c>
      <c r="E80" s="84">
        <v>1</v>
      </c>
      <c r="F80" s="83">
        <v>0</v>
      </c>
      <c r="G80" s="83">
        <v>0</v>
      </c>
      <c r="H80" s="91"/>
      <c r="K80" s="86">
        <v>0</v>
      </c>
      <c r="L80" s="84">
        <v>1</v>
      </c>
      <c r="M80" s="83">
        <v>0</v>
      </c>
      <c r="N80" s="83">
        <v>0</v>
      </c>
      <c r="O80" s="83">
        <f>O79</f>
        <v>50</v>
      </c>
      <c r="P80" s="92" t="s">
        <v>235</v>
      </c>
    </row>
    <row r="81" spans="1:16" x14ac:dyDescent="0.45">
      <c r="A81" s="86">
        <v>50</v>
      </c>
      <c r="C81" s="83"/>
      <c r="D81" s="86">
        <v>0</v>
      </c>
      <c r="E81" s="84">
        <v>1</v>
      </c>
      <c r="F81" s="83">
        <v>0</v>
      </c>
      <c r="G81" s="83">
        <v>0</v>
      </c>
      <c r="H81" s="91"/>
      <c r="K81" s="86">
        <v>0</v>
      </c>
      <c r="L81" s="84">
        <v>1</v>
      </c>
      <c r="M81" s="83">
        <v>0</v>
      </c>
      <c r="N81" s="83">
        <v>0</v>
      </c>
      <c r="O81" s="83">
        <f t="shared" ref="O81:O83" si="66">O80</f>
        <v>50</v>
      </c>
      <c r="P81" s="91"/>
    </row>
    <row r="82" spans="1:16" x14ac:dyDescent="0.45">
      <c r="A82" s="86">
        <v>120</v>
      </c>
      <c r="C82" s="83"/>
      <c r="D82" s="86">
        <v>0</v>
      </c>
      <c r="E82" s="84">
        <v>1</v>
      </c>
      <c r="F82" s="83">
        <v>0</v>
      </c>
      <c r="G82" s="83">
        <v>0</v>
      </c>
      <c r="H82" s="91"/>
      <c r="K82" s="86">
        <v>0</v>
      </c>
      <c r="L82" s="84">
        <v>1</v>
      </c>
      <c r="M82" s="83">
        <v>0</v>
      </c>
      <c r="N82" s="83">
        <v>0</v>
      </c>
      <c r="O82" s="83">
        <f t="shared" si="66"/>
        <v>50</v>
      </c>
      <c r="P82" s="91"/>
    </row>
    <row r="83" spans="1:16" x14ac:dyDescent="0.45">
      <c r="A83" s="86">
        <v>120</v>
      </c>
      <c r="C83" s="83"/>
      <c r="D83" s="86">
        <v>120</v>
      </c>
      <c r="E83" s="84">
        <v>0</v>
      </c>
      <c r="F83" s="86">
        <f>-0.26*G83</f>
        <v>-5.2</v>
      </c>
      <c r="G83" s="83">
        <f>D83-D75</f>
        <v>20</v>
      </c>
      <c r="H83" s="91" t="s">
        <v>236</v>
      </c>
      <c r="K83" s="86">
        <v>120</v>
      </c>
      <c r="L83" s="84">
        <v>0</v>
      </c>
      <c r="M83" s="83">
        <v>0</v>
      </c>
      <c r="N83" s="83">
        <f>K83-K79</f>
        <v>70</v>
      </c>
      <c r="O83" s="83">
        <f t="shared" si="66"/>
        <v>50</v>
      </c>
      <c r="P83" s="91" t="s">
        <v>236</v>
      </c>
    </row>
    <row r="84" spans="1:16" x14ac:dyDescent="0.45">
      <c r="A84" s="86">
        <v>120</v>
      </c>
      <c r="C84" s="83"/>
      <c r="D84" s="86">
        <f>D83+F83</f>
        <v>114.8</v>
      </c>
      <c r="E84" s="84">
        <v>0</v>
      </c>
      <c r="F84" s="83">
        <v>0</v>
      </c>
      <c r="G84" s="83">
        <v>0</v>
      </c>
      <c r="H84" s="91"/>
      <c r="K84" s="86">
        <v>120</v>
      </c>
      <c r="L84" s="84">
        <v>0</v>
      </c>
      <c r="M84" s="83">
        <f>-0.26*N84</f>
        <v>-5.2</v>
      </c>
      <c r="N84" s="83">
        <f>N83-O83</f>
        <v>20</v>
      </c>
      <c r="O84" s="83">
        <v>0</v>
      </c>
      <c r="P84" s="91" t="s">
        <v>241</v>
      </c>
    </row>
    <row r="85" spans="1:16" x14ac:dyDescent="0.45">
      <c r="A85" s="86">
        <v>120</v>
      </c>
      <c r="C85" s="83"/>
      <c r="D85" s="86">
        <f>D84+F84</f>
        <v>114.8</v>
      </c>
      <c r="E85" s="84">
        <v>0</v>
      </c>
      <c r="F85" s="83">
        <v>0</v>
      </c>
      <c r="G85" s="83">
        <v>0</v>
      </c>
      <c r="H85" s="91"/>
      <c r="J85" s="83"/>
      <c r="K85" s="86">
        <f>K84+M84</f>
        <v>114.8</v>
      </c>
      <c r="L85" s="83">
        <v>0</v>
      </c>
      <c r="M85" s="83">
        <v>0</v>
      </c>
      <c r="N85" s="83">
        <v>0</v>
      </c>
      <c r="O85" s="83">
        <v>0</v>
      </c>
      <c r="P85" s="91"/>
    </row>
    <row r="86" spans="1:16" x14ac:dyDescent="0.45">
      <c r="B86" s="83"/>
      <c r="C86" s="83"/>
      <c r="D86" s="83"/>
      <c r="E86" s="83"/>
      <c r="F86" s="83"/>
      <c r="J86" s="83"/>
      <c r="K86" s="83"/>
    </row>
    <row r="87" spans="1:16" x14ac:dyDescent="0.45">
      <c r="B87" s="83"/>
      <c r="C87" s="83"/>
      <c r="D87" s="83"/>
      <c r="E87" s="83"/>
      <c r="F87" s="83"/>
      <c r="I87" s="83"/>
      <c r="J87" s="83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574F-FA6E-4CFB-8E3E-0699D6F6CC88}">
  <dimension ref="A1:B5"/>
  <sheetViews>
    <sheetView workbookViewId="0"/>
  </sheetViews>
  <sheetFormatPr defaultRowHeight="14.25" x14ac:dyDescent="0.45"/>
  <cols>
    <col min="1" max="16384" width="9.06640625" style="1"/>
  </cols>
  <sheetData>
    <row r="1" spans="1:2" x14ac:dyDescent="0.45">
      <c r="B1" s="93" t="s">
        <v>248</v>
      </c>
    </row>
    <row r="2" spans="1:2" x14ac:dyDescent="0.45">
      <c r="A2" s="30" t="s">
        <v>245</v>
      </c>
      <c r="B2" s="94">
        <v>2.5</v>
      </c>
    </row>
    <row r="3" spans="1:2" x14ac:dyDescent="0.45">
      <c r="A3" s="30" t="s">
        <v>247</v>
      </c>
      <c r="B3" s="29">
        <v>0.7</v>
      </c>
    </row>
    <row r="4" spans="1:2" x14ac:dyDescent="0.45">
      <c r="A4" s="95"/>
      <c r="B4" s="29"/>
    </row>
    <row r="5" spans="1:2" ht="15.75" x14ac:dyDescent="0.5">
      <c r="A5" s="30" t="s">
        <v>246</v>
      </c>
      <c r="B5" s="96">
        <f ca="1">ROUND(EXP($B$2 + $B$3^(0.5)* _xlfn.NORM.S.INV(RAND())),1)</f>
        <v>13.4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88E8-64D7-4D53-A811-22F70197F99F}">
  <dimension ref="B3:I75"/>
  <sheetViews>
    <sheetView topLeftCell="A5" zoomScaleNormal="100" workbookViewId="0">
      <selection activeCell="D14" sqref="D14"/>
    </sheetView>
  </sheetViews>
  <sheetFormatPr defaultColWidth="10.796875" defaultRowHeight="14.25" x14ac:dyDescent="0.45"/>
  <cols>
    <col min="1" max="1" width="10.796875" style="6"/>
    <col min="2" max="2" width="23.33203125" style="6" customWidth="1"/>
    <col min="3" max="4" width="10.796875" style="6"/>
    <col min="5" max="5" width="24.265625" style="6" bestFit="1" customWidth="1"/>
    <col min="6" max="16384" width="10.796875" style="6"/>
  </cols>
  <sheetData>
    <row r="3" spans="2:8" ht="23.25" x14ac:dyDescent="0.7">
      <c r="B3" s="17" t="s">
        <v>200</v>
      </c>
    </row>
    <row r="5" spans="2:8" x14ac:dyDescent="0.45">
      <c r="B5" s="11" t="s">
        <v>18</v>
      </c>
      <c r="C5" s="11" t="s">
        <v>19</v>
      </c>
      <c r="E5" s="11" t="s">
        <v>18</v>
      </c>
      <c r="F5" s="11" t="s">
        <v>19</v>
      </c>
    </row>
    <row r="6" spans="2:8" x14ac:dyDescent="0.45">
      <c r="B6" s="12" t="s">
        <v>14</v>
      </c>
      <c r="C6" s="13">
        <v>250</v>
      </c>
      <c r="E6" s="12" t="s">
        <v>52</v>
      </c>
      <c r="F6" s="16">
        <v>-0.25</v>
      </c>
      <c r="H6" s="74"/>
    </row>
    <row r="7" spans="2:8" x14ac:dyDescent="0.45">
      <c r="B7" s="12" t="s">
        <v>47</v>
      </c>
      <c r="C7" s="16">
        <f>C6*F6</f>
        <v>-62.5</v>
      </c>
      <c r="E7" s="12" t="s">
        <v>51</v>
      </c>
      <c r="F7" s="16">
        <v>1</v>
      </c>
    </row>
    <row r="8" spans="2:8" x14ac:dyDescent="0.45">
      <c r="B8" s="12" t="s">
        <v>48</v>
      </c>
      <c r="C8" s="16">
        <f>-F9*C6</f>
        <v>-288.00000000000006</v>
      </c>
      <c r="E8" s="12" t="s">
        <v>50</v>
      </c>
      <c r="F8" s="16">
        <v>10</v>
      </c>
    </row>
    <row r="9" spans="2:8" x14ac:dyDescent="0.45">
      <c r="B9" s="12" t="s">
        <v>27</v>
      </c>
      <c r="C9" s="16">
        <f>F10*C6*F8</f>
        <v>6250</v>
      </c>
      <c r="E9" s="12" t="s">
        <v>49</v>
      </c>
      <c r="F9" s="16">
        <f>0.12/0.375*3.6*F7</f>
        <v>1.1520000000000001</v>
      </c>
    </row>
    <row r="10" spans="2:8" x14ac:dyDescent="0.45">
      <c r="E10" s="12" t="s">
        <v>12</v>
      </c>
      <c r="F10" s="12">
        <v>2.5</v>
      </c>
    </row>
    <row r="11" spans="2:8" x14ac:dyDescent="0.45">
      <c r="B11" s="13" t="s">
        <v>16</v>
      </c>
      <c r="C11" s="16">
        <f>SUM(C7:C9)</f>
        <v>5899.5</v>
      </c>
    </row>
    <row r="12" spans="2:8" x14ac:dyDescent="0.45">
      <c r="B12" s="6" t="s">
        <v>199</v>
      </c>
      <c r="C12" s="74">
        <f>C11/12</f>
        <v>491.625</v>
      </c>
    </row>
    <row r="18" spans="2:9" ht="23.25" x14ac:dyDescent="0.7">
      <c r="B18" s="17" t="s">
        <v>17</v>
      </c>
    </row>
    <row r="20" spans="2:9" x14ac:dyDescent="0.45">
      <c r="B20" s="11" t="s">
        <v>18</v>
      </c>
      <c r="C20" s="11" t="s">
        <v>19</v>
      </c>
      <c r="E20" s="11" t="s">
        <v>18</v>
      </c>
      <c r="F20" s="11" t="s">
        <v>19</v>
      </c>
      <c r="H20" s="6" t="s">
        <v>115</v>
      </c>
      <c r="I20" s="6" t="s">
        <v>117</v>
      </c>
    </row>
    <row r="21" spans="2:9" x14ac:dyDescent="0.45">
      <c r="B21" s="12" t="s">
        <v>15</v>
      </c>
      <c r="C21" s="12">
        <v>2</v>
      </c>
      <c r="E21" s="12" t="s">
        <v>42</v>
      </c>
      <c r="F21" s="16">
        <v>5</v>
      </c>
      <c r="H21" s="6">
        <v>150</v>
      </c>
      <c r="I21" s="6">
        <f>H21*8</f>
        <v>1200</v>
      </c>
    </row>
    <row r="22" spans="2:9" x14ac:dyDescent="0.45">
      <c r="B22" s="12" t="s">
        <v>20</v>
      </c>
      <c r="C22" s="12">
        <v>200</v>
      </c>
      <c r="E22" s="12" t="s">
        <v>43</v>
      </c>
      <c r="F22" s="16">
        <v>1</v>
      </c>
      <c r="H22" s="6">
        <f>H21*1.3</f>
        <v>195</v>
      </c>
    </row>
    <row r="23" spans="2:9" x14ac:dyDescent="0.45">
      <c r="B23" s="12" t="s">
        <v>41</v>
      </c>
      <c r="C23" s="16">
        <f>-C22*F21</f>
        <v>-1000</v>
      </c>
      <c r="E23" s="12" t="s">
        <v>44</v>
      </c>
      <c r="F23" s="16">
        <v>12</v>
      </c>
    </row>
    <row r="24" spans="2:9" x14ac:dyDescent="0.45">
      <c r="B24" s="12" t="s">
        <v>40</v>
      </c>
      <c r="C24" s="16">
        <f>F26*C21</f>
        <v>-300</v>
      </c>
      <c r="E24" s="12" t="s">
        <v>23</v>
      </c>
      <c r="F24" s="12">
        <v>2</v>
      </c>
      <c r="H24" s="6" t="s">
        <v>116</v>
      </c>
    </row>
    <row r="25" spans="2:9" x14ac:dyDescent="0.45">
      <c r="B25" s="12" t="s">
        <v>21</v>
      </c>
      <c r="C25" s="12">
        <f>C22*F27</f>
        <v>260</v>
      </c>
      <c r="E25" s="12" t="s">
        <v>45</v>
      </c>
      <c r="F25" s="16">
        <v>7</v>
      </c>
      <c r="H25" s="6">
        <f>H22/2</f>
        <v>97.5</v>
      </c>
      <c r="I25" s="6">
        <f>H25*16</f>
        <v>1560</v>
      </c>
    </row>
    <row r="26" spans="2:9" x14ac:dyDescent="0.45">
      <c r="B26" s="12" t="s">
        <v>37</v>
      </c>
      <c r="C26" s="16">
        <f>-C25/F24*F22</f>
        <v>-130</v>
      </c>
      <c r="E26" s="12" t="s">
        <v>46</v>
      </c>
      <c r="F26" s="16">
        <v>-150</v>
      </c>
      <c r="I26" s="6">
        <f>H25*2</f>
        <v>195</v>
      </c>
    </row>
    <row r="27" spans="2:9" x14ac:dyDescent="0.45">
      <c r="B27" s="12" t="s">
        <v>38</v>
      </c>
      <c r="C27" s="16">
        <f>-C26</f>
        <v>130</v>
      </c>
      <c r="E27" s="12" t="s">
        <v>22</v>
      </c>
      <c r="F27" s="12">
        <v>1.3</v>
      </c>
    </row>
    <row r="28" spans="2:9" x14ac:dyDescent="0.45">
      <c r="B28" s="12" t="s">
        <v>39</v>
      </c>
      <c r="C28" s="16">
        <f>C25*F25</f>
        <v>1820</v>
      </c>
      <c r="I28" s="6">
        <f>(I25-I21-I26)</f>
        <v>165</v>
      </c>
    </row>
    <row r="30" spans="2:9" x14ac:dyDescent="0.45">
      <c r="B30" s="13" t="s">
        <v>16</v>
      </c>
      <c r="C30" s="16">
        <f>C24+C28+C23</f>
        <v>520</v>
      </c>
    </row>
    <row r="34" spans="2:6" ht="23.25" x14ac:dyDescent="0.7">
      <c r="B34" s="17" t="s">
        <v>32</v>
      </c>
    </row>
    <row r="36" spans="2:6" x14ac:dyDescent="0.45">
      <c r="B36" s="11" t="s">
        <v>18</v>
      </c>
      <c r="C36" s="11" t="s">
        <v>19</v>
      </c>
      <c r="E36" s="11" t="s">
        <v>18</v>
      </c>
      <c r="F36" s="11" t="s">
        <v>19</v>
      </c>
    </row>
    <row r="37" spans="2:6" x14ac:dyDescent="0.45">
      <c r="B37" s="12" t="s">
        <v>24</v>
      </c>
      <c r="C37" s="12">
        <v>100</v>
      </c>
      <c r="E37" s="12" t="s">
        <v>34</v>
      </c>
      <c r="F37" s="14">
        <v>-60</v>
      </c>
    </row>
    <row r="38" spans="2:6" x14ac:dyDescent="0.45">
      <c r="B38" s="12" t="s">
        <v>29</v>
      </c>
      <c r="C38" s="12">
        <v>20</v>
      </c>
      <c r="E38" s="12" t="s">
        <v>35</v>
      </c>
      <c r="F38" s="15">
        <v>1.1000000000000001</v>
      </c>
    </row>
    <row r="39" spans="2:6" x14ac:dyDescent="0.45">
      <c r="B39" s="12" t="s">
        <v>30</v>
      </c>
      <c r="C39" s="12">
        <f>C38*C37</f>
        <v>2000</v>
      </c>
      <c r="E39" s="12" t="s">
        <v>36</v>
      </c>
      <c r="F39" s="15">
        <v>1</v>
      </c>
    </row>
    <row r="40" spans="2:6" x14ac:dyDescent="0.45">
      <c r="B40" s="12" t="s">
        <v>25</v>
      </c>
      <c r="C40" s="14">
        <f>-C39*F39</f>
        <v>-2000</v>
      </c>
    </row>
    <row r="41" spans="2:6" x14ac:dyDescent="0.45">
      <c r="B41" s="12" t="s">
        <v>28</v>
      </c>
      <c r="C41" s="14">
        <f>F37</f>
        <v>-60</v>
      </c>
    </row>
    <row r="42" spans="2:6" x14ac:dyDescent="0.45">
      <c r="B42" s="12" t="s">
        <v>26</v>
      </c>
      <c r="C42" s="14">
        <f>C39*F38</f>
        <v>2200</v>
      </c>
    </row>
    <row r="44" spans="2:6" x14ac:dyDescent="0.45">
      <c r="B44" s="13" t="s">
        <v>31</v>
      </c>
      <c r="C44" s="14">
        <f>SUM(C40:C42)</f>
        <v>140</v>
      </c>
    </row>
    <row r="48" spans="2:6" ht="23.25" x14ac:dyDescent="0.7">
      <c r="B48" s="17" t="s">
        <v>33</v>
      </c>
    </row>
    <row r="50" spans="2:6" x14ac:dyDescent="0.45">
      <c r="B50" s="11" t="s">
        <v>18</v>
      </c>
      <c r="C50" s="11" t="s">
        <v>19</v>
      </c>
      <c r="E50" s="11" t="s">
        <v>18</v>
      </c>
      <c r="F50" s="11" t="s">
        <v>19</v>
      </c>
    </row>
    <row r="51" spans="2:6" x14ac:dyDescent="0.45">
      <c r="B51" s="12" t="s">
        <v>56</v>
      </c>
      <c r="C51" s="12">
        <v>100</v>
      </c>
      <c r="E51" s="12" t="s">
        <v>53</v>
      </c>
      <c r="F51" s="14">
        <v>0.3</v>
      </c>
    </row>
    <row r="52" spans="2:6" x14ac:dyDescent="0.45">
      <c r="B52" s="12" t="s">
        <v>55</v>
      </c>
      <c r="C52" s="12">
        <v>7</v>
      </c>
      <c r="E52" s="12" t="s">
        <v>54</v>
      </c>
      <c r="F52" s="14">
        <v>7.0000000000000007E-2</v>
      </c>
    </row>
    <row r="53" spans="2:6" x14ac:dyDescent="0.45">
      <c r="B53" s="12" t="s">
        <v>57</v>
      </c>
      <c r="C53" s="12">
        <f>_xlfn.CEILING.MATH(C51/F54)</f>
        <v>1</v>
      </c>
      <c r="E53" s="12" t="s">
        <v>58</v>
      </c>
      <c r="F53" s="14">
        <v>-100</v>
      </c>
    </row>
    <row r="54" spans="2:6" x14ac:dyDescent="0.45">
      <c r="B54" s="12" t="s">
        <v>13</v>
      </c>
      <c r="C54" s="14">
        <f>C53*F53</f>
        <v>-100</v>
      </c>
      <c r="E54" s="12" t="s">
        <v>60</v>
      </c>
      <c r="F54" s="12">
        <v>100</v>
      </c>
    </row>
    <row r="55" spans="2:6" x14ac:dyDescent="0.45">
      <c r="B55" s="12" t="s">
        <v>59</v>
      </c>
      <c r="C55" s="14">
        <f>C52*C51*F51</f>
        <v>210</v>
      </c>
    </row>
    <row r="57" spans="2:6" x14ac:dyDescent="0.45">
      <c r="B57" s="13" t="s">
        <v>31</v>
      </c>
      <c r="C57" s="14">
        <f>SUM(C54:C55)</f>
        <v>110</v>
      </c>
    </row>
    <row r="61" spans="2:6" ht="23.25" x14ac:dyDescent="0.7">
      <c r="B61" s="17" t="s">
        <v>79</v>
      </c>
    </row>
    <row r="63" spans="2:6" x14ac:dyDescent="0.45">
      <c r="B63" s="11" t="s">
        <v>18</v>
      </c>
      <c r="C63" s="11" t="s">
        <v>19</v>
      </c>
      <c r="E63" s="11" t="s">
        <v>18</v>
      </c>
      <c r="F63" s="11" t="s">
        <v>19</v>
      </c>
    </row>
    <row r="64" spans="2:6" x14ac:dyDescent="0.45">
      <c r="B64" s="12" t="s">
        <v>56</v>
      </c>
      <c r="C64" s="12">
        <v>140</v>
      </c>
      <c r="E64" s="12" t="s">
        <v>80</v>
      </c>
      <c r="F64" s="14">
        <v>5</v>
      </c>
    </row>
    <row r="65" spans="2:6" x14ac:dyDescent="0.45">
      <c r="B65" s="12" t="s">
        <v>55</v>
      </c>
      <c r="C65" s="14">
        <f>C64*F64</f>
        <v>700</v>
      </c>
      <c r="E65" s="12" t="s">
        <v>81</v>
      </c>
      <c r="F65" s="14">
        <v>0.25</v>
      </c>
    </row>
    <row r="66" spans="2:6" x14ac:dyDescent="0.45">
      <c r="B66" s="12" t="s">
        <v>68</v>
      </c>
      <c r="C66" s="12"/>
    </row>
    <row r="70" spans="2:6" ht="23.25" x14ac:dyDescent="0.7">
      <c r="B70" s="17" t="s">
        <v>90</v>
      </c>
    </row>
    <row r="72" spans="2:6" x14ac:dyDescent="0.45">
      <c r="B72" s="11" t="s">
        <v>18</v>
      </c>
      <c r="C72" s="11" t="s">
        <v>19</v>
      </c>
    </row>
    <row r="73" spans="2:6" x14ac:dyDescent="0.45">
      <c r="B73" s="12" t="s">
        <v>91</v>
      </c>
      <c r="C73" s="14">
        <v>200</v>
      </c>
    </row>
    <row r="74" spans="2:6" x14ac:dyDescent="0.45">
      <c r="B74" s="12" t="s">
        <v>92</v>
      </c>
      <c r="C74" s="14">
        <v>0</v>
      </c>
    </row>
    <row r="75" spans="2:6" x14ac:dyDescent="0.45">
      <c r="B75" s="12" t="s">
        <v>93</v>
      </c>
      <c r="C75" s="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16CD-36C7-4B26-914F-7655FC7856F2}">
  <dimension ref="A1:D336"/>
  <sheetViews>
    <sheetView workbookViewId="0">
      <selection activeCell="K15" sqref="H7:K15"/>
    </sheetView>
  </sheetViews>
  <sheetFormatPr defaultRowHeight="14.25" x14ac:dyDescent="0.45"/>
  <cols>
    <col min="1" max="1" width="9.06640625" style="1"/>
    <col min="2" max="2" width="15.53125" style="1" customWidth="1"/>
    <col min="3" max="3" width="10.59765625" style="1" customWidth="1"/>
    <col min="4" max="4" width="9.06640625" style="1"/>
    <col min="5" max="5" width="9.86328125" style="1" bestFit="1" customWidth="1"/>
    <col min="6" max="16384" width="9.06640625" style="1"/>
  </cols>
  <sheetData>
    <row r="1" spans="1:4" x14ac:dyDescent="0.4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45">
      <c r="A2" s="4">
        <v>45796</v>
      </c>
      <c r="B2" s="4">
        <f>A2-365.25 * (2025-2024) -47</f>
        <v>45383.75</v>
      </c>
      <c r="C2" s="3">
        <f>1532</f>
        <v>1532</v>
      </c>
      <c r="D2" s="1" t="str">
        <f>IF(WEEKDAY(A2,2)=7,"time-skip","")</f>
        <v/>
      </c>
    </row>
    <row r="3" spans="1:4" x14ac:dyDescent="0.45">
      <c r="A3" s="2">
        <v>45797</v>
      </c>
      <c r="B3" s="2">
        <f>B2+3</f>
        <v>45386.75</v>
      </c>
      <c r="C3" s="1">
        <f t="shared" ref="C3:C15" si="0">C2+(DAY(B3)=1) * (MONTH(B3)=1)</f>
        <v>1532</v>
      </c>
      <c r="D3" s="1" t="str">
        <f t="shared" ref="D3:D66" si="1">IF(WEEKDAY(A3,2)=7,"time-skip","")</f>
        <v/>
      </c>
    </row>
    <row r="4" spans="1:4" x14ac:dyDescent="0.45">
      <c r="A4" s="2">
        <v>45798</v>
      </c>
      <c r="B4" s="2">
        <f>B2+7</f>
        <v>45390.75</v>
      </c>
      <c r="C4" s="1">
        <f t="shared" si="0"/>
        <v>1532</v>
      </c>
      <c r="D4" s="1" t="str">
        <f t="shared" si="1"/>
        <v/>
      </c>
    </row>
    <row r="5" spans="1:4" x14ac:dyDescent="0.45">
      <c r="A5" s="2">
        <v>45799</v>
      </c>
      <c r="B5" s="2">
        <f t="shared" ref="B5:B68" si="2">B3+7</f>
        <v>45393.75</v>
      </c>
      <c r="C5" s="1">
        <f t="shared" si="0"/>
        <v>1532</v>
      </c>
      <c r="D5" s="1" t="str">
        <f t="shared" si="1"/>
        <v/>
      </c>
    </row>
    <row r="6" spans="1:4" x14ac:dyDescent="0.45">
      <c r="A6" s="2">
        <v>45800</v>
      </c>
      <c r="B6" s="2">
        <f t="shared" si="2"/>
        <v>45397.75</v>
      </c>
      <c r="C6" s="1">
        <f t="shared" si="0"/>
        <v>1532</v>
      </c>
      <c r="D6" s="1" t="str">
        <f t="shared" si="1"/>
        <v/>
      </c>
    </row>
    <row r="7" spans="1:4" x14ac:dyDescent="0.45">
      <c r="A7" s="2">
        <v>45801</v>
      </c>
      <c r="B7" s="2">
        <f t="shared" si="2"/>
        <v>45400.75</v>
      </c>
      <c r="C7" s="1">
        <f t="shared" si="0"/>
        <v>1532</v>
      </c>
      <c r="D7" s="1" t="str">
        <f t="shared" si="1"/>
        <v/>
      </c>
    </row>
    <row r="8" spans="1:4" x14ac:dyDescent="0.45">
      <c r="A8" s="2">
        <v>45802</v>
      </c>
      <c r="B8" s="2">
        <f t="shared" si="2"/>
        <v>45404.75</v>
      </c>
      <c r="C8" s="1">
        <f t="shared" si="0"/>
        <v>1532</v>
      </c>
      <c r="D8" s="1" t="str">
        <f t="shared" si="1"/>
        <v>time-skip</v>
      </c>
    </row>
    <row r="9" spans="1:4" x14ac:dyDescent="0.45">
      <c r="A9" s="2">
        <v>45803</v>
      </c>
      <c r="B9" s="5">
        <f>B2+93-DAY(B2+93)+1</f>
        <v>45474.75</v>
      </c>
      <c r="C9" s="1">
        <f t="shared" si="0"/>
        <v>1532</v>
      </c>
      <c r="D9" s="1" t="str">
        <f t="shared" si="1"/>
        <v/>
      </c>
    </row>
    <row r="10" spans="1:4" x14ac:dyDescent="0.45">
      <c r="A10" s="2">
        <v>45804</v>
      </c>
      <c r="B10" s="2">
        <f t="shared" ref="B10" si="3">B9+3</f>
        <v>45477.75</v>
      </c>
      <c r="C10" s="1">
        <f t="shared" si="0"/>
        <v>1532</v>
      </c>
      <c r="D10" s="1" t="str">
        <f t="shared" si="1"/>
        <v/>
      </c>
    </row>
    <row r="11" spans="1:4" x14ac:dyDescent="0.45">
      <c r="A11" s="2">
        <v>45805</v>
      </c>
      <c r="B11" s="2">
        <f t="shared" ref="B11" si="4">B9+7</f>
        <v>45481.75</v>
      </c>
      <c r="C11" s="1">
        <f t="shared" si="0"/>
        <v>1532</v>
      </c>
      <c r="D11" s="1" t="str">
        <f t="shared" si="1"/>
        <v/>
      </c>
    </row>
    <row r="12" spans="1:4" x14ac:dyDescent="0.45">
      <c r="A12" s="2">
        <v>45806</v>
      </c>
      <c r="B12" s="2">
        <f t="shared" si="2"/>
        <v>45484.75</v>
      </c>
      <c r="C12" s="1">
        <f t="shared" si="0"/>
        <v>1532</v>
      </c>
      <c r="D12" s="1" t="str">
        <f t="shared" si="1"/>
        <v/>
      </c>
    </row>
    <row r="13" spans="1:4" x14ac:dyDescent="0.45">
      <c r="A13" s="2">
        <v>45807</v>
      </c>
      <c r="B13" s="2">
        <f t="shared" si="2"/>
        <v>45488.75</v>
      </c>
      <c r="C13" s="1">
        <f t="shared" si="0"/>
        <v>1532</v>
      </c>
      <c r="D13" s="1" t="str">
        <f t="shared" si="1"/>
        <v/>
      </c>
    </row>
    <row r="14" spans="1:4" x14ac:dyDescent="0.45">
      <c r="A14" s="2">
        <v>45808</v>
      </c>
      <c r="B14" s="2">
        <f t="shared" si="2"/>
        <v>45491.75</v>
      </c>
      <c r="C14" s="1">
        <f t="shared" si="0"/>
        <v>1532</v>
      </c>
      <c r="D14" s="1" t="str">
        <f t="shared" si="1"/>
        <v/>
      </c>
    </row>
    <row r="15" spans="1:4" x14ac:dyDescent="0.45">
      <c r="A15" s="2">
        <v>45809</v>
      </c>
      <c r="B15" s="2">
        <f t="shared" si="2"/>
        <v>45495.75</v>
      </c>
      <c r="C15" s="1">
        <f t="shared" si="0"/>
        <v>1532</v>
      </c>
      <c r="D15" s="1" t="str">
        <f t="shared" si="1"/>
        <v>time-skip</v>
      </c>
    </row>
    <row r="16" spans="1:4" x14ac:dyDescent="0.45">
      <c r="A16" s="2">
        <v>45810</v>
      </c>
      <c r="B16" s="5">
        <f t="shared" ref="B16" si="5">B9+93-DAY(B9+93)+1</f>
        <v>45566.75</v>
      </c>
      <c r="C16" s="1">
        <f t="shared" ref="C16:C30" si="6">C15+(DAY(B16)=1) * (MONTH(B16)=1)</f>
        <v>1532</v>
      </c>
      <c r="D16" s="1" t="str">
        <f t="shared" si="1"/>
        <v/>
      </c>
    </row>
    <row r="17" spans="1:4" x14ac:dyDescent="0.45">
      <c r="A17" s="2">
        <v>45811</v>
      </c>
      <c r="B17" s="2">
        <f t="shared" ref="B17" si="7">B16+3</f>
        <v>45569.75</v>
      </c>
      <c r="C17" s="1">
        <f t="shared" si="6"/>
        <v>1532</v>
      </c>
      <c r="D17" s="1" t="str">
        <f t="shared" si="1"/>
        <v/>
      </c>
    </row>
    <row r="18" spans="1:4" x14ac:dyDescent="0.45">
      <c r="A18" s="2">
        <v>45812</v>
      </c>
      <c r="B18" s="2">
        <f t="shared" ref="B18:B81" si="8">B16+7</f>
        <v>45573.75</v>
      </c>
      <c r="C18" s="1">
        <f t="shared" si="6"/>
        <v>1532</v>
      </c>
      <c r="D18" s="1" t="str">
        <f t="shared" si="1"/>
        <v/>
      </c>
    </row>
    <row r="19" spans="1:4" x14ac:dyDescent="0.45">
      <c r="A19" s="2">
        <v>45813</v>
      </c>
      <c r="B19" s="2">
        <f t="shared" si="2"/>
        <v>45576.75</v>
      </c>
      <c r="C19" s="1">
        <f t="shared" si="6"/>
        <v>1532</v>
      </c>
      <c r="D19" s="1" t="str">
        <f t="shared" si="1"/>
        <v/>
      </c>
    </row>
    <row r="20" spans="1:4" x14ac:dyDescent="0.45">
      <c r="A20" s="2">
        <v>45814</v>
      </c>
      <c r="B20" s="2">
        <f t="shared" si="2"/>
        <v>45580.75</v>
      </c>
      <c r="C20" s="1">
        <f t="shared" si="6"/>
        <v>1532</v>
      </c>
      <c r="D20" s="1" t="str">
        <f t="shared" si="1"/>
        <v/>
      </c>
    </row>
    <row r="21" spans="1:4" x14ac:dyDescent="0.45">
      <c r="A21" s="2">
        <v>45815</v>
      </c>
      <c r="B21" s="2">
        <f t="shared" si="2"/>
        <v>45583.75</v>
      </c>
      <c r="C21" s="1">
        <f t="shared" si="6"/>
        <v>1532</v>
      </c>
      <c r="D21" s="1" t="str">
        <f t="shared" si="1"/>
        <v/>
      </c>
    </row>
    <row r="22" spans="1:4" x14ac:dyDescent="0.45">
      <c r="A22" s="2">
        <v>45816</v>
      </c>
      <c r="B22" s="2">
        <f t="shared" si="2"/>
        <v>45587.75</v>
      </c>
      <c r="C22" s="1">
        <f t="shared" si="6"/>
        <v>1532</v>
      </c>
      <c r="D22" s="1" t="str">
        <f t="shared" si="1"/>
        <v>time-skip</v>
      </c>
    </row>
    <row r="23" spans="1:4" x14ac:dyDescent="0.45">
      <c r="A23" s="2">
        <v>45817</v>
      </c>
      <c r="B23" s="5">
        <f t="shared" ref="B23" si="9">B16+93-DAY(B16+93)+1</f>
        <v>45658.75</v>
      </c>
      <c r="C23" s="1">
        <f t="shared" si="6"/>
        <v>1533</v>
      </c>
      <c r="D23" s="1" t="str">
        <f t="shared" si="1"/>
        <v/>
      </c>
    </row>
    <row r="24" spans="1:4" x14ac:dyDescent="0.45">
      <c r="A24" s="2">
        <v>45818</v>
      </c>
      <c r="B24" s="2">
        <f t="shared" ref="B24" si="10">B23+3</f>
        <v>45661.75</v>
      </c>
      <c r="C24" s="1">
        <f t="shared" si="6"/>
        <v>1533</v>
      </c>
      <c r="D24" s="1" t="str">
        <f t="shared" si="1"/>
        <v/>
      </c>
    </row>
    <row r="25" spans="1:4" x14ac:dyDescent="0.45">
      <c r="A25" s="2">
        <v>45819</v>
      </c>
      <c r="B25" s="2">
        <f t="shared" si="8"/>
        <v>45665.75</v>
      </c>
      <c r="C25" s="1">
        <f t="shared" si="6"/>
        <v>1533</v>
      </c>
      <c r="D25" s="1" t="str">
        <f t="shared" si="1"/>
        <v/>
      </c>
    </row>
    <row r="26" spans="1:4" x14ac:dyDescent="0.45">
      <c r="A26" s="2">
        <v>45820</v>
      </c>
      <c r="B26" s="2">
        <f t="shared" si="2"/>
        <v>45668.75</v>
      </c>
      <c r="C26" s="1">
        <f t="shared" si="6"/>
        <v>1533</v>
      </c>
      <c r="D26" s="1" t="str">
        <f t="shared" si="1"/>
        <v/>
      </c>
    </row>
    <row r="27" spans="1:4" x14ac:dyDescent="0.45">
      <c r="A27" s="2">
        <v>45821</v>
      </c>
      <c r="B27" s="2">
        <f t="shared" si="2"/>
        <v>45672.75</v>
      </c>
      <c r="C27" s="1">
        <f t="shared" si="6"/>
        <v>1533</v>
      </c>
      <c r="D27" s="1" t="str">
        <f t="shared" si="1"/>
        <v/>
      </c>
    </row>
    <row r="28" spans="1:4" x14ac:dyDescent="0.45">
      <c r="A28" s="2">
        <v>45822</v>
      </c>
      <c r="B28" s="2">
        <f t="shared" si="2"/>
        <v>45675.75</v>
      </c>
      <c r="C28" s="1">
        <f t="shared" si="6"/>
        <v>1533</v>
      </c>
      <c r="D28" s="1" t="str">
        <f t="shared" si="1"/>
        <v/>
      </c>
    </row>
    <row r="29" spans="1:4" x14ac:dyDescent="0.45">
      <c r="A29" s="2">
        <v>45823</v>
      </c>
      <c r="B29" s="2">
        <f t="shared" si="2"/>
        <v>45679.75</v>
      </c>
      <c r="C29" s="1">
        <f t="shared" si="6"/>
        <v>1533</v>
      </c>
      <c r="D29" s="1" t="str">
        <f t="shared" si="1"/>
        <v>time-skip</v>
      </c>
    </row>
    <row r="30" spans="1:4" x14ac:dyDescent="0.45">
      <c r="A30" s="2">
        <v>45824</v>
      </c>
      <c r="B30" s="5">
        <f t="shared" ref="B30" si="11">B23+93-DAY(B23+93)+1</f>
        <v>45748.75</v>
      </c>
      <c r="C30" s="1">
        <f t="shared" si="6"/>
        <v>1533</v>
      </c>
      <c r="D30" s="1" t="str">
        <f t="shared" si="1"/>
        <v/>
      </c>
    </row>
    <row r="31" spans="1:4" x14ac:dyDescent="0.45">
      <c r="A31" s="2">
        <v>45825</v>
      </c>
      <c r="B31" s="2">
        <f t="shared" ref="B31" si="12">B30+3</f>
        <v>45751.75</v>
      </c>
      <c r="C31" s="1">
        <f t="shared" ref="C31:C94" si="13">C30+(DAY(B31)=1) * (MONTH(B31)=1)</f>
        <v>1533</v>
      </c>
      <c r="D31" s="1" t="str">
        <f t="shared" si="1"/>
        <v/>
      </c>
    </row>
    <row r="32" spans="1:4" x14ac:dyDescent="0.45">
      <c r="A32" s="2">
        <v>45826</v>
      </c>
      <c r="B32" s="2">
        <f t="shared" si="8"/>
        <v>45755.75</v>
      </c>
      <c r="C32" s="1">
        <f t="shared" si="13"/>
        <v>1533</v>
      </c>
      <c r="D32" s="1" t="str">
        <f t="shared" si="1"/>
        <v/>
      </c>
    </row>
    <row r="33" spans="1:4" x14ac:dyDescent="0.45">
      <c r="A33" s="2">
        <v>45827</v>
      </c>
      <c r="B33" s="2">
        <f t="shared" si="2"/>
        <v>45758.75</v>
      </c>
      <c r="C33" s="1">
        <f t="shared" si="13"/>
        <v>1533</v>
      </c>
      <c r="D33" s="1" t="str">
        <f t="shared" si="1"/>
        <v/>
      </c>
    </row>
    <row r="34" spans="1:4" x14ac:dyDescent="0.45">
      <c r="A34" s="2">
        <v>45828</v>
      </c>
      <c r="B34" s="2">
        <f t="shared" si="2"/>
        <v>45762.75</v>
      </c>
      <c r="C34" s="1">
        <f t="shared" si="13"/>
        <v>1533</v>
      </c>
      <c r="D34" s="1" t="str">
        <f t="shared" si="1"/>
        <v/>
      </c>
    </row>
    <row r="35" spans="1:4" x14ac:dyDescent="0.45">
      <c r="A35" s="2">
        <v>45829</v>
      </c>
      <c r="B35" s="2">
        <f t="shared" si="2"/>
        <v>45765.75</v>
      </c>
      <c r="C35" s="1">
        <f t="shared" si="13"/>
        <v>1533</v>
      </c>
      <c r="D35" s="1" t="str">
        <f t="shared" si="1"/>
        <v/>
      </c>
    </row>
    <row r="36" spans="1:4" x14ac:dyDescent="0.45">
      <c r="A36" s="2">
        <v>45830</v>
      </c>
      <c r="B36" s="2">
        <f t="shared" si="2"/>
        <v>45769.75</v>
      </c>
      <c r="C36" s="1">
        <f t="shared" si="13"/>
        <v>1533</v>
      </c>
      <c r="D36" s="1" t="str">
        <f t="shared" si="1"/>
        <v>time-skip</v>
      </c>
    </row>
    <row r="37" spans="1:4" x14ac:dyDescent="0.45">
      <c r="A37" s="2">
        <v>45831</v>
      </c>
      <c r="B37" s="5">
        <f t="shared" ref="B37:B100" si="14">B30+93-DAY(B30+93)+1</f>
        <v>45839.75</v>
      </c>
      <c r="C37" s="1">
        <f t="shared" si="13"/>
        <v>1533</v>
      </c>
      <c r="D37" s="1" t="str">
        <f t="shared" si="1"/>
        <v/>
      </c>
    </row>
    <row r="38" spans="1:4" x14ac:dyDescent="0.45">
      <c r="A38" s="2">
        <v>45832</v>
      </c>
      <c r="B38" s="2">
        <f t="shared" ref="B38" si="15">B37+3</f>
        <v>45842.75</v>
      </c>
      <c r="C38" s="1">
        <f t="shared" si="13"/>
        <v>1533</v>
      </c>
      <c r="D38" s="1" t="str">
        <f t="shared" si="1"/>
        <v/>
      </c>
    </row>
    <row r="39" spans="1:4" x14ac:dyDescent="0.45">
      <c r="A39" s="2">
        <v>45833</v>
      </c>
      <c r="B39" s="2">
        <f t="shared" si="8"/>
        <v>45846.75</v>
      </c>
      <c r="C39" s="1">
        <f t="shared" si="13"/>
        <v>1533</v>
      </c>
      <c r="D39" s="1" t="str">
        <f t="shared" si="1"/>
        <v/>
      </c>
    </row>
    <row r="40" spans="1:4" x14ac:dyDescent="0.45">
      <c r="A40" s="2">
        <v>45834</v>
      </c>
      <c r="B40" s="2">
        <f t="shared" si="2"/>
        <v>45849.75</v>
      </c>
      <c r="C40" s="1">
        <f t="shared" si="13"/>
        <v>1533</v>
      </c>
      <c r="D40" s="1" t="str">
        <f t="shared" si="1"/>
        <v/>
      </c>
    </row>
    <row r="41" spans="1:4" x14ac:dyDescent="0.45">
      <c r="A41" s="2">
        <v>45835</v>
      </c>
      <c r="B41" s="2">
        <f t="shared" si="2"/>
        <v>45853.75</v>
      </c>
      <c r="C41" s="1">
        <f t="shared" si="13"/>
        <v>1533</v>
      </c>
      <c r="D41" s="1" t="str">
        <f t="shared" si="1"/>
        <v/>
      </c>
    </row>
    <row r="42" spans="1:4" x14ac:dyDescent="0.45">
      <c r="A42" s="2">
        <v>45836</v>
      </c>
      <c r="B42" s="2">
        <f t="shared" si="2"/>
        <v>45856.75</v>
      </c>
      <c r="C42" s="1">
        <f t="shared" si="13"/>
        <v>1533</v>
      </c>
      <c r="D42" s="1" t="str">
        <f t="shared" si="1"/>
        <v/>
      </c>
    </row>
    <row r="43" spans="1:4" x14ac:dyDescent="0.45">
      <c r="A43" s="2">
        <v>45837</v>
      </c>
      <c r="B43" s="2">
        <f t="shared" si="2"/>
        <v>45860.75</v>
      </c>
      <c r="C43" s="1">
        <f t="shared" si="13"/>
        <v>1533</v>
      </c>
      <c r="D43" s="1" t="str">
        <f t="shared" si="1"/>
        <v>time-skip</v>
      </c>
    </row>
    <row r="44" spans="1:4" x14ac:dyDescent="0.45">
      <c r="A44" s="2">
        <v>45838</v>
      </c>
      <c r="B44" s="5">
        <f t="shared" si="14"/>
        <v>45931.75</v>
      </c>
      <c r="C44" s="1">
        <f t="shared" si="13"/>
        <v>1533</v>
      </c>
      <c r="D44" s="1" t="str">
        <f t="shared" si="1"/>
        <v/>
      </c>
    </row>
    <row r="45" spans="1:4" x14ac:dyDescent="0.45">
      <c r="A45" s="2">
        <v>45839</v>
      </c>
      <c r="B45" s="2">
        <f t="shared" ref="B45" si="16">B44+3</f>
        <v>45934.75</v>
      </c>
      <c r="C45" s="1">
        <f t="shared" si="13"/>
        <v>1533</v>
      </c>
      <c r="D45" s="1" t="str">
        <f t="shared" si="1"/>
        <v/>
      </c>
    </row>
    <row r="46" spans="1:4" x14ac:dyDescent="0.45">
      <c r="A46" s="2">
        <v>45840</v>
      </c>
      <c r="B46" s="2">
        <f t="shared" si="8"/>
        <v>45938.75</v>
      </c>
      <c r="C46" s="1">
        <f t="shared" si="13"/>
        <v>1533</v>
      </c>
      <c r="D46" s="1" t="str">
        <f t="shared" si="1"/>
        <v/>
      </c>
    </row>
    <row r="47" spans="1:4" x14ac:dyDescent="0.45">
      <c r="A47" s="2">
        <v>45841</v>
      </c>
      <c r="B47" s="2">
        <f t="shared" si="2"/>
        <v>45941.75</v>
      </c>
      <c r="C47" s="1">
        <f t="shared" si="13"/>
        <v>1533</v>
      </c>
      <c r="D47" s="1" t="str">
        <f t="shared" si="1"/>
        <v/>
      </c>
    </row>
    <row r="48" spans="1:4" x14ac:dyDescent="0.45">
      <c r="A48" s="2">
        <v>45842</v>
      </c>
      <c r="B48" s="2">
        <f t="shared" si="2"/>
        <v>45945.75</v>
      </c>
      <c r="C48" s="1">
        <f t="shared" si="13"/>
        <v>1533</v>
      </c>
      <c r="D48" s="1" t="str">
        <f t="shared" si="1"/>
        <v/>
      </c>
    </row>
    <row r="49" spans="1:4" x14ac:dyDescent="0.45">
      <c r="A49" s="2">
        <v>45843</v>
      </c>
      <c r="B49" s="2">
        <f t="shared" si="2"/>
        <v>45948.75</v>
      </c>
      <c r="C49" s="1">
        <f t="shared" si="13"/>
        <v>1533</v>
      </c>
      <c r="D49" s="1" t="str">
        <f t="shared" si="1"/>
        <v/>
      </c>
    </row>
    <row r="50" spans="1:4" x14ac:dyDescent="0.45">
      <c r="A50" s="2">
        <v>45844</v>
      </c>
      <c r="B50" s="2">
        <f t="shared" si="2"/>
        <v>45952.75</v>
      </c>
      <c r="C50" s="1">
        <f t="shared" si="13"/>
        <v>1533</v>
      </c>
      <c r="D50" s="1" t="str">
        <f t="shared" si="1"/>
        <v>time-skip</v>
      </c>
    </row>
    <row r="51" spans="1:4" x14ac:dyDescent="0.45">
      <c r="A51" s="2">
        <v>45845</v>
      </c>
      <c r="B51" s="5">
        <f t="shared" si="14"/>
        <v>46023.75</v>
      </c>
      <c r="C51" s="1">
        <f t="shared" si="13"/>
        <v>1534</v>
      </c>
      <c r="D51" s="1" t="str">
        <f t="shared" si="1"/>
        <v/>
      </c>
    </row>
    <row r="52" spans="1:4" x14ac:dyDescent="0.45">
      <c r="A52" s="2">
        <v>45846</v>
      </c>
      <c r="B52" s="2">
        <f t="shared" ref="B52" si="17">B51+3</f>
        <v>46026.75</v>
      </c>
      <c r="C52" s="1">
        <f t="shared" si="13"/>
        <v>1534</v>
      </c>
      <c r="D52" s="1" t="str">
        <f t="shared" si="1"/>
        <v/>
      </c>
    </row>
    <row r="53" spans="1:4" x14ac:dyDescent="0.45">
      <c r="A53" s="2">
        <v>45847</v>
      </c>
      <c r="B53" s="2">
        <f t="shared" si="8"/>
        <v>46030.75</v>
      </c>
      <c r="C53" s="1">
        <f t="shared" si="13"/>
        <v>1534</v>
      </c>
      <c r="D53" s="1" t="str">
        <f t="shared" si="1"/>
        <v/>
      </c>
    </row>
    <row r="54" spans="1:4" x14ac:dyDescent="0.45">
      <c r="A54" s="2">
        <v>45848</v>
      </c>
      <c r="B54" s="2">
        <f t="shared" si="2"/>
        <v>46033.75</v>
      </c>
      <c r="C54" s="1">
        <f t="shared" si="13"/>
        <v>1534</v>
      </c>
      <c r="D54" s="1" t="str">
        <f t="shared" si="1"/>
        <v/>
      </c>
    </row>
    <row r="55" spans="1:4" x14ac:dyDescent="0.45">
      <c r="A55" s="2">
        <v>45849</v>
      </c>
      <c r="B55" s="2">
        <f t="shared" si="2"/>
        <v>46037.75</v>
      </c>
      <c r="C55" s="1">
        <f t="shared" si="13"/>
        <v>1534</v>
      </c>
      <c r="D55" s="1" t="str">
        <f t="shared" si="1"/>
        <v/>
      </c>
    </row>
    <row r="56" spans="1:4" x14ac:dyDescent="0.45">
      <c r="A56" s="2">
        <v>45850</v>
      </c>
      <c r="B56" s="2">
        <f t="shared" si="2"/>
        <v>46040.75</v>
      </c>
      <c r="C56" s="1">
        <f t="shared" si="13"/>
        <v>1534</v>
      </c>
      <c r="D56" s="1" t="str">
        <f t="shared" si="1"/>
        <v/>
      </c>
    </row>
    <row r="57" spans="1:4" x14ac:dyDescent="0.45">
      <c r="A57" s="2">
        <v>45851</v>
      </c>
      <c r="B57" s="2">
        <f t="shared" si="2"/>
        <v>46044.75</v>
      </c>
      <c r="C57" s="1">
        <f t="shared" si="13"/>
        <v>1534</v>
      </c>
      <c r="D57" s="1" t="str">
        <f t="shared" si="1"/>
        <v>time-skip</v>
      </c>
    </row>
    <row r="58" spans="1:4" x14ac:dyDescent="0.45">
      <c r="A58" s="2">
        <v>45852</v>
      </c>
      <c r="B58" s="5">
        <f t="shared" si="14"/>
        <v>46113.75</v>
      </c>
      <c r="C58" s="1">
        <f t="shared" si="13"/>
        <v>1534</v>
      </c>
      <c r="D58" s="1" t="str">
        <f t="shared" si="1"/>
        <v/>
      </c>
    </row>
    <row r="59" spans="1:4" x14ac:dyDescent="0.45">
      <c r="A59" s="2">
        <v>45853</v>
      </c>
      <c r="B59" s="2">
        <f t="shared" ref="B59" si="18">B58+3</f>
        <v>46116.75</v>
      </c>
      <c r="C59" s="1">
        <f t="shared" si="13"/>
        <v>1534</v>
      </c>
      <c r="D59" s="1" t="str">
        <f t="shared" si="1"/>
        <v/>
      </c>
    </row>
    <row r="60" spans="1:4" x14ac:dyDescent="0.45">
      <c r="A60" s="2">
        <v>45854</v>
      </c>
      <c r="B60" s="2">
        <f t="shared" si="8"/>
        <v>46120.75</v>
      </c>
      <c r="C60" s="1">
        <f t="shared" si="13"/>
        <v>1534</v>
      </c>
      <c r="D60" s="1" t="str">
        <f t="shared" si="1"/>
        <v/>
      </c>
    </row>
    <row r="61" spans="1:4" x14ac:dyDescent="0.45">
      <c r="A61" s="2">
        <v>45855</v>
      </c>
      <c r="B61" s="2">
        <f t="shared" si="2"/>
        <v>46123.75</v>
      </c>
      <c r="C61" s="1">
        <f t="shared" si="13"/>
        <v>1534</v>
      </c>
      <c r="D61" s="1" t="str">
        <f t="shared" si="1"/>
        <v/>
      </c>
    </row>
    <row r="62" spans="1:4" x14ac:dyDescent="0.45">
      <c r="A62" s="2">
        <v>45856</v>
      </c>
      <c r="B62" s="2">
        <f t="shared" si="2"/>
        <v>46127.75</v>
      </c>
      <c r="C62" s="1">
        <f t="shared" si="13"/>
        <v>1534</v>
      </c>
      <c r="D62" s="1" t="str">
        <f t="shared" si="1"/>
        <v/>
      </c>
    </row>
    <row r="63" spans="1:4" x14ac:dyDescent="0.45">
      <c r="A63" s="2">
        <v>45857</v>
      </c>
      <c r="B63" s="2">
        <f t="shared" si="2"/>
        <v>46130.75</v>
      </c>
      <c r="C63" s="1">
        <f t="shared" si="13"/>
        <v>1534</v>
      </c>
      <c r="D63" s="1" t="str">
        <f t="shared" si="1"/>
        <v/>
      </c>
    </row>
    <row r="64" spans="1:4" x14ac:dyDescent="0.45">
      <c r="A64" s="2">
        <v>45858</v>
      </c>
      <c r="B64" s="2">
        <f t="shared" si="2"/>
        <v>46134.75</v>
      </c>
      <c r="C64" s="1">
        <f t="shared" si="13"/>
        <v>1534</v>
      </c>
      <c r="D64" s="1" t="str">
        <f t="shared" si="1"/>
        <v>time-skip</v>
      </c>
    </row>
    <row r="65" spans="1:4" x14ac:dyDescent="0.45">
      <c r="A65" s="2">
        <v>45859</v>
      </c>
      <c r="B65" s="5">
        <f t="shared" si="14"/>
        <v>46204.75</v>
      </c>
      <c r="C65" s="1">
        <f t="shared" si="13"/>
        <v>1534</v>
      </c>
      <c r="D65" s="1" t="str">
        <f t="shared" si="1"/>
        <v/>
      </c>
    </row>
    <row r="66" spans="1:4" x14ac:dyDescent="0.45">
      <c r="A66" s="2">
        <v>45860</v>
      </c>
      <c r="B66" s="2">
        <f t="shared" ref="B66" si="19">B65+3</f>
        <v>46207.75</v>
      </c>
      <c r="C66" s="1">
        <f t="shared" si="13"/>
        <v>1534</v>
      </c>
      <c r="D66" s="1" t="str">
        <f t="shared" si="1"/>
        <v/>
      </c>
    </row>
    <row r="67" spans="1:4" x14ac:dyDescent="0.45">
      <c r="A67" s="2">
        <v>45861</v>
      </c>
      <c r="B67" s="2">
        <f t="shared" si="8"/>
        <v>46211.75</v>
      </c>
      <c r="C67" s="1">
        <f t="shared" si="13"/>
        <v>1534</v>
      </c>
      <c r="D67" s="1" t="str">
        <f t="shared" ref="D67:D130" si="20">IF(WEEKDAY(A67,2)=7,"time-skip","")</f>
        <v/>
      </c>
    </row>
    <row r="68" spans="1:4" x14ac:dyDescent="0.45">
      <c r="A68" s="2">
        <v>45862</v>
      </c>
      <c r="B68" s="2">
        <f t="shared" si="2"/>
        <v>46214.75</v>
      </c>
      <c r="C68" s="1">
        <f t="shared" si="13"/>
        <v>1534</v>
      </c>
      <c r="D68" s="1" t="str">
        <f t="shared" si="20"/>
        <v/>
      </c>
    </row>
    <row r="69" spans="1:4" x14ac:dyDescent="0.45">
      <c r="A69" s="2">
        <v>45863</v>
      </c>
      <c r="B69" s="2">
        <f t="shared" ref="B69:B132" si="21">B67+7</f>
        <v>46218.75</v>
      </c>
      <c r="C69" s="1">
        <f t="shared" si="13"/>
        <v>1534</v>
      </c>
      <c r="D69" s="1" t="str">
        <f t="shared" si="20"/>
        <v/>
      </c>
    </row>
    <row r="70" spans="1:4" x14ac:dyDescent="0.45">
      <c r="A70" s="2">
        <v>45864</v>
      </c>
      <c r="B70" s="2">
        <f t="shared" si="21"/>
        <v>46221.75</v>
      </c>
      <c r="C70" s="1">
        <f t="shared" si="13"/>
        <v>1534</v>
      </c>
      <c r="D70" s="1" t="str">
        <f t="shared" si="20"/>
        <v/>
      </c>
    </row>
    <row r="71" spans="1:4" x14ac:dyDescent="0.45">
      <c r="A71" s="2">
        <v>45865</v>
      </c>
      <c r="B71" s="2">
        <f t="shared" si="21"/>
        <v>46225.75</v>
      </c>
      <c r="C71" s="1">
        <f t="shared" si="13"/>
        <v>1534</v>
      </c>
      <c r="D71" s="1" t="str">
        <f t="shared" si="20"/>
        <v>time-skip</v>
      </c>
    </row>
    <row r="72" spans="1:4" x14ac:dyDescent="0.45">
      <c r="A72" s="2">
        <v>45866</v>
      </c>
      <c r="B72" s="5">
        <f t="shared" si="14"/>
        <v>46296.75</v>
      </c>
      <c r="C72" s="1">
        <f t="shared" si="13"/>
        <v>1534</v>
      </c>
      <c r="D72" s="1" t="str">
        <f t="shared" si="20"/>
        <v/>
      </c>
    </row>
    <row r="73" spans="1:4" x14ac:dyDescent="0.45">
      <c r="A73" s="2">
        <v>45867</v>
      </c>
      <c r="B73" s="2">
        <f t="shared" ref="B73" si="22">B72+3</f>
        <v>46299.75</v>
      </c>
      <c r="C73" s="1">
        <f t="shared" si="13"/>
        <v>1534</v>
      </c>
      <c r="D73" s="1" t="str">
        <f t="shared" si="20"/>
        <v/>
      </c>
    </row>
    <row r="74" spans="1:4" x14ac:dyDescent="0.45">
      <c r="A74" s="2">
        <v>45868</v>
      </c>
      <c r="B74" s="2">
        <f t="shared" si="8"/>
        <v>46303.75</v>
      </c>
      <c r="C74" s="1">
        <f t="shared" si="13"/>
        <v>1534</v>
      </c>
      <c r="D74" s="1" t="str">
        <f t="shared" si="20"/>
        <v/>
      </c>
    </row>
    <row r="75" spans="1:4" x14ac:dyDescent="0.45">
      <c r="A75" s="2">
        <v>45869</v>
      </c>
      <c r="B75" s="2">
        <f t="shared" si="21"/>
        <v>46306.75</v>
      </c>
      <c r="C75" s="1">
        <f t="shared" si="13"/>
        <v>1534</v>
      </c>
      <c r="D75" s="1" t="str">
        <f t="shared" si="20"/>
        <v/>
      </c>
    </row>
    <row r="76" spans="1:4" x14ac:dyDescent="0.45">
      <c r="A76" s="2">
        <v>45870</v>
      </c>
      <c r="B76" s="2">
        <f t="shared" si="21"/>
        <v>46310.75</v>
      </c>
      <c r="C76" s="1">
        <f t="shared" si="13"/>
        <v>1534</v>
      </c>
      <c r="D76" s="1" t="str">
        <f t="shared" si="20"/>
        <v/>
      </c>
    </row>
    <row r="77" spans="1:4" x14ac:dyDescent="0.45">
      <c r="A77" s="2">
        <v>45871</v>
      </c>
      <c r="B77" s="2">
        <f t="shared" si="21"/>
        <v>46313.75</v>
      </c>
      <c r="C77" s="1">
        <f t="shared" si="13"/>
        <v>1534</v>
      </c>
      <c r="D77" s="1" t="str">
        <f t="shared" si="20"/>
        <v/>
      </c>
    </row>
    <row r="78" spans="1:4" x14ac:dyDescent="0.45">
      <c r="A78" s="2">
        <v>45872</v>
      </c>
      <c r="B78" s="2">
        <f t="shared" si="21"/>
        <v>46317.75</v>
      </c>
      <c r="C78" s="1">
        <f t="shared" si="13"/>
        <v>1534</v>
      </c>
      <c r="D78" s="1" t="str">
        <f t="shared" si="20"/>
        <v>time-skip</v>
      </c>
    </row>
    <row r="79" spans="1:4" x14ac:dyDescent="0.45">
      <c r="A79" s="2">
        <v>45873</v>
      </c>
      <c r="B79" s="5">
        <f t="shared" si="14"/>
        <v>46388.75</v>
      </c>
      <c r="C79" s="1">
        <f t="shared" si="13"/>
        <v>1535</v>
      </c>
      <c r="D79" s="1" t="str">
        <f t="shared" si="20"/>
        <v/>
      </c>
    </row>
    <row r="80" spans="1:4" x14ac:dyDescent="0.45">
      <c r="A80" s="2">
        <v>45874</v>
      </c>
      <c r="B80" s="2">
        <f t="shared" ref="B80" si="23">B79+3</f>
        <v>46391.75</v>
      </c>
      <c r="C80" s="1">
        <f t="shared" si="13"/>
        <v>1535</v>
      </c>
      <c r="D80" s="1" t="str">
        <f t="shared" si="20"/>
        <v/>
      </c>
    </row>
    <row r="81" spans="1:4" x14ac:dyDescent="0.45">
      <c r="A81" s="2">
        <v>45875</v>
      </c>
      <c r="B81" s="2">
        <f t="shared" si="8"/>
        <v>46395.75</v>
      </c>
      <c r="C81" s="1">
        <f t="shared" si="13"/>
        <v>1535</v>
      </c>
      <c r="D81" s="1" t="str">
        <f t="shared" si="20"/>
        <v/>
      </c>
    </row>
    <row r="82" spans="1:4" x14ac:dyDescent="0.45">
      <c r="A82" s="2">
        <v>45876</v>
      </c>
      <c r="B82" s="2">
        <f t="shared" si="21"/>
        <v>46398.75</v>
      </c>
      <c r="C82" s="1">
        <f t="shared" si="13"/>
        <v>1535</v>
      </c>
      <c r="D82" s="1" t="str">
        <f t="shared" si="20"/>
        <v/>
      </c>
    </row>
    <row r="83" spans="1:4" x14ac:dyDescent="0.45">
      <c r="A83" s="2">
        <v>45877</v>
      </c>
      <c r="B83" s="2">
        <f t="shared" si="21"/>
        <v>46402.75</v>
      </c>
      <c r="C83" s="1">
        <f t="shared" si="13"/>
        <v>1535</v>
      </c>
      <c r="D83" s="1" t="str">
        <f t="shared" si="20"/>
        <v/>
      </c>
    </row>
    <row r="84" spans="1:4" x14ac:dyDescent="0.45">
      <c r="A84" s="2">
        <v>45878</v>
      </c>
      <c r="B84" s="2">
        <f t="shared" si="21"/>
        <v>46405.75</v>
      </c>
      <c r="C84" s="1">
        <f t="shared" si="13"/>
        <v>1535</v>
      </c>
      <c r="D84" s="1" t="str">
        <f t="shared" si="20"/>
        <v/>
      </c>
    </row>
    <row r="85" spans="1:4" x14ac:dyDescent="0.45">
      <c r="A85" s="2">
        <v>45879</v>
      </c>
      <c r="B85" s="2">
        <f t="shared" si="21"/>
        <v>46409.75</v>
      </c>
      <c r="C85" s="1">
        <f t="shared" si="13"/>
        <v>1535</v>
      </c>
      <c r="D85" s="1" t="str">
        <f t="shared" si="20"/>
        <v>time-skip</v>
      </c>
    </row>
    <row r="86" spans="1:4" x14ac:dyDescent="0.45">
      <c r="A86" s="2">
        <v>45880</v>
      </c>
      <c r="B86" s="5">
        <f t="shared" si="14"/>
        <v>46478.75</v>
      </c>
      <c r="C86" s="1">
        <f t="shared" si="13"/>
        <v>1535</v>
      </c>
      <c r="D86" s="1" t="str">
        <f t="shared" si="20"/>
        <v/>
      </c>
    </row>
    <row r="87" spans="1:4" x14ac:dyDescent="0.45">
      <c r="A87" s="2">
        <v>45881</v>
      </c>
      <c r="B87" s="2">
        <f t="shared" ref="B87" si="24">B86+3</f>
        <v>46481.75</v>
      </c>
      <c r="C87" s="1">
        <f t="shared" si="13"/>
        <v>1535</v>
      </c>
      <c r="D87" s="1" t="str">
        <f t="shared" si="20"/>
        <v/>
      </c>
    </row>
    <row r="88" spans="1:4" x14ac:dyDescent="0.45">
      <c r="A88" s="2">
        <v>45882</v>
      </c>
      <c r="B88" s="2">
        <f t="shared" ref="B88:B151" si="25">B86+7</f>
        <v>46485.75</v>
      </c>
      <c r="C88" s="1">
        <f t="shared" si="13"/>
        <v>1535</v>
      </c>
      <c r="D88" s="1" t="str">
        <f t="shared" si="20"/>
        <v/>
      </c>
    </row>
    <row r="89" spans="1:4" x14ac:dyDescent="0.45">
      <c r="A89" s="2">
        <v>45883</v>
      </c>
      <c r="B89" s="2">
        <f t="shared" si="21"/>
        <v>46488.75</v>
      </c>
      <c r="C89" s="1">
        <f t="shared" si="13"/>
        <v>1535</v>
      </c>
      <c r="D89" s="1" t="str">
        <f t="shared" si="20"/>
        <v/>
      </c>
    </row>
    <row r="90" spans="1:4" x14ac:dyDescent="0.45">
      <c r="A90" s="2">
        <v>45884</v>
      </c>
      <c r="B90" s="2">
        <f t="shared" si="21"/>
        <v>46492.75</v>
      </c>
      <c r="C90" s="1">
        <f t="shared" si="13"/>
        <v>1535</v>
      </c>
      <c r="D90" s="1" t="str">
        <f t="shared" si="20"/>
        <v/>
      </c>
    </row>
    <row r="91" spans="1:4" x14ac:dyDescent="0.45">
      <c r="A91" s="2">
        <v>45885</v>
      </c>
      <c r="B91" s="2">
        <f t="shared" si="21"/>
        <v>46495.75</v>
      </c>
      <c r="C91" s="1">
        <f t="shared" si="13"/>
        <v>1535</v>
      </c>
      <c r="D91" s="1" t="str">
        <f t="shared" si="20"/>
        <v/>
      </c>
    </row>
    <row r="92" spans="1:4" x14ac:dyDescent="0.45">
      <c r="A92" s="2">
        <v>45886</v>
      </c>
      <c r="B92" s="2">
        <f t="shared" si="21"/>
        <v>46499.75</v>
      </c>
      <c r="C92" s="1">
        <f t="shared" si="13"/>
        <v>1535</v>
      </c>
      <c r="D92" s="1" t="str">
        <f t="shared" si="20"/>
        <v>time-skip</v>
      </c>
    </row>
    <row r="93" spans="1:4" x14ac:dyDescent="0.45">
      <c r="A93" s="2">
        <v>45887</v>
      </c>
      <c r="B93" s="5">
        <f t="shared" si="14"/>
        <v>46569.75</v>
      </c>
      <c r="C93" s="1">
        <f t="shared" si="13"/>
        <v>1535</v>
      </c>
      <c r="D93" s="1" t="str">
        <f t="shared" si="20"/>
        <v/>
      </c>
    </row>
    <row r="94" spans="1:4" x14ac:dyDescent="0.45">
      <c r="A94" s="2">
        <v>45888</v>
      </c>
      <c r="B94" s="2">
        <f t="shared" ref="B94" si="26">B93+3</f>
        <v>46572.75</v>
      </c>
      <c r="C94" s="1">
        <f t="shared" si="13"/>
        <v>1535</v>
      </c>
      <c r="D94" s="1" t="str">
        <f t="shared" si="20"/>
        <v/>
      </c>
    </row>
    <row r="95" spans="1:4" x14ac:dyDescent="0.45">
      <c r="A95" s="2">
        <v>45889</v>
      </c>
      <c r="B95" s="2">
        <f t="shared" si="25"/>
        <v>46576.75</v>
      </c>
      <c r="C95" s="1">
        <f t="shared" ref="C95:C158" si="27">C94+(DAY(B95)=1) * (MONTH(B95)=1)</f>
        <v>1535</v>
      </c>
      <c r="D95" s="1" t="str">
        <f t="shared" si="20"/>
        <v/>
      </c>
    </row>
    <row r="96" spans="1:4" x14ac:dyDescent="0.45">
      <c r="A96" s="2">
        <v>45890</v>
      </c>
      <c r="B96" s="2">
        <f t="shared" si="21"/>
        <v>46579.75</v>
      </c>
      <c r="C96" s="1">
        <f t="shared" si="27"/>
        <v>1535</v>
      </c>
      <c r="D96" s="1" t="str">
        <f t="shared" si="20"/>
        <v/>
      </c>
    </row>
    <row r="97" spans="1:4" x14ac:dyDescent="0.45">
      <c r="A97" s="2">
        <v>45891</v>
      </c>
      <c r="B97" s="2">
        <f t="shared" si="21"/>
        <v>46583.75</v>
      </c>
      <c r="C97" s="1">
        <f t="shared" si="27"/>
        <v>1535</v>
      </c>
      <c r="D97" s="1" t="str">
        <f t="shared" si="20"/>
        <v/>
      </c>
    </row>
    <row r="98" spans="1:4" x14ac:dyDescent="0.45">
      <c r="A98" s="2">
        <v>45892</v>
      </c>
      <c r="B98" s="2">
        <f t="shared" si="21"/>
        <v>46586.75</v>
      </c>
      <c r="C98" s="1">
        <f t="shared" si="27"/>
        <v>1535</v>
      </c>
      <c r="D98" s="1" t="str">
        <f t="shared" si="20"/>
        <v/>
      </c>
    </row>
    <row r="99" spans="1:4" x14ac:dyDescent="0.45">
      <c r="A99" s="2">
        <v>45893</v>
      </c>
      <c r="B99" s="2">
        <f t="shared" si="21"/>
        <v>46590.75</v>
      </c>
      <c r="C99" s="1">
        <f t="shared" si="27"/>
        <v>1535</v>
      </c>
      <c r="D99" s="1" t="str">
        <f t="shared" si="20"/>
        <v>time-skip</v>
      </c>
    </row>
    <row r="100" spans="1:4" x14ac:dyDescent="0.45">
      <c r="A100" s="2">
        <v>45894</v>
      </c>
      <c r="B100" s="5">
        <f t="shared" si="14"/>
        <v>46661.75</v>
      </c>
      <c r="C100" s="1">
        <f t="shared" si="27"/>
        <v>1535</v>
      </c>
      <c r="D100" s="1" t="str">
        <f t="shared" si="20"/>
        <v/>
      </c>
    </row>
    <row r="101" spans="1:4" x14ac:dyDescent="0.45">
      <c r="A101" s="2">
        <v>45895</v>
      </c>
      <c r="B101" s="2">
        <f t="shared" ref="B101" si="28">B100+3</f>
        <v>46664.75</v>
      </c>
      <c r="C101" s="1">
        <f t="shared" si="27"/>
        <v>1535</v>
      </c>
      <c r="D101" s="1" t="str">
        <f t="shared" si="20"/>
        <v/>
      </c>
    </row>
    <row r="102" spans="1:4" x14ac:dyDescent="0.45">
      <c r="A102" s="2">
        <v>45896</v>
      </c>
      <c r="B102" s="2">
        <f t="shared" si="25"/>
        <v>46668.75</v>
      </c>
      <c r="C102" s="1">
        <f t="shared" si="27"/>
        <v>1535</v>
      </c>
      <c r="D102" s="1" t="str">
        <f t="shared" si="20"/>
        <v/>
      </c>
    </row>
    <row r="103" spans="1:4" x14ac:dyDescent="0.45">
      <c r="A103" s="2">
        <v>45897</v>
      </c>
      <c r="B103" s="2">
        <f t="shared" si="21"/>
        <v>46671.75</v>
      </c>
      <c r="C103" s="1">
        <f t="shared" si="27"/>
        <v>1535</v>
      </c>
      <c r="D103" s="1" t="str">
        <f t="shared" si="20"/>
        <v/>
      </c>
    </row>
    <row r="104" spans="1:4" x14ac:dyDescent="0.45">
      <c r="A104" s="2">
        <v>45898</v>
      </c>
      <c r="B104" s="2">
        <f t="shared" si="21"/>
        <v>46675.75</v>
      </c>
      <c r="C104" s="1">
        <f t="shared" si="27"/>
        <v>1535</v>
      </c>
      <c r="D104" s="1" t="str">
        <f t="shared" si="20"/>
        <v/>
      </c>
    </row>
    <row r="105" spans="1:4" x14ac:dyDescent="0.45">
      <c r="A105" s="2">
        <v>45899</v>
      </c>
      <c r="B105" s="2">
        <f t="shared" si="21"/>
        <v>46678.75</v>
      </c>
      <c r="C105" s="1">
        <f t="shared" si="27"/>
        <v>1535</v>
      </c>
      <c r="D105" s="1" t="str">
        <f t="shared" si="20"/>
        <v/>
      </c>
    </row>
    <row r="106" spans="1:4" x14ac:dyDescent="0.45">
      <c r="A106" s="2">
        <v>45900</v>
      </c>
      <c r="B106" s="2">
        <f t="shared" si="21"/>
        <v>46682.75</v>
      </c>
      <c r="C106" s="1">
        <f t="shared" si="27"/>
        <v>1535</v>
      </c>
      <c r="D106" s="1" t="str">
        <f t="shared" si="20"/>
        <v>time-skip</v>
      </c>
    </row>
    <row r="107" spans="1:4" x14ac:dyDescent="0.45">
      <c r="A107" s="2">
        <v>45901</v>
      </c>
      <c r="B107" s="5">
        <f t="shared" ref="B107:B170" si="29">B100+93-DAY(B100+93)+1</f>
        <v>46753.75</v>
      </c>
      <c r="C107" s="1">
        <f t="shared" si="27"/>
        <v>1536</v>
      </c>
      <c r="D107" s="1" t="str">
        <f t="shared" si="20"/>
        <v/>
      </c>
    </row>
    <row r="108" spans="1:4" x14ac:dyDescent="0.45">
      <c r="A108" s="2">
        <v>45902</v>
      </c>
      <c r="B108" s="2">
        <f t="shared" ref="B108" si="30">B107+3</f>
        <v>46756.75</v>
      </c>
      <c r="C108" s="1">
        <f t="shared" si="27"/>
        <v>1536</v>
      </c>
      <c r="D108" s="1" t="str">
        <f t="shared" si="20"/>
        <v/>
      </c>
    </row>
    <row r="109" spans="1:4" x14ac:dyDescent="0.45">
      <c r="A109" s="2">
        <v>45903</v>
      </c>
      <c r="B109" s="2">
        <f t="shared" si="25"/>
        <v>46760.75</v>
      </c>
      <c r="C109" s="1">
        <f t="shared" si="27"/>
        <v>1536</v>
      </c>
      <c r="D109" s="1" t="str">
        <f t="shared" si="20"/>
        <v/>
      </c>
    </row>
    <row r="110" spans="1:4" x14ac:dyDescent="0.45">
      <c r="A110" s="2">
        <v>45904</v>
      </c>
      <c r="B110" s="2">
        <f t="shared" si="21"/>
        <v>46763.75</v>
      </c>
      <c r="C110" s="1">
        <f t="shared" si="27"/>
        <v>1536</v>
      </c>
      <c r="D110" s="1" t="str">
        <f t="shared" si="20"/>
        <v/>
      </c>
    </row>
    <row r="111" spans="1:4" x14ac:dyDescent="0.45">
      <c r="A111" s="2">
        <v>45905</v>
      </c>
      <c r="B111" s="2">
        <f t="shared" si="21"/>
        <v>46767.75</v>
      </c>
      <c r="C111" s="1">
        <f t="shared" si="27"/>
        <v>1536</v>
      </c>
      <c r="D111" s="1" t="str">
        <f t="shared" si="20"/>
        <v/>
      </c>
    </row>
    <row r="112" spans="1:4" x14ac:dyDescent="0.45">
      <c r="A112" s="2">
        <v>45906</v>
      </c>
      <c r="B112" s="2">
        <f t="shared" si="21"/>
        <v>46770.75</v>
      </c>
      <c r="C112" s="1">
        <f t="shared" si="27"/>
        <v>1536</v>
      </c>
      <c r="D112" s="1" t="str">
        <f t="shared" si="20"/>
        <v/>
      </c>
    </row>
    <row r="113" spans="1:4" x14ac:dyDescent="0.45">
      <c r="A113" s="2">
        <v>45907</v>
      </c>
      <c r="B113" s="2">
        <f t="shared" si="21"/>
        <v>46774.75</v>
      </c>
      <c r="C113" s="1">
        <f t="shared" si="27"/>
        <v>1536</v>
      </c>
      <c r="D113" s="1" t="str">
        <f t="shared" si="20"/>
        <v>time-skip</v>
      </c>
    </row>
    <row r="114" spans="1:4" x14ac:dyDescent="0.45">
      <c r="A114" s="2">
        <v>45908</v>
      </c>
      <c r="B114" s="5">
        <f t="shared" si="29"/>
        <v>46844.75</v>
      </c>
      <c r="C114" s="1">
        <f t="shared" si="27"/>
        <v>1536</v>
      </c>
      <c r="D114" s="1" t="str">
        <f t="shared" si="20"/>
        <v/>
      </c>
    </row>
    <row r="115" spans="1:4" x14ac:dyDescent="0.45">
      <c r="A115" s="2">
        <v>45909</v>
      </c>
      <c r="B115" s="2">
        <f t="shared" ref="B115" si="31">B114+3</f>
        <v>46847.75</v>
      </c>
      <c r="C115" s="1">
        <f t="shared" si="27"/>
        <v>1536</v>
      </c>
      <c r="D115" s="1" t="str">
        <f t="shared" si="20"/>
        <v/>
      </c>
    </row>
    <row r="116" spans="1:4" x14ac:dyDescent="0.45">
      <c r="A116" s="2">
        <v>45910</v>
      </c>
      <c r="B116" s="2">
        <f t="shared" si="25"/>
        <v>46851.75</v>
      </c>
      <c r="C116" s="1">
        <f t="shared" si="27"/>
        <v>1536</v>
      </c>
      <c r="D116" s="1" t="str">
        <f t="shared" si="20"/>
        <v/>
      </c>
    </row>
    <row r="117" spans="1:4" x14ac:dyDescent="0.45">
      <c r="A117" s="2">
        <v>45911</v>
      </c>
      <c r="B117" s="2">
        <f t="shared" si="21"/>
        <v>46854.75</v>
      </c>
      <c r="C117" s="1">
        <f t="shared" si="27"/>
        <v>1536</v>
      </c>
      <c r="D117" s="1" t="str">
        <f t="shared" si="20"/>
        <v/>
      </c>
    </row>
    <row r="118" spans="1:4" x14ac:dyDescent="0.45">
      <c r="A118" s="2">
        <v>45912</v>
      </c>
      <c r="B118" s="2">
        <f t="shared" si="21"/>
        <v>46858.75</v>
      </c>
      <c r="C118" s="1">
        <f t="shared" si="27"/>
        <v>1536</v>
      </c>
      <c r="D118" s="1" t="str">
        <f t="shared" si="20"/>
        <v/>
      </c>
    </row>
    <row r="119" spans="1:4" x14ac:dyDescent="0.45">
      <c r="A119" s="2">
        <v>45913</v>
      </c>
      <c r="B119" s="2">
        <f t="shared" si="21"/>
        <v>46861.75</v>
      </c>
      <c r="C119" s="1">
        <f t="shared" si="27"/>
        <v>1536</v>
      </c>
      <c r="D119" s="1" t="str">
        <f t="shared" si="20"/>
        <v/>
      </c>
    </row>
    <row r="120" spans="1:4" x14ac:dyDescent="0.45">
      <c r="A120" s="2">
        <v>45914</v>
      </c>
      <c r="B120" s="2">
        <f t="shared" si="21"/>
        <v>46865.75</v>
      </c>
      <c r="C120" s="1">
        <f t="shared" si="27"/>
        <v>1536</v>
      </c>
      <c r="D120" s="1" t="str">
        <f t="shared" si="20"/>
        <v>time-skip</v>
      </c>
    </row>
    <row r="121" spans="1:4" x14ac:dyDescent="0.45">
      <c r="A121" s="2">
        <v>45915</v>
      </c>
      <c r="B121" s="5">
        <f t="shared" si="29"/>
        <v>46935.75</v>
      </c>
      <c r="C121" s="1">
        <f t="shared" si="27"/>
        <v>1536</v>
      </c>
      <c r="D121" s="1" t="str">
        <f t="shared" si="20"/>
        <v/>
      </c>
    </row>
    <row r="122" spans="1:4" x14ac:dyDescent="0.45">
      <c r="A122" s="2">
        <v>45916</v>
      </c>
      <c r="B122" s="2">
        <f t="shared" ref="B122" si="32">B121+3</f>
        <v>46938.75</v>
      </c>
      <c r="C122" s="1">
        <f t="shared" si="27"/>
        <v>1536</v>
      </c>
      <c r="D122" s="1" t="str">
        <f t="shared" si="20"/>
        <v/>
      </c>
    </row>
    <row r="123" spans="1:4" x14ac:dyDescent="0.45">
      <c r="A123" s="2">
        <v>45917</v>
      </c>
      <c r="B123" s="2">
        <f t="shared" si="25"/>
        <v>46942.75</v>
      </c>
      <c r="C123" s="1">
        <f t="shared" si="27"/>
        <v>1536</v>
      </c>
      <c r="D123" s="1" t="str">
        <f t="shared" si="20"/>
        <v/>
      </c>
    </row>
    <row r="124" spans="1:4" x14ac:dyDescent="0.45">
      <c r="A124" s="2">
        <v>45918</v>
      </c>
      <c r="B124" s="2">
        <f t="shared" si="21"/>
        <v>46945.75</v>
      </c>
      <c r="C124" s="1">
        <f t="shared" si="27"/>
        <v>1536</v>
      </c>
      <c r="D124" s="1" t="str">
        <f t="shared" si="20"/>
        <v/>
      </c>
    </row>
    <row r="125" spans="1:4" x14ac:dyDescent="0.45">
      <c r="A125" s="2">
        <v>45919</v>
      </c>
      <c r="B125" s="2">
        <f t="shared" si="21"/>
        <v>46949.75</v>
      </c>
      <c r="C125" s="1">
        <f t="shared" si="27"/>
        <v>1536</v>
      </c>
      <c r="D125" s="1" t="str">
        <f t="shared" si="20"/>
        <v/>
      </c>
    </row>
    <row r="126" spans="1:4" x14ac:dyDescent="0.45">
      <c r="A126" s="2">
        <v>45920</v>
      </c>
      <c r="B126" s="2">
        <f t="shared" si="21"/>
        <v>46952.75</v>
      </c>
      <c r="C126" s="1">
        <f t="shared" si="27"/>
        <v>1536</v>
      </c>
      <c r="D126" s="1" t="str">
        <f t="shared" si="20"/>
        <v/>
      </c>
    </row>
    <row r="127" spans="1:4" x14ac:dyDescent="0.45">
      <c r="A127" s="2">
        <v>45921</v>
      </c>
      <c r="B127" s="2">
        <f t="shared" si="21"/>
        <v>46956.75</v>
      </c>
      <c r="C127" s="1">
        <f t="shared" si="27"/>
        <v>1536</v>
      </c>
      <c r="D127" s="1" t="str">
        <f t="shared" si="20"/>
        <v>time-skip</v>
      </c>
    </row>
    <row r="128" spans="1:4" x14ac:dyDescent="0.45">
      <c r="A128" s="2">
        <v>45922</v>
      </c>
      <c r="B128" s="5">
        <f t="shared" si="29"/>
        <v>47027.75</v>
      </c>
      <c r="C128" s="1">
        <f t="shared" si="27"/>
        <v>1536</v>
      </c>
      <c r="D128" s="1" t="str">
        <f t="shared" si="20"/>
        <v/>
      </c>
    </row>
    <row r="129" spans="1:4" x14ac:dyDescent="0.45">
      <c r="A129" s="2">
        <v>45923</v>
      </c>
      <c r="B129" s="2">
        <f t="shared" ref="B129" si="33">B128+3</f>
        <v>47030.75</v>
      </c>
      <c r="C129" s="1">
        <f t="shared" si="27"/>
        <v>1536</v>
      </c>
      <c r="D129" s="1" t="str">
        <f t="shared" si="20"/>
        <v/>
      </c>
    </row>
    <row r="130" spans="1:4" x14ac:dyDescent="0.45">
      <c r="A130" s="2">
        <v>45924</v>
      </c>
      <c r="B130" s="2">
        <f t="shared" si="25"/>
        <v>47034.75</v>
      </c>
      <c r="C130" s="1">
        <f t="shared" si="27"/>
        <v>1536</v>
      </c>
      <c r="D130" s="1" t="str">
        <f t="shared" si="20"/>
        <v/>
      </c>
    </row>
    <row r="131" spans="1:4" x14ac:dyDescent="0.45">
      <c r="A131" s="2">
        <v>45925</v>
      </c>
      <c r="B131" s="2">
        <f t="shared" si="21"/>
        <v>47037.75</v>
      </c>
      <c r="C131" s="1">
        <f t="shared" si="27"/>
        <v>1536</v>
      </c>
      <c r="D131" s="1" t="str">
        <f t="shared" ref="D131:D194" si="34">IF(WEEKDAY(A131,2)=7,"time-skip","")</f>
        <v/>
      </c>
    </row>
    <row r="132" spans="1:4" x14ac:dyDescent="0.45">
      <c r="A132" s="2">
        <v>45926</v>
      </c>
      <c r="B132" s="2">
        <f t="shared" si="21"/>
        <v>47041.75</v>
      </c>
      <c r="C132" s="1">
        <f t="shared" si="27"/>
        <v>1536</v>
      </c>
      <c r="D132" s="1" t="str">
        <f t="shared" si="34"/>
        <v/>
      </c>
    </row>
    <row r="133" spans="1:4" x14ac:dyDescent="0.45">
      <c r="A133" s="2">
        <v>45927</v>
      </c>
      <c r="B133" s="2">
        <f t="shared" ref="B133:B196" si="35">B131+7</f>
        <v>47044.75</v>
      </c>
      <c r="C133" s="1">
        <f t="shared" si="27"/>
        <v>1536</v>
      </c>
      <c r="D133" s="1" t="str">
        <f t="shared" si="34"/>
        <v/>
      </c>
    </row>
    <row r="134" spans="1:4" x14ac:dyDescent="0.45">
      <c r="A134" s="2">
        <v>45928</v>
      </c>
      <c r="B134" s="2">
        <f t="shared" si="35"/>
        <v>47048.75</v>
      </c>
      <c r="C134" s="1">
        <f t="shared" si="27"/>
        <v>1536</v>
      </c>
      <c r="D134" s="1" t="str">
        <f t="shared" si="34"/>
        <v>time-skip</v>
      </c>
    </row>
    <row r="135" spans="1:4" x14ac:dyDescent="0.45">
      <c r="A135" s="2">
        <v>45929</v>
      </c>
      <c r="B135" s="5">
        <f t="shared" si="29"/>
        <v>47119.75</v>
      </c>
      <c r="C135" s="1">
        <f t="shared" si="27"/>
        <v>1537</v>
      </c>
      <c r="D135" s="1" t="str">
        <f t="shared" si="34"/>
        <v/>
      </c>
    </row>
    <row r="136" spans="1:4" x14ac:dyDescent="0.45">
      <c r="A136" s="2">
        <v>45930</v>
      </c>
      <c r="B136" s="2">
        <f t="shared" ref="B136" si="36">B135+3</f>
        <v>47122.75</v>
      </c>
      <c r="C136" s="1">
        <f t="shared" si="27"/>
        <v>1537</v>
      </c>
      <c r="D136" s="1" t="str">
        <f t="shared" si="34"/>
        <v/>
      </c>
    </row>
    <row r="137" spans="1:4" x14ac:dyDescent="0.45">
      <c r="A137" s="2">
        <v>45931</v>
      </c>
      <c r="B137" s="2">
        <f t="shared" si="25"/>
        <v>47126.75</v>
      </c>
      <c r="C137" s="1">
        <f t="shared" si="27"/>
        <v>1537</v>
      </c>
      <c r="D137" s="1" t="str">
        <f t="shared" si="34"/>
        <v/>
      </c>
    </row>
    <row r="138" spans="1:4" x14ac:dyDescent="0.45">
      <c r="A138" s="2">
        <v>45932</v>
      </c>
      <c r="B138" s="2">
        <f t="shared" si="35"/>
        <v>47129.75</v>
      </c>
      <c r="C138" s="1">
        <f t="shared" si="27"/>
        <v>1537</v>
      </c>
      <c r="D138" s="1" t="str">
        <f t="shared" si="34"/>
        <v/>
      </c>
    </row>
    <row r="139" spans="1:4" x14ac:dyDescent="0.45">
      <c r="A139" s="2">
        <v>45933</v>
      </c>
      <c r="B139" s="2">
        <f t="shared" si="35"/>
        <v>47133.75</v>
      </c>
      <c r="C139" s="1">
        <f t="shared" si="27"/>
        <v>1537</v>
      </c>
      <c r="D139" s="1" t="str">
        <f t="shared" si="34"/>
        <v/>
      </c>
    </row>
    <row r="140" spans="1:4" x14ac:dyDescent="0.45">
      <c r="A140" s="2">
        <v>45934</v>
      </c>
      <c r="B140" s="2">
        <f t="shared" si="35"/>
        <v>47136.75</v>
      </c>
      <c r="C140" s="1">
        <f t="shared" si="27"/>
        <v>1537</v>
      </c>
      <c r="D140" s="1" t="str">
        <f t="shared" si="34"/>
        <v/>
      </c>
    </row>
    <row r="141" spans="1:4" x14ac:dyDescent="0.45">
      <c r="A141" s="2">
        <v>45935</v>
      </c>
      <c r="B141" s="2">
        <f t="shared" si="35"/>
        <v>47140.75</v>
      </c>
      <c r="C141" s="1">
        <f t="shared" si="27"/>
        <v>1537</v>
      </c>
      <c r="D141" s="1" t="str">
        <f t="shared" si="34"/>
        <v>time-skip</v>
      </c>
    </row>
    <row r="142" spans="1:4" x14ac:dyDescent="0.45">
      <c r="A142" s="2">
        <v>45936</v>
      </c>
      <c r="B142" s="5">
        <f t="shared" si="29"/>
        <v>47209.75</v>
      </c>
      <c r="C142" s="1">
        <f t="shared" si="27"/>
        <v>1537</v>
      </c>
      <c r="D142" s="1" t="str">
        <f t="shared" si="34"/>
        <v/>
      </c>
    </row>
    <row r="143" spans="1:4" x14ac:dyDescent="0.45">
      <c r="A143" s="2">
        <v>45937</v>
      </c>
      <c r="B143" s="2">
        <f t="shared" ref="B143" si="37">B142+3</f>
        <v>47212.75</v>
      </c>
      <c r="C143" s="1">
        <f t="shared" si="27"/>
        <v>1537</v>
      </c>
      <c r="D143" s="1" t="str">
        <f t="shared" si="34"/>
        <v/>
      </c>
    </row>
    <row r="144" spans="1:4" x14ac:dyDescent="0.45">
      <c r="A144" s="2">
        <v>45938</v>
      </c>
      <c r="B144" s="2">
        <f t="shared" si="25"/>
        <v>47216.75</v>
      </c>
      <c r="C144" s="1">
        <f t="shared" si="27"/>
        <v>1537</v>
      </c>
      <c r="D144" s="1" t="str">
        <f t="shared" si="34"/>
        <v/>
      </c>
    </row>
    <row r="145" spans="1:4" x14ac:dyDescent="0.45">
      <c r="A145" s="2">
        <v>45939</v>
      </c>
      <c r="B145" s="2">
        <f t="shared" si="35"/>
        <v>47219.75</v>
      </c>
      <c r="C145" s="1">
        <f t="shared" si="27"/>
        <v>1537</v>
      </c>
      <c r="D145" s="1" t="str">
        <f t="shared" si="34"/>
        <v/>
      </c>
    </row>
    <row r="146" spans="1:4" x14ac:dyDescent="0.45">
      <c r="A146" s="2">
        <v>45940</v>
      </c>
      <c r="B146" s="2">
        <f t="shared" si="35"/>
        <v>47223.75</v>
      </c>
      <c r="C146" s="1">
        <f t="shared" si="27"/>
        <v>1537</v>
      </c>
      <c r="D146" s="1" t="str">
        <f t="shared" si="34"/>
        <v/>
      </c>
    </row>
    <row r="147" spans="1:4" x14ac:dyDescent="0.45">
      <c r="A147" s="2">
        <v>45941</v>
      </c>
      <c r="B147" s="2">
        <f t="shared" si="35"/>
        <v>47226.75</v>
      </c>
      <c r="C147" s="1">
        <f t="shared" si="27"/>
        <v>1537</v>
      </c>
      <c r="D147" s="1" t="str">
        <f t="shared" si="34"/>
        <v/>
      </c>
    </row>
    <row r="148" spans="1:4" x14ac:dyDescent="0.45">
      <c r="A148" s="2">
        <v>45942</v>
      </c>
      <c r="B148" s="2">
        <f t="shared" si="35"/>
        <v>47230.75</v>
      </c>
      <c r="C148" s="1">
        <f t="shared" si="27"/>
        <v>1537</v>
      </c>
      <c r="D148" s="1" t="str">
        <f t="shared" si="34"/>
        <v>time-skip</v>
      </c>
    </row>
    <row r="149" spans="1:4" x14ac:dyDescent="0.45">
      <c r="A149" s="2">
        <v>45943</v>
      </c>
      <c r="B149" s="5">
        <f t="shared" si="29"/>
        <v>47300.75</v>
      </c>
      <c r="C149" s="1">
        <f t="shared" si="27"/>
        <v>1537</v>
      </c>
      <c r="D149" s="1" t="str">
        <f t="shared" si="34"/>
        <v/>
      </c>
    </row>
    <row r="150" spans="1:4" x14ac:dyDescent="0.45">
      <c r="A150" s="2">
        <v>45944</v>
      </c>
      <c r="B150" s="2">
        <f t="shared" ref="B150" si="38">B149+3</f>
        <v>47303.75</v>
      </c>
      <c r="C150" s="1">
        <f t="shared" si="27"/>
        <v>1537</v>
      </c>
      <c r="D150" s="1" t="str">
        <f t="shared" si="34"/>
        <v/>
      </c>
    </row>
    <row r="151" spans="1:4" x14ac:dyDescent="0.45">
      <c r="A151" s="2">
        <v>45945</v>
      </c>
      <c r="B151" s="2">
        <f t="shared" si="25"/>
        <v>47307.75</v>
      </c>
      <c r="C151" s="1">
        <f t="shared" si="27"/>
        <v>1537</v>
      </c>
      <c r="D151" s="1" t="str">
        <f t="shared" si="34"/>
        <v/>
      </c>
    </row>
    <row r="152" spans="1:4" x14ac:dyDescent="0.45">
      <c r="A152" s="2">
        <v>45946</v>
      </c>
      <c r="B152" s="2">
        <f t="shared" si="35"/>
        <v>47310.75</v>
      </c>
      <c r="C152" s="1">
        <f t="shared" si="27"/>
        <v>1537</v>
      </c>
      <c r="D152" s="1" t="str">
        <f t="shared" si="34"/>
        <v/>
      </c>
    </row>
    <row r="153" spans="1:4" x14ac:dyDescent="0.45">
      <c r="A153" s="2">
        <v>45947</v>
      </c>
      <c r="B153" s="2">
        <f t="shared" si="35"/>
        <v>47314.75</v>
      </c>
      <c r="C153" s="1">
        <f t="shared" si="27"/>
        <v>1537</v>
      </c>
      <c r="D153" s="1" t="str">
        <f t="shared" si="34"/>
        <v/>
      </c>
    </row>
    <row r="154" spans="1:4" x14ac:dyDescent="0.45">
      <c r="A154" s="2">
        <v>45948</v>
      </c>
      <c r="B154" s="2">
        <f t="shared" si="35"/>
        <v>47317.75</v>
      </c>
      <c r="C154" s="1">
        <f t="shared" si="27"/>
        <v>1537</v>
      </c>
      <c r="D154" s="1" t="str">
        <f t="shared" si="34"/>
        <v/>
      </c>
    </row>
    <row r="155" spans="1:4" x14ac:dyDescent="0.45">
      <c r="A155" s="2">
        <v>45949</v>
      </c>
      <c r="B155" s="2">
        <f t="shared" si="35"/>
        <v>47321.75</v>
      </c>
      <c r="C155" s="1">
        <f t="shared" si="27"/>
        <v>1537</v>
      </c>
      <c r="D155" s="1" t="str">
        <f t="shared" si="34"/>
        <v>time-skip</v>
      </c>
    </row>
    <row r="156" spans="1:4" x14ac:dyDescent="0.45">
      <c r="A156" s="2">
        <v>45950</v>
      </c>
      <c r="B156" s="5">
        <f t="shared" si="29"/>
        <v>47392.75</v>
      </c>
      <c r="C156" s="1">
        <f t="shared" si="27"/>
        <v>1537</v>
      </c>
      <c r="D156" s="1" t="str">
        <f t="shared" si="34"/>
        <v/>
      </c>
    </row>
    <row r="157" spans="1:4" x14ac:dyDescent="0.45">
      <c r="A157" s="2">
        <v>45951</v>
      </c>
      <c r="B157" s="2">
        <f t="shared" ref="B157" si="39">B156+3</f>
        <v>47395.75</v>
      </c>
      <c r="C157" s="1">
        <f t="shared" si="27"/>
        <v>1537</v>
      </c>
      <c r="D157" s="1" t="str">
        <f t="shared" si="34"/>
        <v/>
      </c>
    </row>
    <row r="158" spans="1:4" x14ac:dyDescent="0.45">
      <c r="A158" s="2">
        <v>45952</v>
      </c>
      <c r="B158" s="2">
        <f t="shared" ref="B158:B221" si="40">B156+7</f>
        <v>47399.75</v>
      </c>
      <c r="C158" s="1">
        <f t="shared" si="27"/>
        <v>1537</v>
      </c>
      <c r="D158" s="1" t="str">
        <f t="shared" si="34"/>
        <v/>
      </c>
    </row>
    <row r="159" spans="1:4" x14ac:dyDescent="0.45">
      <c r="A159" s="2">
        <v>45953</v>
      </c>
      <c r="B159" s="2">
        <f t="shared" si="35"/>
        <v>47402.75</v>
      </c>
      <c r="C159" s="1">
        <f t="shared" ref="C159:C222" si="41">C158+(DAY(B159)=1) * (MONTH(B159)=1)</f>
        <v>1537</v>
      </c>
      <c r="D159" s="1" t="str">
        <f t="shared" si="34"/>
        <v/>
      </c>
    </row>
    <row r="160" spans="1:4" x14ac:dyDescent="0.45">
      <c r="A160" s="2">
        <v>45954</v>
      </c>
      <c r="B160" s="2">
        <f t="shared" si="35"/>
        <v>47406.75</v>
      </c>
      <c r="C160" s="1">
        <f t="shared" si="41"/>
        <v>1537</v>
      </c>
      <c r="D160" s="1" t="str">
        <f t="shared" si="34"/>
        <v/>
      </c>
    </row>
    <row r="161" spans="1:4" x14ac:dyDescent="0.45">
      <c r="A161" s="2">
        <v>45955</v>
      </c>
      <c r="B161" s="2">
        <f t="shared" si="35"/>
        <v>47409.75</v>
      </c>
      <c r="C161" s="1">
        <f t="shared" si="41"/>
        <v>1537</v>
      </c>
      <c r="D161" s="1" t="str">
        <f t="shared" si="34"/>
        <v/>
      </c>
    </row>
    <row r="162" spans="1:4" x14ac:dyDescent="0.45">
      <c r="A162" s="2">
        <v>45956</v>
      </c>
      <c r="B162" s="2">
        <f t="shared" si="35"/>
        <v>47413.75</v>
      </c>
      <c r="C162" s="1">
        <f t="shared" si="41"/>
        <v>1537</v>
      </c>
      <c r="D162" s="1" t="str">
        <f t="shared" si="34"/>
        <v>time-skip</v>
      </c>
    </row>
    <row r="163" spans="1:4" x14ac:dyDescent="0.45">
      <c r="A163" s="2">
        <v>45957</v>
      </c>
      <c r="B163" s="5">
        <f t="shared" si="29"/>
        <v>47484.75</v>
      </c>
      <c r="C163" s="1">
        <f t="shared" si="41"/>
        <v>1538</v>
      </c>
      <c r="D163" s="1" t="str">
        <f t="shared" si="34"/>
        <v/>
      </c>
    </row>
    <row r="164" spans="1:4" x14ac:dyDescent="0.45">
      <c r="A164" s="2">
        <v>45958</v>
      </c>
      <c r="B164" s="2">
        <f t="shared" ref="B164" si="42">B163+3</f>
        <v>47487.75</v>
      </c>
      <c r="C164" s="1">
        <f t="shared" si="41"/>
        <v>1538</v>
      </c>
      <c r="D164" s="1" t="str">
        <f t="shared" si="34"/>
        <v/>
      </c>
    </row>
    <row r="165" spans="1:4" x14ac:dyDescent="0.45">
      <c r="A165" s="2">
        <v>45959</v>
      </c>
      <c r="B165" s="2">
        <f t="shared" si="40"/>
        <v>47491.75</v>
      </c>
      <c r="C165" s="1">
        <f t="shared" si="41"/>
        <v>1538</v>
      </c>
      <c r="D165" s="1" t="str">
        <f t="shared" si="34"/>
        <v/>
      </c>
    </row>
    <row r="166" spans="1:4" x14ac:dyDescent="0.45">
      <c r="A166" s="2">
        <v>45960</v>
      </c>
      <c r="B166" s="2">
        <f t="shared" si="35"/>
        <v>47494.75</v>
      </c>
      <c r="C166" s="1">
        <f t="shared" si="41"/>
        <v>1538</v>
      </c>
      <c r="D166" s="1" t="str">
        <f t="shared" si="34"/>
        <v/>
      </c>
    </row>
    <row r="167" spans="1:4" x14ac:dyDescent="0.45">
      <c r="A167" s="2">
        <v>45961</v>
      </c>
      <c r="B167" s="2">
        <f t="shared" si="35"/>
        <v>47498.75</v>
      </c>
      <c r="C167" s="1">
        <f t="shared" si="41"/>
        <v>1538</v>
      </c>
      <c r="D167" s="1" t="str">
        <f t="shared" si="34"/>
        <v/>
      </c>
    </row>
    <row r="168" spans="1:4" x14ac:dyDescent="0.45">
      <c r="A168" s="2">
        <v>45962</v>
      </c>
      <c r="B168" s="2">
        <f t="shared" si="35"/>
        <v>47501.75</v>
      </c>
      <c r="C168" s="1">
        <f t="shared" si="41"/>
        <v>1538</v>
      </c>
      <c r="D168" s="1" t="str">
        <f t="shared" si="34"/>
        <v/>
      </c>
    </row>
    <row r="169" spans="1:4" x14ac:dyDescent="0.45">
      <c r="A169" s="2">
        <v>45963</v>
      </c>
      <c r="B169" s="2">
        <f t="shared" si="35"/>
        <v>47505.75</v>
      </c>
      <c r="C169" s="1">
        <f t="shared" si="41"/>
        <v>1538</v>
      </c>
      <c r="D169" s="1" t="str">
        <f t="shared" si="34"/>
        <v>time-skip</v>
      </c>
    </row>
    <row r="170" spans="1:4" x14ac:dyDescent="0.45">
      <c r="A170" s="2">
        <v>45964</v>
      </c>
      <c r="B170" s="5">
        <f t="shared" si="29"/>
        <v>47574.75</v>
      </c>
      <c r="C170" s="1">
        <f t="shared" si="41"/>
        <v>1538</v>
      </c>
      <c r="D170" s="1" t="str">
        <f t="shared" si="34"/>
        <v/>
      </c>
    </row>
    <row r="171" spans="1:4" x14ac:dyDescent="0.45">
      <c r="A171" s="2">
        <v>45965</v>
      </c>
      <c r="B171" s="2">
        <f t="shared" ref="B171" si="43">B170+3</f>
        <v>47577.75</v>
      </c>
      <c r="C171" s="1">
        <f t="shared" si="41"/>
        <v>1538</v>
      </c>
      <c r="D171" s="1" t="str">
        <f t="shared" si="34"/>
        <v/>
      </c>
    </row>
    <row r="172" spans="1:4" x14ac:dyDescent="0.45">
      <c r="A172" s="2">
        <v>45966</v>
      </c>
      <c r="B172" s="2">
        <f t="shared" si="40"/>
        <v>47581.75</v>
      </c>
      <c r="C172" s="1">
        <f t="shared" si="41"/>
        <v>1538</v>
      </c>
      <c r="D172" s="1" t="str">
        <f t="shared" si="34"/>
        <v/>
      </c>
    </row>
    <row r="173" spans="1:4" x14ac:dyDescent="0.45">
      <c r="A173" s="2">
        <v>45967</v>
      </c>
      <c r="B173" s="2">
        <f t="shared" si="35"/>
        <v>47584.75</v>
      </c>
      <c r="C173" s="1">
        <f t="shared" si="41"/>
        <v>1538</v>
      </c>
      <c r="D173" s="1" t="str">
        <f t="shared" si="34"/>
        <v/>
      </c>
    </row>
    <row r="174" spans="1:4" x14ac:dyDescent="0.45">
      <c r="A174" s="2">
        <v>45968</v>
      </c>
      <c r="B174" s="2">
        <f t="shared" si="35"/>
        <v>47588.75</v>
      </c>
      <c r="C174" s="1">
        <f t="shared" si="41"/>
        <v>1538</v>
      </c>
      <c r="D174" s="1" t="str">
        <f t="shared" si="34"/>
        <v/>
      </c>
    </row>
    <row r="175" spans="1:4" x14ac:dyDescent="0.45">
      <c r="A175" s="2">
        <v>45969</v>
      </c>
      <c r="B175" s="2">
        <f t="shared" si="35"/>
        <v>47591.75</v>
      </c>
      <c r="C175" s="1">
        <f t="shared" si="41"/>
        <v>1538</v>
      </c>
      <c r="D175" s="1" t="str">
        <f t="shared" si="34"/>
        <v/>
      </c>
    </row>
    <row r="176" spans="1:4" x14ac:dyDescent="0.45">
      <c r="A176" s="2">
        <v>45970</v>
      </c>
      <c r="B176" s="2">
        <f t="shared" si="35"/>
        <v>47595.75</v>
      </c>
      <c r="C176" s="1">
        <f t="shared" si="41"/>
        <v>1538</v>
      </c>
      <c r="D176" s="1" t="str">
        <f t="shared" si="34"/>
        <v>time-skip</v>
      </c>
    </row>
    <row r="177" spans="1:4" x14ac:dyDescent="0.45">
      <c r="A177" s="2">
        <v>45971</v>
      </c>
      <c r="B177" s="5">
        <f t="shared" ref="B177:B240" si="44">B170+93-DAY(B170+93)+1</f>
        <v>47665.75</v>
      </c>
      <c r="C177" s="1">
        <f t="shared" si="41"/>
        <v>1538</v>
      </c>
      <c r="D177" s="1" t="str">
        <f t="shared" si="34"/>
        <v/>
      </c>
    </row>
    <row r="178" spans="1:4" x14ac:dyDescent="0.45">
      <c r="A178" s="2">
        <v>45972</v>
      </c>
      <c r="B178" s="2">
        <f t="shared" ref="B178" si="45">B177+3</f>
        <v>47668.75</v>
      </c>
      <c r="C178" s="1">
        <f t="shared" si="41"/>
        <v>1538</v>
      </c>
      <c r="D178" s="1" t="str">
        <f t="shared" si="34"/>
        <v/>
      </c>
    </row>
    <row r="179" spans="1:4" x14ac:dyDescent="0.45">
      <c r="A179" s="2">
        <v>45973</v>
      </c>
      <c r="B179" s="2">
        <f t="shared" si="40"/>
        <v>47672.75</v>
      </c>
      <c r="C179" s="1">
        <f t="shared" si="41"/>
        <v>1538</v>
      </c>
      <c r="D179" s="1" t="str">
        <f t="shared" si="34"/>
        <v/>
      </c>
    </row>
    <row r="180" spans="1:4" x14ac:dyDescent="0.45">
      <c r="A180" s="2">
        <v>45974</v>
      </c>
      <c r="B180" s="2">
        <f t="shared" si="35"/>
        <v>47675.75</v>
      </c>
      <c r="C180" s="1">
        <f t="shared" si="41"/>
        <v>1538</v>
      </c>
      <c r="D180" s="1" t="str">
        <f t="shared" si="34"/>
        <v/>
      </c>
    </row>
    <row r="181" spans="1:4" x14ac:dyDescent="0.45">
      <c r="A181" s="2">
        <v>45975</v>
      </c>
      <c r="B181" s="2">
        <f t="shared" si="35"/>
        <v>47679.75</v>
      </c>
      <c r="C181" s="1">
        <f t="shared" si="41"/>
        <v>1538</v>
      </c>
      <c r="D181" s="1" t="str">
        <f t="shared" si="34"/>
        <v/>
      </c>
    </row>
    <row r="182" spans="1:4" x14ac:dyDescent="0.45">
      <c r="A182" s="2">
        <v>45976</v>
      </c>
      <c r="B182" s="2">
        <f t="shared" si="35"/>
        <v>47682.75</v>
      </c>
      <c r="C182" s="1">
        <f t="shared" si="41"/>
        <v>1538</v>
      </c>
      <c r="D182" s="1" t="str">
        <f t="shared" si="34"/>
        <v/>
      </c>
    </row>
    <row r="183" spans="1:4" x14ac:dyDescent="0.45">
      <c r="A183" s="2">
        <v>45977</v>
      </c>
      <c r="B183" s="2">
        <f t="shared" si="35"/>
        <v>47686.75</v>
      </c>
      <c r="C183" s="1">
        <f t="shared" si="41"/>
        <v>1538</v>
      </c>
      <c r="D183" s="1" t="str">
        <f t="shared" si="34"/>
        <v>time-skip</v>
      </c>
    </row>
    <row r="184" spans="1:4" x14ac:dyDescent="0.45">
      <c r="A184" s="2">
        <v>45978</v>
      </c>
      <c r="B184" s="5">
        <f t="shared" si="44"/>
        <v>47757.75</v>
      </c>
      <c r="C184" s="1">
        <f t="shared" si="41"/>
        <v>1538</v>
      </c>
      <c r="D184" s="1" t="str">
        <f t="shared" si="34"/>
        <v/>
      </c>
    </row>
    <row r="185" spans="1:4" x14ac:dyDescent="0.45">
      <c r="A185" s="2">
        <v>45979</v>
      </c>
      <c r="B185" s="2">
        <f t="shared" ref="B185" si="46">B184+3</f>
        <v>47760.75</v>
      </c>
      <c r="C185" s="1">
        <f t="shared" si="41"/>
        <v>1538</v>
      </c>
      <c r="D185" s="1" t="str">
        <f t="shared" si="34"/>
        <v/>
      </c>
    </row>
    <row r="186" spans="1:4" x14ac:dyDescent="0.45">
      <c r="A186" s="2">
        <v>45980</v>
      </c>
      <c r="B186" s="2">
        <f t="shared" si="40"/>
        <v>47764.75</v>
      </c>
      <c r="C186" s="1">
        <f t="shared" si="41"/>
        <v>1538</v>
      </c>
      <c r="D186" s="1" t="str">
        <f t="shared" si="34"/>
        <v/>
      </c>
    </row>
    <row r="187" spans="1:4" x14ac:dyDescent="0.45">
      <c r="A187" s="2">
        <v>45981</v>
      </c>
      <c r="B187" s="2">
        <f t="shared" si="35"/>
        <v>47767.75</v>
      </c>
      <c r="C187" s="1">
        <f t="shared" si="41"/>
        <v>1538</v>
      </c>
      <c r="D187" s="1" t="str">
        <f t="shared" si="34"/>
        <v/>
      </c>
    </row>
    <row r="188" spans="1:4" x14ac:dyDescent="0.45">
      <c r="A188" s="2">
        <v>45982</v>
      </c>
      <c r="B188" s="2">
        <f t="shared" si="35"/>
        <v>47771.75</v>
      </c>
      <c r="C188" s="1">
        <f t="shared" si="41"/>
        <v>1538</v>
      </c>
      <c r="D188" s="1" t="str">
        <f t="shared" si="34"/>
        <v/>
      </c>
    </row>
    <row r="189" spans="1:4" x14ac:dyDescent="0.45">
      <c r="A189" s="2">
        <v>45983</v>
      </c>
      <c r="B189" s="2">
        <f t="shared" si="35"/>
        <v>47774.75</v>
      </c>
      <c r="C189" s="1">
        <f t="shared" si="41"/>
        <v>1538</v>
      </c>
      <c r="D189" s="1" t="str">
        <f t="shared" si="34"/>
        <v/>
      </c>
    </row>
    <row r="190" spans="1:4" x14ac:dyDescent="0.45">
      <c r="A190" s="2">
        <v>45984</v>
      </c>
      <c r="B190" s="2">
        <f t="shared" si="35"/>
        <v>47778.75</v>
      </c>
      <c r="C190" s="1">
        <f t="shared" si="41"/>
        <v>1538</v>
      </c>
      <c r="D190" s="1" t="str">
        <f t="shared" si="34"/>
        <v>time-skip</v>
      </c>
    </row>
    <row r="191" spans="1:4" x14ac:dyDescent="0.45">
      <c r="A191" s="2">
        <v>45985</v>
      </c>
      <c r="B191" s="5">
        <f t="shared" si="44"/>
        <v>47849.75</v>
      </c>
      <c r="C191" s="1">
        <f t="shared" si="41"/>
        <v>1539</v>
      </c>
      <c r="D191" s="1" t="str">
        <f t="shared" si="34"/>
        <v/>
      </c>
    </row>
    <row r="192" spans="1:4" x14ac:dyDescent="0.45">
      <c r="A192" s="2">
        <v>45986</v>
      </c>
      <c r="B192" s="2">
        <f t="shared" ref="B192" si="47">B191+3</f>
        <v>47852.75</v>
      </c>
      <c r="C192" s="1">
        <f t="shared" si="41"/>
        <v>1539</v>
      </c>
      <c r="D192" s="1" t="str">
        <f t="shared" si="34"/>
        <v/>
      </c>
    </row>
    <row r="193" spans="1:4" x14ac:dyDescent="0.45">
      <c r="A193" s="2">
        <v>45987</v>
      </c>
      <c r="B193" s="2">
        <f t="shared" si="40"/>
        <v>47856.75</v>
      </c>
      <c r="C193" s="1">
        <f t="shared" si="41"/>
        <v>1539</v>
      </c>
      <c r="D193" s="1" t="str">
        <f t="shared" si="34"/>
        <v/>
      </c>
    </row>
    <row r="194" spans="1:4" x14ac:dyDescent="0.45">
      <c r="A194" s="2">
        <v>45988</v>
      </c>
      <c r="B194" s="2">
        <f t="shared" si="35"/>
        <v>47859.75</v>
      </c>
      <c r="C194" s="1">
        <f t="shared" si="41"/>
        <v>1539</v>
      </c>
      <c r="D194" s="1" t="str">
        <f t="shared" si="34"/>
        <v/>
      </c>
    </row>
    <row r="195" spans="1:4" x14ac:dyDescent="0.45">
      <c r="A195" s="2">
        <v>45989</v>
      </c>
      <c r="B195" s="2">
        <f t="shared" si="35"/>
        <v>47863.75</v>
      </c>
      <c r="C195" s="1">
        <f t="shared" si="41"/>
        <v>1539</v>
      </c>
      <c r="D195" s="1" t="str">
        <f t="shared" ref="D195:D258" si="48">IF(WEEKDAY(A195,2)=7,"time-skip","")</f>
        <v/>
      </c>
    </row>
    <row r="196" spans="1:4" x14ac:dyDescent="0.45">
      <c r="A196" s="2">
        <v>45990</v>
      </c>
      <c r="B196" s="2">
        <f t="shared" si="35"/>
        <v>47866.75</v>
      </c>
      <c r="C196" s="1">
        <f t="shared" si="41"/>
        <v>1539</v>
      </c>
      <c r="D196" s="1" t="str">
        <f t="shared" si="48"/>
        <v/>
      </c>
    </row>
    <row r="197" spans="1:4" x14ac:dyDescent="0.45">
      <c r="A197" s="2">
        <v>45991</v>
      </c>
      <c r="B197" s="2">
        <f t="shared" ref="B197:B260" si="49">B195+7</f>
        <v>47870.75</v>
      </c>
      <c r="C197" s="1">
        <f t="shared" si="41"/>
        <v>1539</v>
      </c>
      <c r="D197" s="1" t="str">
        <f t="shared" si="48"/>
        <v>time-skip</v>
      </c>
    </row>
    <row r="198" spans="1:4" x14ac:dyDescent="0.45">
      <c r="A198" s="2">
        <v>45992</v>
      </c>
      <c r="B198" s="5">
        <f t="shared" si="44"/>
        <v>47939.75</v>
      </c>
      <c r="C198" s="1">
        <f t="shared" si="41"/>
        <v>1539</v>
      </c>
      <c r="D198" s="1" t="str">
        <f t="shared" si="48"/>
        <v/>
      </c>
    </row>
    <row r="199" spans="1:4" x14ac:dyDescent="0.45">
      <c r="A199" s="2">
        <v>45993</v>
      </c>
      <c r="B199" s="2">
        <f t="shared" ref="B199" si="50">B198+3</f>
        <v>47942.75</v>
      </c>
      <c r="C199" s="1">
        <f t="shared" si="41"/>
        <v>1539</v>
      </c>
      <c r="D199" s="1" t="str">
        <f t="shared" si="48"/>
        <v/>
      </c>
    </row>
    <row r="200" spans="1:4" x14ac:dyDescent="0.45">
      <c r="A200" s="2">
        <v>45994</v>
      </c>
      <c r="B200" s="2">
        <f t="shared" si="40"/>
        <v>47946.75</v>
      </c>
      <c r="C200" s="1">
        <f t="shared" si="41"/>
        <v>1539</v>
      </c>
      <c r="D200" s="1" t="str">
        <f t="shared" si="48"/>
        <v/>
      </c>
    </row>
    <row r="201" spans="1:4" x14ac:dyDescent="0.45">
      <c r="A201" s="2">
        <v>45995</v>
      </c>
      <c r="B201" s="2">
        <f t="shared" si="49"/>
        <v>47949.75</v>
      </c>
      <c r="C201" s="1">
        <f t="shared" si="41"/>
        <v>1539</v>
      </c>
      <c r="D201" s="1" t="str">
        <f t="shared" si="48"/>
        <v/>
      </c>
    </row>
    <row r="202" spans="1:4" x14ac:dyDescent="0.45">
      <c r="A202" s="2">
        <v>45996</v>
      </c>
      <c r="B202" s="2">
        <f t="shared" si="49"/>
        <v>47953.75</v>
      </c>
      <c r="C202" s="1">
        <f t="shared" si="41"/>
        <v>1539</v>
      </c>
      <c r="D202" s="1" t="str">
        <f t="shared" si="48"/>
        <v/>
      </c>
    </row>
    <row r="203" spans="1:4" x14ac:dyDescent="0.45">
      <c r="A203" s="2">
        <v>45997</v>
      </c>
      <c r="B203" s="2">
        <f t="shared" si="49"/>
        <v>47956.75</v>
      </c>
      <c r="C203" s="1">
        <f t="shared" si="41"/>
        <v>1539</v>
      </c>
      <c r="D203" s="1" t="str">
        <f t="shared" si="48"/>
        <v/>
      </c>
    </row>
    <row r="204" spans="1:4" x14ac:dyDescent="0.45">
      <c r="A204" s="2">
        <v>45998</v>
      </c>
      <c r="B204" s="2">
        <f t="shared" si="49"/>
        <v>47960.75</v>
      </c>
      <c r="C204" s="1">
        <f t="shared" si="41"/>
        <v>1539</v>
      </c>
      <c r="D204" s="1" t="str">
        <f t="shared" si="48"/>
        <v>time-skip</v>
      </c>
    </row>
    <row r="205" spans="1:4" x14ac:dyDescent="0.45">
      <c r="A205" s="2">
        <v>45999</v>
      </c>
      <c r="B205" s="5">
        <f t="shared" si="44"/>
        <v>48030.75</v>
      </c>
      <c r="C205" s="1">
        <f t="shared" si="41"/>
        <v>1539</v>
      </c>
      <c r="D205" s="1" t="str">
        <f t="shared" si="48"/>
        <v/>
      </c>
    </row>
    <row r="206" spans="1:4" x14ac:dyDescent="0.45">
      <c r="A206" s="2">
        <v>46000</v>
      </c>
      <c r="B206" s="2">
        <f t="shared" ref="B206" si="51">B205+3</f>
        <v>48033.75</v>
      </c>
      <c r="C206" s="1">
        <f t="shared" si="41"/>
        <v>1539</v>
      </c>
      <c r="D206" s="1" t="str">
        <f t="shared" si="48"/>
        <v/>
      </c>
    </row>
    <row r="207" spans="1:4" x14ac:dyDescent="0.45">
      <c r="A207" s="2">
        <v>46001</v>
      </c>
      <c r="B207" s="2">
        <f t="shared" si="40"/>
        <v>48037.75</v>
      </c>
      <c r="C207" s="1">
        <f t="shared" si="41"/>
        <v>1539</v>
      </c>
      <c r="D207" s="1" t="str">
        <f t="shared" si="48"/>
        <v/>
      </c>
    </row>
    <row r="208" spans="1:4" x14ac:dyDescent="0.45">
      <c r="A208" s="2">
        <v>46002</v>
      </c>
      <c r="B208" s="2">
        <f t="shared" si="49"/>
        <v>48040.75</v>
      </c>
      <c r="C208" s="1">
        <f t="shared" si="41"/>
        <v>1539</v>
      </c>
      <c r="D208" s="1" t="str">
        <f t="shared" si="48"/>
        <v/>
      </c>
    </row>
    <row r="209" spans="1:4" x14ac:dyDescent="0.45">
      <c r="A209" s="2">
        <v>46003</v>
      </c>
      <c r="B209" s="2">
        <f t="shared" si="49"/>
        <v>48044.75</v>
      </c>
      <c r="C209" s="1">
        <f t="shared" si="41"/>
        <v>1539</v>
      </c>
      <c r="D209" s="1" t="str">
        <f t="shared" si="48"/>
        <v/>
      </c>
    </row>
    <row r="210" spans="1:4" x14ac:dyDescent="0.45">
      <c r="A210" s="2">
        <v>46004</v>
      </c>
      <c r="B210" s="2">
        <f t="shared" si="49"/>
        <v>48047.75</v>
      </c>
      <c r="C210" s="1">
        <f t="shared" si="41"/>
        <v>1539</v>
      </c>
      <c r="D210" s="1" t="str">
        <f t="shared" si="48"/>
        <v/>
      </c>
    </row>
    <row r="211" spans="1:4" x14ac:dyDescent="0.45">
      <c r="A211" s="2">
        <v>46005</v>
      </c>
      <c r="B211" s="2">
        <f t="shared" si="49"/>
        <v>48051.75</v>
      </c>
      <c r="C211" s="1">
        <f t="shared" si="41"/>
        <v>1539</v>
      </c>
      <c r="D211" s="1" t="str">
        <f t="shared" si="48"/>
        <v>time-skip</v>
      </c>
    </row>
    <row r="212" spans="1:4" x14ac:dyDescent="0.45">
      <c r="A212" s="2">
        <v>46006</v>
      </c>
      <c r="B212" s="5">
        <f t="shared" si="44"/>
        <v>48122.75</v>
      </c>
      <c r="C212" s="1">
        <f t="shared" si="41"/>
        <v>1539</v>
      </c>
      <c r="D212" s="1" t="str">
        <f t="shared" si="48"/>
        <v/>
      </c>
    </row>
    <row r="213" spans="1:4" x14ac:dyDescent="0.45">
      <c r="A213" s="2">
        <v>46007</v>
      </c>
      <c r="B213" s="2">
        <f t="shared" ref="B213" si="52">B212+3</f>
        <v>48125.75</v>
      </c>
      <c r="C213" s="1">
        <f t="shared" si="41"/>
        <v>1539</v>
      </c>
      <c r="D213" s="1" t="str">
        <f t="shared" si="48"/>
        <v/>
      </c>
    </row>
    <row r="214" spans="1:4" x14ac:dyDescent="0.45">
      <c r="A214" s="2">
        <v>46008</v>
      </c>
      <c r="B214" s="2">
        <f t="shared" si="40"/>
        <v>48129.75</v>
      </c>
      <c r="C214" s="1">
        <f t="shared" si="41"/>
        <v>1539</v>
      </c>
      <c r="D214" s="1" t="str">
        <f t="shared" si="48"/>
        <v/>
      </c>
    </row>
    <row r="215" spans="1:4" x14ac:dyDescent="0.45">
      <c r="A215" s="2">
        <v>46009</v>
      </c>
      <c r="B215" s="2">
        <f t="shared" si="49"/>
        <v>48132.75</v>
      </c>
      <c r="C215" s="1">
        <f t="shared" si="41"/>
        <v>1539</v>
      </c>
      <c r="D215" s="1" t="str">
        <f t="shared" si="48"/>
        <v/>
      </c>
    </row>
    <row r="216" spans="1:4" x14ac:dyDescent="0.45">
      <c r="A216" s="2">
        <v>46010</v>
      </c>
      <c r="B216" s="2">
        <f t="shared" si="49"/>
        <v>48136.75</v>
      </c>
      <c r="C216" s="1">
        <f t="shared" si="41"/>
        <v>1539</v>
      </c>
      <c r="D216" s="1" t="str">
        <f t="shared" si="48"/>
        <v/>
      </c>
    </row>
    <row r="217" spans="1:4" x14ac:dyDescent="0.45">
      <c r="A217" s="2">
        <v>46011</v>
      </c>
      <c r="B217" s="2">
        <f t="shared" si="49"/>
        <v>48139.75</v>
      </c>
      <c r="C217" s="1">
        <f t="shared" si="41"/>
        <v>1539</v>
      </c>
      <c r="D217" s="1" t="str">
        <f t="shared" si="48"/>
        <v/>
      </c>
    </row>
    <row r="218" spans="1:4" x14ac:dyDescent="0.45">
      <c r="A218" s="2">
        <v>46012</v>
      </c>
      <c r="B218" s="2">
        <f t="shared" si="49"/>
        <v>48143.75</v>
      </c>
      <c r="C218" s="1">
        <f t="shared" si="41"/>
        <v>1539</v>
      </c>
      <c r="D218" s="1" t="str">
        <f t="shared" si="48"/>
        <v>time-skip</v>
      </c>
    </row>
    <row r="219" spans="1:4" x14ac:dyDescent="0.45">
      <c r="A219" s="2">
        <v>46013</v>
      </c>
      <c r="B219" s="5">
        <f t="shared" si="44"/>
        <v>48214.75</v>
      </c>
      <c r="C219" s="1">
        <f t="shared" si="41"/>
        <v>1540</v>
      </c>
      <c r="D219" s="1" t="str">
        <f t="shared" si="48"/>
        <v/>
      </c>
    </row>
    <row r="220" spans="1:4" x14ac:dyDescent="0.45">
      <c r="A220" s="2">
        <v>46014</v>
      </c>
      <c r="B220" s="2">
        <f t="shared" ref="B220" si="53">B219+3</f>
        <v>48217.75</v>
      </c>
      <c r="C220" s="1">
        <f t="shared" si="41"/>
        <v>1540</v>
      </c>
      <c r="D220" s="1" t="str">
        <f t="shared" si="48"/>
        <v/>
      </c>
    </row>
    <row r="221" spans="1:4" x14ac:dyDescent="0.45">
      <c r="A221" s="2">
        <v>46015</v>
      </c>
      <c r="B221" s="2">
        <f t="shared" si="40"/>
        <v>48221.75</v>
      </c>
      <c r="C221" s="1">
        <f t="shared" si="41"/>
        <v>1540</v>
      </c>
      <c r="D221" s="1" t="str">
        <f t="shared" si="48"/>
        <v/>
      </c>
    </row>
    <row r="222" spans="1:4" x14ac:dyDescent="0.45">
      <c r="A222" s="2">
        <v>46016</v>
      </c>
      <c r="B222" s="2">
        <f t="shared" si="49"/>
        <v>48224.75</v>
      </c>
      <c r="C222" s="1">
        <f t="shared" si="41"/>
        <v>1540</v>
      </c>
      <c r="D222" s="1" t="str">
        <f t="shared" si="48"/>
        <v/>
      </c>
    </row>
    <row r="223" spans="1:4" x14ac:dyDescent="0.45">
      <c r="A223" s="2">
        <v>46017</v>
      </c>
      <c r="B223" s="2">
        <f t="shared" si="49"/>
        <v>48228.75</v>
      </c>
      <c r="C223" s="1">
        <f t="shared" ref="C223:C261" si="54">C222+(DAY(B223)=1) * (MONTH(B223)=1)</f>
        <v>1540</v>
      </c>
      <c r="D223" s="1" t="str">
        <f t="shared" si="48"/>
        <v/>
      </c>
    </row>
    <row r="224" spans="1:4" x14ac:dyDescent="0.45">
      <c r="A224" s="2">
        <v>46018</v>
      </c>
      <c r="B224" s="2">
        <f t="shared" si="49"/>
        <v>48231.75</v>
      </c>
      <c r="C224" s="1">
        <f t="shared" si="54"/>
        <v>1540</v>
      </c>
      <c r="D224" s="1" t="str">
        <f t="shared" si="48"/>
        <v/>
      </c>
    </row>
    <row r="225" spans="1:4" x14ac:dyDescent="0.45">
      <c r="A225" s="2">
        <v>46019</v>
      </c>
      <c r="B225" s="2">
        <f t="shared" si="49"/>
        <v>48235.75</v>
      </c>
      <c r="C225" s="1">
        <f t="shared" si="54"/>
        <v>1540</v>
      </c>
      <c r="D225" s="1" t="str">
        <f t="shared" si="48"/>
        <v>time-skip</v>
      </c>
    </row>
    <row r="226" spans="1:4" x14ac:dyDescent="0.45">
      <c r="A226" s="2">
        <v>46020</v>
      </c>
      <c r="B226" s="5">
        <f t="shared" si="44"/>
        <v>48305.75</v>
      </c>
      <c r="C226" s="1">
        <f t="shared" si="54"/>
        <v>1540</v>
      </c>
      <c r="D226" s="1" t="str">
        <f t="shared" si="48"/>
        <v/>
      </c>
    </row>
    <row r="227" spans="1:4" x14ac:dyDescent="0.45">
      <c r="A227" s="2">
        <v>46021</v>
      </c>
      <c r="B227" s="2">
        <f t="shared" ref="B227" si="55">B226+3</f>
        <v>48308.75</v>
      </c>
      <c r="C227" s="1">
        <f t="shared" si="54"/>
        <v>1540</v>
      </c>
      <c r="D227" s="1" t="str">
        <f t="shared" si="48"/>
        <v/>
      </c>
    </row>
    <row r="228" spans="1:4" x14ac:dyDescent="0.45">
      <c r="A228" s="2">
        <v>46022</v>
      </c>
      <c r="B228" s="2">
        <f t="shared" ref="B228:B291" si="56">B226+7</f>
        <v>48312.75</v>
      </c>
      <c r="C228" s="1">
        <f t="shared" si="54"/>
        <v>1540</v>
      </c>
      <c r="D228" s="1" t="str">
        <f t="shared" si="48"/>
        <v/>
      </c>
    </row>
    <row r="229" spans="1:4" x14ac:dyDescent="0.45">
      <c r="A229" s="2">
        <v>46023</v>
      </c>
      <c r="B229" s="2">
        <f t="shared" si="49"/>
        <v>48315.75</v>
      </c>
      <c r="C229" s="1">
        <f t="shared" si="54"/>
        <v>1540</v>
      </c>
      <c r="D229" s="1" t="str">
        <f t="shared" si="48"/>
        <v/>
      </c>
    </row>
    <row r="230" spans="1:4" x14ac:dyDescent="0.45">
      <c r="A230" s="2">
        <v>46024</v>
      </c>
      <c r="B230" s="2">
        <f t="shared" si="49"/>
        <v>48319.75</v>
      </c>
      <c r="C230" s="1">
        <f t="shared" si="54"/>
        <v>1540</v>
      </c>
      <c r="D230" s="1" t="str">
        <f t="shared" si="48"/>
        <v/>
      </c>
    </row>
    <row r="231" spans="1:4" x14ac:dyDescent="0.45">
      <c r="A231" s="2">
        <v>46025</v>
      </c>
      <c r="B231" s="2">
        <f t="shared" si="49"/>
        <v>48322.75</v>
      </c>
      <c r="C231" s="1">
        <f t="shared" si="54"/>
        <v>1540</v>
      </c>
      <c r="D231" s="1" t="str">
        <f t="shared" si="48"/>
        <v/>
      </c>
    </row>
    <row r="232" spans="1:4" x14ac:dyDescent="0.45">
      <c r="A232" s="2">
        <v>46026</v>
      </c>
      <c r="B232" s="2">
        <f t="shared" si="49"/>
        <v>48326.75</v>
      </c>
      <c r="C232" s="1">
        <f t="shared" si="54"/>
        <v>1540</v>
      </c>
      <c r="D232" s="1" t="str">
        <f t="shared" si="48"/>
        <v>time-skip</v>
      </c>
    </row>
    <row r="233" spans="1:4" x14ac:dyDescent="0.45">
      <c r="A233" s="2">
        <v>46027</v>
      </c>
      <c r="B233" s="5">
        <f t="shared" si="44"/>
        <v>48396.75</v>
      </c>
      <c r="C233" s="1">
        <f t="shared" si="54"/>
        <v>1540</v>
      </c>
      <c r="D233" s="1" t="str">
        <f t="shared" si="48"/>
        <v/>
      </c>
    </row>
    <row r="234" spans="1:4" x14ac:dyDescent="0.45">
      <c r="A234" s="2">
        <v>46028</v>
      </c>
      <c r="B234" s="2">
        <f t="shared" ref="B234" si="57">B233+3</f>
        <v>48399.75</v>
      </c>
      <c r="C234" s="1">
        <f t="shared" si="54"/>
        <v>1540</v>
      </c>
      <c r="D234" s="1" t="str">
        <f t="shared" si="48"/>
        <v/>
      </c>
    </row>
    <row r="235" spans="1:4" x14ac:dyDescent="0.45">
      <c r="A235" s="2">
        <v>46029</v>
      </c>
      <c r="B235" s="2">
        <f t="shared" si="56"/>
        <v>48403.75</v>
      </c>
      <c r="C235" s="1">
        <f t="shared" si="54"/>
        <v>1540</v>
      </c>
      <c r="D235" s="1" t="str">
        <f t="shared" si="48"/>
        <v/>
      </c>
    </row>
    <row r="236" spans="1:4" x14ac:dyDescent="0.45">
      <c r="A236" s="2">
        <v>46030</v>
      </c>
      <c r="B236" s="2">
        <f t="shared" si="49"/>
        <v>48406.75</v>
      </c>
      <c r="C236" s="1">
        <f t="shared" si="54"/>
        <v>1540</v>
      </c>
      <c r="D236" s="1" t="str">
        <f t="shared" si="48"/>
        <v/>
      </c>
    </row>
    <row r="237" spans="1:4" x14ac:dyDescent="0.45">
      <c r="A237" s="2">
        <v>46031</v>
      </c>
      <c r="B237" s="2">
        <f t="shared" si="49"/>
        <v>48410.75</v>
      </c>
      <c r="C237" s="1">
        <f t="shared" si="54"/>
        <v>1540</v>
      </c>
      <c r="D237" s="1" t="str">
        <f t="shared" si="48"/>
        <v/>
      </c>
    </row>
    <row r="238" spans="1:4" x14ac:dyDescent="0.45">
      <c r="A238" s="2">
        <v>46032</v>
      </c>
      <c r="B238" s="2">
        <f t="shared" si="49"/>
        <v>48413.75</v>
      </c>
      <c r="C238" s="1">
        <f t="shared" si="54"/>
        <v>1540</v>
      </c>
      <c r="D238" s="1" t="str">
        <f t="shared" si="48"/>
        <v/>
      </c>
    </row>
    <row r="239" spans="1:4" x14ac:dyDescent="0.45">
      <c r="A239" s="2">
        <v>46033</v>
      </c>
      <c r="B239" s="2">
        <f t="shared" si="49"/>
        <v>48417.75</v>
      </c>
      <c r="C239" s="1">
        <f t="shared" si="54"/>
        <v>1540</v>
      </c>
      <c r="D239" s="1" t="str">
        <f t="shared" si="48"/>
        <v>time-skip</v>
      </c>
    </row>
    <row r="240" spans="1:4" x14ac:dyDescent="0.45">
      <c r="A240" s="2">
        <v>46034</v>
      </c>
      <c r="B240" s="5">
        <f t="shared" si="44"/>
        <v>48488.75</v>
      </c>
      <c r="C240" s="1">
        <f t="shared" si="54"/>
        <v>1540</v>
      </c>
      <c r="D240" s="1" t="str">
        <f t="shared" si="48"/>
        <v/>
      </c>
    </row>
    <row r="241" spans="1:4" x14ac:dyDescent="0.45">
      <c r="A241" s="2">
        <v>46035</v>
      </c>
      <c r="B241" s="2">
        <f t="shared" ref="B241" si="58">B240+3</f>
        <v>48491.75</v>
      </c>
      <c r="C241" s="1">
        <f t="shared" si="54"/>
        <v>1540</v>
      </c>
      <c r="D241" s="1" t="str">
        <f t="shared" si="48"/>
        <v/>
      </c>
    </row>
    <row r="242" spans="1:4" x14ac:dyDescent="0.45">
      <c r="A242" s="2">
        <v>46036</v>
      </c>
      <c r="B242" s="2">
        <f t="shared" si="56"/>
        <v>48495.75</v>
      </c>
      <c r="C242" s="1">
        <f t="shared" si="54"/>
        <v>1540</v>
      </c>
      <c r="D242" s="1" t="str">
        <f t="shared" si="48"/>
        <v/>
      </c>
    </row>
    <row r="243" spans="1:4" x14ac:dyDescent="0.45">
      <c r="A243" s="2">
        <v>46037</v>
      </c>
      <c r="B243" s="2">
        <f t="shared" si="49"/>
        <v>48498.75</v>
      </c>
      <c r="C243" s="1">
        <f t="shared" si="54"/>
        <v>1540</v>
      </c>
      <c r="D243" s="1" t="str">
        <f t="shared" si="48"/>
        <v/>
      </c>
    </row>
    <row r="244" spans="1:4" x14ac:dyDescent="0.45">
      <c r="A244" s="2">
        <v>46038</v>
      </c>
      <c r="B244" s="2">
        <f t="shared" si="49"/>
        <v>48502.75</v>
      </c>
      <c r="C244" s="1">
        <f t="shared" si="54"/>
        <v>1540</v>
      </c>
      <c r="D244" s="1" t="str">
        <f t="shared" si="48"/>
        <v/>
      </c>
    </row>
    <row r="245" spans="1:4" x14ac:dyDescent="0.45">
      <c r="A245" s="2">
        <v>46039</v>
      </c>
      <c r="B245" s="2">
        <f t="shared" si="49"/>
        <v>48505.75</v>
      </c>
      <c r="C245" s="1">
        <f t="shared" si="54"/>
        <v>1540</v>
      </c>
      <c r="D245" s="1" t="str">
        <f t="shared" si="48"/>
        <v/>
      </c>
    </row>
    <row r="246" spans="1:4" x14ac:dyDescent="0.45">
      <c r="A246" s="2">
        <v>46040</v>
      </c>
      <c r="B246" s="2">
        <f t="shared" si="49"/>
        <v>48509.75</v>
      </c>
      <c r="C246" s="1">
        <f t="shared" si="54"/>
        <v>1540</v>
      </c>
      <c r="D246" s="1" t="str">
        <f t="shared" si="48"/>
        <v>time-skip</v>
      </c>
    </row>
    <row r="247" spans="1:4" x14ac:dyDescent="0.45">
      <c r="A247" s="2">
        <v>46041</v>
      </c>
      <c r="B247" s="5">
        <f t="shared" ref="B247:B261" si="59">B240+93-DAY(B240+93)+1</f>
        <v>48580.75</v>
      </c>
      <c r="C247" s="1">
        <f t="shared" si="54"/>
        <v>1541</v>
      </c>
      <c r="D247" s="1" t="str">
        <f t="shared" si="48"/>
        <v/>
      </c>
    </row>
    <row r="248" spans="1:4" x14ac:dyDescent="0.45">
      <c r="A248" s="2">
        <v>46042</v>
      </c>
      <c r="B248" s="2">
        <f t="shared" ref="B248" si="60">B247+3</f>
        <v>48583.75</v>
      </c>
      <c r="C248" s="1">
        <f t="shared" si="54"/>
        <v>1541</v>
      </c>
      <c r="D248" s="1" t="str">
        <f t="shared" si="48"/>
        <v/>
      </c>
    </row>
    <row r="249" spans="1:4" x14ac:dyDescent="0.45">
      <c r="A249" s="2">
        <v>46043</v>
      </c>
      <c r="B249" s="2">
        <f t="shared" si="56"/>
        <v>48587.75</v>
      </c>
      <c r="C249" s="1">
        <f t="shared" si="54"/>
        <v>1541</v>
      </c>
      <c r="D249" s="1" t="str">
        <f t="shared" si="48"/>
        <v/>
      </c>
    </row>
    <row r="250" spans="1:4" x14ac:dyDescent="0.45">
      <c r="A250" s="2">
        <v>46044</v>
      </c>
      <c r="B250" s="2">
        <f t="shared" si="49"/>
        <v>48590.75</v>
      </c>
      <c r="C250" s="1">
        <f t="shared" si="54"/>
        <v>1541</v>
      </c>
      <c r="D250" s="1" t="str">
        <f t="shared" si="48"/>
        <v/>
      </c>
    </row>
    <row r="251" spans="1:4" x14ac:dyDescent="0.45">
      <c r="A251" s="2">
        <v>46045</v>
      </c>
      <c r="B251" s="2">
        <f t="shared" si="49"/>
        <v>48594.75</v>
      </c>
      <c r="C251" s="1">
        <f t="shared" si="54"/>
        <v>1541</v>
      </c>
      <c r="D251" s="1" t="str">
        <f t="shared" si="48"/>
        <v/>
      </c>
    </row>
    <row r="252" spans="1:4" x14ac:dyDescent="0.45">
      <c r="A252" s="2">
        <v>46046</v>
      </c>
      <c r="B252" s="2">
        <f t="shared" si="49"/>
        <v>48597.75</v>
      </c>
      <c r="C252" s="1">
        <f t="shared" si="54"/>
        <v>1541</v>
      </c>
      <c r="D252" s="1" t="str">
        <f t="shared" si="48"/>
        <v/>
      </c>
    </row>
    <row r="253" spans="1:4" x14ac:dyDescent="0.45">
      <c r="A253" s="2">
        <v>46047</v>
      </c>
      <c r="B253" s="2">
        <f t="shared" si="49"/>
        <v>48601.75</v>
      </c>
      <c r="C253" s="1">
        <f t="shared" si="54"/>
        <v>1541</v>
      </c>
      <c r="D253" s="1" t="str">
        <f t="shared" si="48"/>
        <v>time-skip</v>
      </c>
    </row>
    <row r="254" spans="1:4" x14ac:dyDescent="0.45">
      <c r="A254" s="2">
        <v>46048</v>
      </c>
      <c r="B254" s="5">
        <f t="shared" si="59"/>
        <v>48670.75</v>
      </c>
      <c r="C254" s="1">
        <f t="shared" si="54"/>
        <v>1541</v>
      </c>
      <c r="D254" s="1" t="str">
        <f t="shared" si="48"/>
        <v/>
      </c>
    </row>
    <row r="255" spans="1:4" x14ac:dyDescent="0.45">
      <c r="A255" s="2">
        <v>46049</v>
      </c>
      <c r="B255" s="2">
        <f t="shared" ref="B255" si="61">B254+3</f>
        <v>48673.75</v>
      </c>
      <c r="C255" s="1">
        <f t="shared" si="54"/>
        <v>1541</v>
      </c>
      <c r="D255" s="1" t="str">
        <f t="shared" si="48"/>
        <v/>
      </c>
    </row>
    <row r="256" spans="1:4" x14ac:dyDescent="0.45">
      <c r="A256" s="2">
        <v>46050</v>
      </c>
      <c r="B256" s="2">
        <f t="shared" si="56"/>
        <v>48677.75</v>
      </c>
      <c r="C256" s="1">
        <f t="shared" si="54"/>
        <v>1541</v>
      </c>
      <c r="D256" s="1" t="str">
        <f t="shared" si="48"/>
        <v/>
      </c>
    </row>
    <row r="257" spans="1:4" x14ac:dyDescent="0.45">
      <c r="A257" s="2">
        <v>46051</v>
      </c>
      <c r="B257" s="2">
        <f t="shared" si="49"/>
        <v>48680.75</v>
      </c>
      <c r="C257" s="1">
        <f t="shared" si="54"/>
        <v>1541</v>
      </c>
      <c r="D257" s="1" t="str">
        <f t="shared" si="48"/>
        <v/>
      </c>
    </row>
    <row r="258" spans="1:4" x14ac:dyDescent="0.45">
      <c r="A258" s="2">
        <v>46052</v>
      </c>
      <c r="B258" s="2">
        <f t="shared" si="49"/>
        <v>48684.75</v>
      </c>
      <c r="C258" s="1">
        <f t="shared" si="54"/>
        <v>1541</v>
      </c>
      <c r="D258" s="1" t="str">
        <f t="shared" si="48"/>
        <v/>
      </c>
    </row>
    <row r="259" spans="1:4" x14ac:dyDescent="0.45">
      <c r="A259" s="2">
        <v>46053</v>
      </c>
      <c r="B259" s="2">
        <f t="shared" si="49"/>
        <v>48687.75</v>
      </c>
      <c r="C259" s="1">
        <f t="shared" si="54"/>
        <v>1541</v>
      </c>
      <c r="D259" s="1" t="str">
        <f t="shared" ref="D259:D322" si="62">IF(WEEKDAY(A259,2)=7,"time-skip","")</f>
        <v/>
      </c>
    </row>
    <row r="260" spans="1:4" x14ac:dyDescent="0.45">
      <c r="A260" s="2">
        <v>46054</v>
      </c>
      <c r="B260" s="2">
        <f t="shared" si="49"/>
        <v>48691.75</v>
      </c>
      <c r="C260" s="1">
        <f t="shared" si="54"/>
        <v>1541</v>
      </c>
      <c r="D260" s="1" t="str">
        <f t="shared" si="62"/>
        <v>time-skip</v>
      </c>
    </row>
    <row r="261" spans="1:4" x14ac:dyDescent="0.45">
      <c r="A261" s="2">
        <v>46055</v>
      </c>
      <c r="B261" s="5">
        <f t="shared" si="59"/>
        <v>48761.75</v>
      </c>
      <c r="C261" s="1">
        <f t="shared" si="54"/>
        <v>1541</v>
      </c>
      <c r="D261" s="1" t="str">
        <f t="shared" si="62"/>
        <v/>
      </c>
    </row>
    <row r="262" spans="1:4" x14ac:dyDescent="0.45">
      <c r="A262" s="2">
        <v>46056</v>
      </c>
      <c r="B262" s="2">
        <f t="shared" ref="B262" si="63">B261+3</f>
        <v>48764.75</v>
      </c>
      <c r="C262" s="1">
        <f t="shared" ref="C262:C325" si="64">C261+(DAY(B262)=1) * (MONTH(B262)=1)</f>
        <v>1541</v>
      </c>
      <c r="D262" s="1" t="str">
        <f t="shared" si="62"/>
        <v/>
      </c>
    </row>
    <row r="263" spans="1:4" x14ac:dyDescent="0.45">
      <c r="A263" s="2">
        <v>46057</v>
      </c>
      <c r="B263" s="2">
        <f t="shared" si="56"/>
        <v>48768.75</v>
      </c>
      <c r="C263" s="1">
        <f t="shared" si="64"/>
        <v>1541</v>
      </c>
      <c r="D263" s="1" t="str">
        <f t="shared" si="62"/>
        <v/>
      </c>
    </row>
    <row r="264" spans="1:4" x14ac:dyDescent="0.45">
      <c r="A264" s="2">
        <v>46058</v>
      </c>
      <c r="B264" s="2">
        <f t="shared" si="56"/>
        <v>48771.75</v>
      </c>
      <c r="C264" s="1">
        <f t="shared" si="64"/>
        <v>1541</v>
      </c>
      <c r="D264" s="1" t="str">
        <f t="shared" si="62"/>
        <v/>
      </c>
    </row>
    <row r="265" spans="1:4" x14ac:dyDescent="0.45">
      <c r="A265" s="2">
        <v>46059</v>
      </c>
      <c r="B265" s="2">
        <f t="shared" si="56"/>
        <v>48775.75</v>
      </c>
      <c r="C265" s="1">
        <f t="shared" si="64"/>
        <v>1541</v>
      </c>
      <c r="D265" s="1" t="str">
        <f t="shared" si="62"/>
        <v/>
      </c>
    </row>
    <row r="266" spans="1:4" x14ac:dyDescent="0.45">
      <c r="A266" s="2">
        <v>46060</v>
      </c>
      <c r="B266" s="2">
        <f t="shared" si="56"/>
        <v>48778.75</v>
      </c>
      <c r="C266" s="1">
        <f t="shared" si="64"/>
        <v>1541</v>
      </c>
      <c r="D266" s="1" t="str">
        <f t="shared" si="62"/>
        <v/>
      </c>
    </row>
    <row r="267" spans="1:4" x14ac:dyDescent="0.45">
      <c r="A267" s="2">
        <v>46061</v>
      </c>
      <c r="B267" s="2">
        <f t="shared" si="56"/>
        <v>48782.75</v>
      </c>
      <c r="C267" s="1">
        <f t="shared" si="64"/>
        <v>1541</v>
      </c>
      <c r="D267" s="1" t="str">
        <f t="shared" si="62"/>
        <v>time-skip</v>
      </c>
    </row>
    <row r="268" spans="1:4" x14ac:dyDescent="0.45">
      <c r="A268" s="2">
        <v>46062</v>
      </c>
      <c r="B268" s="5">
        <f t="shared" ref="B268:B331" si="65">B261+93-DAY(B261+93)+1</f>
        <v>48853.75</v>
      </c>
      <c r="C268" s="1">
        <f t="shared" si="64"/>
        <v>1541</v>
      </c>
      <c r="D268" s="1" t="str">
        <f t="shared" si="62"/>
        <v/>
      </c>
    </row>
    <row r="269" spans="1:4" x14ac:dyDescent="0.45">
      <c r="A269" s="2">
        <v>46063</v>
      </c>
      <c r="B269" s="2">
        <f t="shared" ref="B269" si="66">B268+3</f>
        <v>48856.75</v>
      </c>
      <c r="C269" s="1">
        <f t="shared" si="64"/>
        <v>1541</v>
      </c>
      <c r="D269" s="1" t="str">
        <f t="shared" si="62"/>
        <v/>
      </c>
    </row>
    <row r="270" spans="1:4" x14ac:dyDescent="0.45">
      <c r="A270" s="2">
        <v>46064</v>
      </c>
      <c r="B270" s="2">
        <f t="shared" si="56"/>
        <v>48860.75</v>
      </c>
      <c r="C270" s="1">
        <f t="shared" si="64"/>
        <v>1541</v>
      </c>
      <c r="D270" s="1" t="str">
        <f t="shared" si="62"/>
        <v/>
      </c>
    </row>
    <row r="271" spans="1:4" x14ac:dyDescent="0.45">
      <c r="A271" s="2">
        <v>46065</v>
      </c>
      <c r="B271" s="2">
        <f t="shared" si="56"/>
        <v>48863.75</v>
      </c>
      <c r="C271" s="1">
        <f t="shared" si="64"/>
        <v>1541</v>
      </c>
      <c r="D271" s="1" t="str">
        <f t="shared" si="62"/>
        <v/>
      </c>
    </row>
    <row r="272" spans="1:4" x14ac:dyDescent="0.45">
      <c r="A272" s="2">
        <v>46066</v>
      </c>
      <c r="B272" s="2">
        <f t="shared" si="56"/>
        <v>48867.75</v>
      </c>
      <c r="C272" s="1">
        <f t="shared" si="64"/>
        <v>1541</v>
      </c>
      <c r="D272" s="1" t="str">
        <f t="shared" si="62"/>
        <v/>
      </c>
    </row>
    <row r="273" spans="1:4" x14ac:dyDescent="0.45">
      <c r="A273" s="2">
        <v>46067</v>
      </c>
      <c r="B273" s="2">
        <f t="shared" si="56"/>
        <v>48870.75</v>
      </c>
      <c r="C273" s="1">
        <f t="shared" si="64"/>
        <v>1541</v>
      </c>
      <c r="D273" s="1" t="str">
        <f t="shared" si="62"/>
        <v/>
      </c>
    </row>
    <row r="274" spans="1:4" x14ac:dyDescent="0.45">
      <c r="A274" s="2">
        <v>46068</v>
      </c>
      <c r="B274" s="2">
        <f t="shared" si="56"/>
        <v>48874.75</v>
      </c>
      <c r="C274" s="1">
        <f t="shared" si="64"/>
        <v>1541</v>
      </c>
      <c r="D274" s="1" t="str">
        <f t="shared" si="62"/>
        <v>time-skip</v>
      </c>
    </row>
    <row r="275" spans="1:4" x14ac:dyDescent="0.45">
      <c r="A275" s="2">
        <v>46069</v>
      </c>
      <c r="B275" s="5">
        <f t="shared" si="65"/>
        <v>48945.75</v>
      </c>
      <c r="C275" s="1">
        <f t="shared" si="64"/>
        <v>1542</v>
      </c>
      <c r="D275" s="1" t="str">
        <f t="shared" si="62"/>
        <v/>
      </c>
    </row>
    <row r="276" spans="1:4" x14ac:dyDescent="0.45">
      <c r="A276" s="2">
        <v>46070</v>
      </c>
      <c r="B276" s="2">
        <f t="shared" ref="B276" si="67">B275+3</f>
        <v>48948.75</v>
      </c>
      <c r="C276" s="1">
        <f t="shared" si="64"/>
        <v>1542</v>
      </c>
      <c r="D276" s="1" t="str">
        <f t="shared" si="62"/>
        <v/>
      </c>
    </row>
    <row r="277" spans="1:4" x14ac:dyDescent="0.45">
      <c r="A277" s="2">
        <v>46071</v>
      </c>
      <c r="B277" s="2">
        <f t="shared" si="56"/>
        <v>48952.75</v>
      </c>
      <c r="C277" s="1">
        <f t="shared" si="64"/>
        <v>1542</v>
      </c>
      <c r="D277" s="1" t="str">
        <f t="shared" si="62"/>
        <v/>
      </c>
    </row>
    <row r="278" spans="1:4" x14ac:dyDescent="0.45">
      <c r="A278" s="2">
        <v>46072</v>
      </c>
      <c r="B278" s="2">
        <f t="shared" si="56"/>
        <v>48955.75</v>
      </c>
      <c r="C278" s="1">
        <f t="shared" si="64"/>
        <v>1542</v>
      </c>
      <c r="D278" s="1" t="str">
        <f t="shared" si="62"/>
        <v/>
      </c>
    </row>
    <row r="279" spans="1:4" x14ac:dyDescent="0.45">
      <c r="A279" s="2">
        <v>46073</v>
      </c>
      <c r="B279" s="2">
        <f t="shared" si="56"/>
        <v>48959.75</v>
      </c>
      <c r="C279" s="1">
        <f t="shared" si="64"/>
        <v>1542</v>
      </c>
      <c r="D279" s="1" t="str">
        <f t="shared" si="62"/>
        <v/>
      </c>
    </row>
    <row r="280" spans="1:4" x14ac:dyDescent="0.45">
      <c r="A280" s="2">
        <v>46074</v>
      </c>
      <c r="B280" s="2">
        <f t="shared" si="56"/>
        <v>48962.75</v>
      </c>
      <c r="C280" s="1">
        <f t="shared" si="64"/>
        <v>1542</v>
      </c>
      <c r="D280" s="1" t="str">
        <f t="shared" si="62"/>
        <v/>
      </c>
    </row>
    <row r="281" spans="1:4" x14ac:dyDescent="0.45">
      <c r="A281" s="2">
        <v>46075</v>
      </c>
      <c r="B281" s="2">
        <f t="shared" si="56"/>
        <v>48966.75</v>
      </c>
      <c r="C281" s="1">
        <f t="shared" si="64"/>
        <v>1542</v>
      </c>
      <c r="D281" s="1" t="str">
        <f t="shared" si="62"/>
        <v>time-skip</v>
      </c>
    </row>
    <row r="282" spans="1:4" x14ac:dyDescent="0.45">
      <c r="A282" s="2">
        <v>46076</v>
      </c>
      <c r="B282" s="5">
        <f t="shared" si="65"/>
        <v>49035.75</v>
      </c>
      <c r="C282" s="1">
        <f t="shared" si="64"/>
        <v>1542</v>
      </c>
      <c r="D282" s="1" t="str">
        <f t="shared" si="62"/>
        <v/>
      </c>
    </row>
    <row r="283" spans="1:4" x14ac:dyDescent="0.45">
      <c r="A283" s="2">
        <v>46077</v>
      </c>
      <c r="B283" s="2">
        <f t="shared" ref="B283" si="68">B282+3</f>
        <v>49038.75</v>
      </c>
      <c r="C283" s="1">
        <f t="shared" si="64"/>
        <v>1542</v>
      </c>
      <c r="D283" s="1" t="str">
        <f t="shared" si="62"/>
        <v/>
      </c>
    </row>
    <row r="284" spans="1:4" x14ac:dyDescent="0.45">
      <c r="A284" s="2">
        <v>46078</v>
      </c>
      <c r="B284" s="2">
        <f t="shared" si="56"/>
        <v>49042.75</v>
      </c>
      <c r="C284" s="1">
        <f t="shared" si="64"/>
        <v>1542</v>
      </c>
      <c r="D284" s="1" t="str">
        <f t="shared" si="62"/>
        <v/>
      </c>
    </row>
    <row r="285" spans="1:4" x14ac:dyDescent="0.45">
      <c r="A285" s="2">
        <v>46079</v>
      </c>
      <c r="B285" s="2">
        <f t="shared" si="56"/>
        <v>49045.75</v>
      </c>
      <c r="C285" s="1">
        <f t="shared" si="64"/>
        <v>1542</v>
      </c>
      <c r="D285" s="1" t="str">
        <f t="shared" si="62"/>
        <v/>
      </c>
    </row>
    <row r="286" spans="1:4" x14ac:dyDescent="0.45">
      <c r="A286" s="2">
        <v>46080</v>
      </c>
      <c r="B286" s="2">
        <f t="shared" si="56"/>
        <v>49049.75</v>
      </c>
      <c r="C286" s="1">
        <f t="shared" si="64"/>
        <v>1542</v>
      </c>
      <c r="D286" s="1" t="str">
        <f t="shared" si="62"/>
        <v/>
      </c>
    </row>
    <row r="287" spans="1:4" x14ac:dyDescent="0.45">
      <c r="A287" s="2">
        <v>46081</v>
      </c>
      <c r="B287" s="2">
        <f t="shared" si="56"/>
        <v>49052.75</v>
      </c>
      <c r="C287" s="1">
        <f t="shared" si="64"/>
        <v>1542</v>
      </c>
      <c r="D287" s="1" t="str">
        <f t="shared" si="62"/>
        <v/>
      </c>
    </row>
    <row r="288" spans="1:4" x14ac:dyDescent="0.45">
      <c r="A288" s="2">
        <v>46082</v>
      </c>
      <c r="B288" s="2">
        <f t="shared" si="56"/>
        <v>49056.75</v>
      </c>
      <c r="C288" s="1">
        <f t="shared" si="64"/>
        <v>1542</v>
      </c>
      <c r="D288" s="1" t="str">
        <f t="shared" si="62"/>
        <v>time-skip</v>
      </c>
    </row>
    <row r="289" spans="1:4" x14ac:dyDescent="0.45">
      <c r="A289" s="2">
        <v>46083</v>
      </c>
      <c r="B289" s="5">
        <f t="shared" si="65"/>
        <v>49126.75</v>
      </c>
      <c r="C289" s="1">
        <f t="shared" si="64"/>
        <v>1542</v>
      </c>
      <c r="D289" s="1" t="str">
        <f t="shared" si="62"/>
        <v/>
      </c>
    </row>
    <row r="290" spans="1:4" x14ac:dyDescent="0.45">
      <c r="A290" s="2">
        <v>46084</v>
      </c>
      <c r="B290" s="2">
        <f t="shared" ref="B290" si="69">B289+3</f>
        <v>49129.75</v>
      </c>
      <c r="C290" s="1">
        <f t="shared" si="64"/>
        <v>1542</v>
      </c>
      <c r="D290" s="1" t="str">
        <f t="shared" si="62"/>
        <v/>
      </c>
    </row>
    <row r="291" spans="1:4" x14ac:dyDescent="0.45">
      <c r="A291" s="2">
        <v>46085</v>
      </c>
      <c r="B291" s="2">
        <f t="shared" si="56"/>
        <v>49133.75</v>
      </c>
      <c r="C291" s="1">
        <f t="shared" si="64"/>
        <v>1542</v>
      </c>
      <c r="D291" s="1" t="str">
        <f t="shared" si="62"/>
        <v/>
      </c>
    </row>
    <row r="292" spans="1:4" x14ac:dyDescent="0.45">
      <c r="A292" s="2">
        <v>46086</v>
      </c>
      <c r="B292" s="2">
        <f t="shared" ref="B292:B330" si="70">B290+7</f>
        <v>49136.75</v>
      </c>
      <c r="C292" s="1">
        <f t="shared" si="64"/>
        <v>1542</v>
      </c>
      <c r="D292" s="1" t="str">
        <f t="shared" si="62"/>
        <v/>
      </c>
    </row>
    <row r="293" spans="1:4" x14ac:dyDescent="0.45">
      <c r="A293" s="2">
        <v>46087</v>
      </c>
      <c r="B293" s="2">
        <f t="shared" si="70"/>
        <v>49140.75</v>
      </c>
      <c r="C293" s="1">
        <f t="shared" si="64"/>
        <v>1542</v>
      </c>
      <c r="D293" s="1" t="str">
        <f t="shared" si="62"/>
        <v/>
      </c>
    </row>
    <row r="294" spans="1:4" x14ac:dyDescent="0.45">
      <c r="A294" s="2">
        <v>46088</v>
      </c>
      <c r="B294" s="2">
        <f t="shared" si="70"/>
        <v>49143.75</v>
      </c>
      <c r="C294" s="1">
        <f t="shared" si="64"/>
        <v>1542</v>
      </c>
      <c r="D294" s="1" t="str">
        <f t="shared" si="62"/>
        <v/>
      </c>
    </row>
    <row r="295" spans="1:4" x14ac:dyDescent="0.45">
      <c r="A295" s="2">
        <v>46089</v>
      </c>
      <c r="B295" s="2">
        <f t="shared" si="70"/>
        <v>49147.75</v>
      </c>
      <c r="C295" s="1">
        <f t="shared" si="64"/>
        <v>1542</v>
      </c>
      <c r="D295" s="1" t="str">
        <f t="shared" si="62"/>
        <v>time-skip</v>
      </c>
    </row>
    <row r="296" spans="1:4" x14ac:dyDescent="0.45">
      <c r="A296" s="2">
        <v>46090</v>
      </c>
      <c r="B296" s="5">
        <f t="shared" si="65"/>
        <v>49218.75</v>
      </c>
      <c r="C296" s="1">
        <f t="shared" si="64"/>
        <v>1542</v>
      </c>
      <c r="D296" s="1" t="str">
        <f t="shared" si="62"/>
        <v/>
      </c>
    </row>
    <row r="297" spans="1:4" x14ac:dyDescent="0.45">
      <c r="A297" s="2">
        <v>46091</v>
      </c>
      <c r="B297" s="2">
        <f t="shared" ref="B297" si="71">B296+3</f>
        <v>49221.75</v>
      </c>
      <c r="C297" s="1">
        <f t="shared" si="64"/>
        <v>1542</v>
      </c>
      <c r="D297" s="1" t="str">
        <f t="shared" si="62"/>
        <v/>
      </c>
    </row>
    <row r="298" spans="1:4" x14ac:dyDescent="0.45">
      <c r="A298" s="2">
        <v>46092</v>
      </c>
      <c r="B298" s="2">
        <f t="shared" ref="B298:B326" si="72">B296+7</f>
        <v>49225.75</v>
      </c>
      <c r="C298" s="1">
        <f t="shared" si="64"/>
        <v>1542</v>
      </c>
      <c r="D298" s="1" t="str">
        <f t="shared" si="62"/>
        <v/>
      </c>
    </row>
    <row r="299" spans="1:4" x14ac:dyDescent="0.45">
      <c r="A299" s="2">
        <v>46093</v>
      </c>
      <c r="B299" s="2">
        <f t="shared" si="70"/>
        <v>49228.75</v>
      </c>
      <c r="C299" s="1">
        <f t="shared" si="64"/>
        <v>1542</v>
      </c>
      <c r="D299" s="1" t="str">
        <f t="shared" si="62"/>
        <v/>
      </c>
    </row>
    <row r="300" spans="1:4" x14ac:dyDescent="0.45">
      <c r="A300" s="2">
        <v>46094</v>
      </c>
      <c r="B300" s="2">
        <f t="shared" si="70"/>
        <v>49232.75</v>
      </c>
      <c r="C300" s="1">
        <f t="shared" si="64"/>
        <v>1542</v>
      </c>
      <c r="D300" s="1" t="str">
        <f t="shared" si="62"/>
        <v/>
      </c>
    </row>
    <row r="301" spans="1:4" x14ac:dyDescent="0.45">
      <c r="A301" s="2">
        <v>46095</v>
      </c>
      <c r="B301" s="2">
        <f t="shared" si="70"/>
        <v>49235.75</v>
      </c>
      <c r="C301" s="1">
        <f t="shared" si="64"/>
        <v>1542</v>
      </c>
      <c r="D301" s="1" t="str">
        <f t="shared" si="62"/>
        <v/>
      </c>
    </row>
    <row r="302" spans="1:4" x14ac:dyDescent="0.45">
      <c r="A302" s="2">
        <v>46096</v>
      </c>
      <c r="B302" s="2">
        <f t="shared" si="70"/>
        <v>49239.75</v>
      </c>
      <c r="C302" s="1">
        <f t="shared" si="64"/>
        <v>1542</v>
      </c>
      <c r="D302" s="1" t="str">
        <f t="shared" si="62"/>
        <v>time-skip</v>
      </c>
    </row>
    <row r="303" spans="1:4" x14ac:dyDescent="0.45">
      <c r="A303" s="2">
        <v>46097</v>
      </c>
      <c r="B303" s="5">
        <f t="shared" si="65"/>
        <v>49310.75</v>
      </c>
      <c r="C303" s="1">
        <f t="shared" si="64"/>
        <v>1543</v>
      </c>
      <c r="D303" s="1" t="str">
        <f t="shared" si="62"/>
        <v/>
      </c>
    </row>
    <row r="304" spans="1:4" x14ac:dyDescent="0.45">
      <c r="A304" s="2">
        <v>46098</v>
      </c>
      <c r="B304" s="2">
        <f t="shared" ref="B304" si="73">B303+3</f>
        <v>49313.75</v>
      </c>
      <c r="C304" s="1">
        <f t="shared" si="64"/>
        <v>1543</v>
      </c>
      <c r="D304" s="1" t="str">
        <f t="shared" si="62"/>
        <v/>
      </c>
    </row>
    <row r="305" spans="1:4" x14ac:dyDescent="0.45">
      <c r="A305" s="2">
        <v>46099</v>
      </c>
      <c r="B305" s="2">
        <f t="shared" si="72"/>
        <v>49317.75</v>
      </c>
      <c r="C305" s="1">
        <f t="shared" si="64"/>
        <v>1543</v>
      </c>
      <c r="D305" s="1" t="str">
        <f t="shared" si="62"/>
        <v/>
      </c>
    </row>
    <row r="306" spans="1:4" x14ac:dyDescent="0.45">
      <c r="A306" s="2">
        <v>46100</v>
      </c>
      <c r="B306" s="2">
        <f t="shared" si="70"/>
        <v>49320.75</v>
      </c>
      <c r="C306" s="1">
        <f t="shared" si="64"/>
        <v>1543</v>
      </c>
      <c r="D306" s="1" t="str">
        <f t="shared" si="62"/>
        <v/>
      </c>
    </row>
    <row r="307" spans="1:4" x14ac:dyDescent="0.45">
      <c r="A307" s="2">
        <v>46101</v>
      </c>
      <c r="B307" s="2">
        <f t="shared" si="70"/>
        <v>49324.75</v>
      </c>
      <c r="C307" s="1">
        <f t="shared" si="64"/>
        <v>1543</v>
      </c>
      <c r="D307" s="1" t="str">
        <f t="shared" si="62"/>
        <v/>
      </c>
    </row>
    <row r="308" spans="1:4" x14ac:dyDescent="0.45">
      <c r="A308" s="2">
        <v>46102</v>
      </c>
      <c r="B308" s="2">
        <f t="shared" si="70"/>
        <v>49327.75</v>
      </c>
      <c r="C308" s="1">
        <f t="shared" si="64"/>
        <v>1543</v>
      </c>
      <c r="D308" s="1" t="str">
        <f t="shared" si="62"/>
        <v/>
      </c>
    </row>
    <row r="309" spans="1:4" x14ac:dyDescent="0.45">
      <c r="A309" s="2">
        <v>46103</v>
      </c>
      <c r="B309" s="2">
        <f t="shared" si="70"/>
        <v>49331.75</v>
      </c>
      <c r="C309" s="1">
        <f t="shared" si="64"/>
        <v>1543</v>
      </c>
      <c r="D309" s="1" t="str">
        <f t="shared" si="62"/>
        <v>time-skip</v>
      </c>
    </row>
    <row r="310" spans="1:4" x14ac:dyDescent="0.45">
      <c r="A310" s="2">
        <v>46104</v>
      </c>
      <c r="B310" s="5">
        <f t="shared" si="65"/>
        <v>49400.75</v>
      </c>
      <c r="C310" s="1">
        <f t="shared" si="64"/>
        <v>1543</v>
      </c>
      <c r="D310" s="1" t="str">
        <f t="shared" si="62"/>
        <v/>
      </c>
    </row>
    <row r="311" spans="1:4" x14ac:dyDescent="0.45">
      <c r="A311" s="2">
        <v>46105</v>
      </c>
      <c r="B311" s="2">
        <f t="shared" ref="B311" si="74">B310+3</f>
        <v>49403.75</v>
      </c>
      <c r="C311" s="1">
        <f t="shared" si="64"/>
        <v>1543</v>
      </c>
      <c r="D311" s="1" t="str">
        <f t="shared" si="62"/>
        <v/>
      </c>
    </row>
    <row r="312" spans="1:4" x14ac:dyDescent="0.45">
      <c r="A312" s="2">
        <v>46106</v>
      </c>
      <c r="B312" s="2">
        <f t="shared" si="72"/>
        <v>49407.75</v>
      </c>
      <c r="C312" s="1">
        <f t="shared" si="64"/>
        <v>1543</v>
      </c>
      <c r="D312" s="1" t="str">
        <f t="shared" si="62"/>
        <v/>
      </c>
    </row>
    <row r="313" spans="1:4" x14ac:dyDescent="0.45">
      <c r="A313" s="2">
        <v>46107</v>
      </c>
      <c r="B313" s="2">
        <f t="shared" si="70"/>
        <v>49410.75</v>
      </c>
      <c r="C313" s="1">
        <f t="shared" si="64"/>
        <v>1543</v>
      </c>
      <c r="D313" s="1" t="str">
        <f t="shared" si="62"/>
        <v/>
      </c>
    </row>
    <row r="314" spans="1:4" x14ac:dyDescent="0.45">
      <c r="A314" s="2">
        <v>46108</v>
      </c>
      <c r="B314" s="2">
        <f t="shared" si="70"/>
        <v>49414.75</v>
      </c>
      <c r="C314" s="1">
        <f t="shared" si="64"/>
        <v>1543</v>
      </c>
      <c r="D314" s="1" t="str">
        <f t="shared" si="62"/>
        <v/>
      </c>
    </row>
    <row r="315" spans="1:4" x14ac:dyDescent="0.45">
      <c r="A315" s="2">
        <v>46109</v>
      </c>
      <c r="B315" s="2">
        <f t="shared" si="70"/>
        <v>49417.75</v>
      </c>
      <c r="C315" s="1">
        <f t="shared" si="64"/>
        <v>1543</v>
      </c>
      <c r="D315" s="1" t="str">
        <f t="shared" si="62"/>
        <v/>
      </c>
    </row>
    <row r="316" spans="1:4" x14ac:dyDescent="0.45">
      <c r="A316" s="2">
        <v>46110</v>
      </c>
      <c r="B316" s="2">
        <f t="shared" si="70"/>
        <v>49421.75</v>
      </c>
      <c r="C316" s="1">
        <f t="shared" si="64"/>
        <v>1543</v>
      </c>
      <c r="D316" s="1" t="str">
        <f t="shared" si="62"/>
        <v>time-skip</v>
      </c>
    </row>
    <row r="317" spans="1:4" x14ac:dyDescent="0.45">
      <c r="A317" s="2">
        <v>46111</v>
      </c>
      <c r="B317" s="5">
        <f t="shared" si="65"/>
        <v>49491.75</v>
      </c>
      <c r="C317" s="1">
        <f t="shared" si="64"/>
        <v>1543</v>
      </c>
      <c r="D317" s="1" t="str">
        <f t="shared" si="62"/>
        <v/>
      </c>
    </row>
    <row r="318" spans="1:4" x14ac:dyDescent="0.45">
      <c r="A318" s="2">
        <v>46112</v>
      </c>
      <c r="B318" s="2">
        <f t="shared" ref="B318" si="75">B317+3</f>
        <v>49494.75</v>
      </c>
      <c r="C318" s="1">
        <f t="shared" si="64"/>
        <v>1543</v>
      </c>
      <c r="D318" s="1" t="str">
        <f t="shared" si="62"/>
        <v/>
      </c>
    </row>
    <row r="319" spans="1:4" x14ac:dyDescent="0.45">
      <c r="A319" s="2">
        <v>46113</v>
      </c>
      <c r="B319" s="2">
        <f t="shared" si="72"/>
        <v>49498.75</v>
      </c>
      <c r="C319" s="1">
        <f t="shared" si="64"/>
        <v>1543</v>
      </c>
      <c r="D319" s="1" t="str">
        <f t="shared" si="62"/>
        <v/>
      </c>
    </row>
    <row r="320" spans="1:4" x14ac:dyDescent="0.45">
      <c r="A320" s="2">
        <v>46114</v>
      </c>
      <c r="B320" s="2">
        <f t="shared" si="70"/>
        <v>49501.75</v>
      </c>
      <c r="C320" s="1">
        <f t="shared" si="64"/>
        <v>1543</v>
      </c>
      <c r="D320" s="1" t="str">
        <f t="shared" si="62"/>
        <v/>
      </c>
    </row>
    <row r="321" spans="1:4" x14ac:dyDescent="0.45">
      <c r="A321" s="2">
        <v>46115</v>
      </c>
      <c r="B321" s="2">
        <f t="shared" si="70"/>
        <v>49505.75</v>
      </c>
      <c r="C321" s="1">
        <f t="shared" si="64"/>
        <v>1543</v>
      </c>
      <c r="D321" s="1" t="str">
        <f t="shared" si="62"/>
        <v/>
      </c>
    </row>
    <row r="322" spans="1:4" x14ac:dyDescent="0.45">
      <c r="A322" s="2">
        <v>46116</v>
      </c>
      <c r="B322" s="2">
        <f t="shared" si="70"/>
        <v>49508.75</v>
      </c>
      <c r="C322" s="1">
        <f t="shared" si="64"/>
        <v>1543</v>
      </c>
      <c r="D322" s="1" t="str">
        <f t="shared" si="62"/>
        <v/>
      </c>
    </row>
    <row r="323" spans="1:4" x14ac:dyDescent="0.45">
      <c r="A323" s="2">
        <v>46117</v>
      </c>
      <c r="B323" s="2">
        <f t="shared" si="70"/>
        <v>49512.75</v>
      </c>
      <c r="C323" s="1">
        <f t="shared" si="64"/>
        <v>1543</v>
      </c>
      <c r="D323" s="1" t="str">
        <f t="shared" ref="D323:D331" si="76">IF(WEEKDAY(A323,2)=7,"time-skip","")</f>
        <v>time-skip</v>
      </c>
    </row>
    <row r="324" spans="1:4" x14ac:dyDescent="0.45">
      <c r="A324" s="2">
        <v>46118</v>
      </c>
      <c r="B324" s="5">
        <f t="shared" si="65"/>
        <v>49583.75</v>
      </c>
      <c r="C324" s="1">
        <f t="shared" si="64"/>
        <v>1543</v>
      </c>
      <c r="D324" s="1" t="str">
        <f t="shared" si="76"/>
        <v/>
      </c>
    </row>
    <row r="325" spans="1:4" x14ac:dyDescent="0.45">
      <c r="A325" s="2">
        <v>46119</v>
      </c>
      <c r="B325" s="2">
        <f t="shared" ref="B325" si="77">B324+3</f>
        <v>49586.75</v>
      </c>
      <c r="C325" s="1">
        <f t="shared" si="64"/>
        <v>1543</v>
      </c>
      <c r="D325" s="1" t="str">
        <f t="shared" si="76"/>
        <v/>
      </c>
    </row>
    <row r="326" spans="1:4" x14ac:dyDescent="0.45">
      <c r="A326" s="2">
        <v>46120</v>
      </c>
      <c r="B326" s="2">
        <f t="shared" si="72"/>
        <v>49590.75</v>
      </c>
      <c r="C326" s="1">
        <f t="shared" ref="C326:C331" si="78">C325+(DAY(B326)=1) * (MONTH(B326)=1)</f>
        <v>1543</v>
      </c>
      <c r="D326" s="1" t="str">
        <f t="shared" si="76"/>
        <v/>
      </c>
    </row>
    <row r="327" spans="1:4" x14ac:dyDescent="0.45">
      <c r="A327" s="2">
        <v>46121</v>
      </c>
      <c r="B327" s="2">
        <f t="shared" si="70"/>
        <v>49593.75</v>
      </c>
      <c r="C327" s="1">
        <f t="shared" si="78"/>
        <v>1543</v>
      </c>
      <c r="D327" s="1" t="str">
        <f t="shared" si="76"/>
        <v/>
      </c>
    </row>
    <row r="328" spans="1:4" x14ac:dyDescent="0.45">
      <c r="A328" s="2">
        <v>46122</v>
      </c>
      <c r="B328" s="2">
        <f t="shared" si="70"/>
        <v>49597.75</v>
      </c>
      <c r="C328" s="1">
        <f t="shared" si="78"/>
        <v>1543</v>
      </c>
      <c r="D328" s="1" t="str">
        <f t="shared" si="76"/>
        <v/>
      </c>
    </row>
    <row r="329" spans="1:4" x14ac:dyDescent="0.45">
      <c r="A329" s="2">
        <v>46123</v>
      </c>
      <c r="B329" s="2">
        <f t="shared" si="70"/>
        <v>49600.75</v>
      </c>
      <c r="C329" s="1">
        <f t="shared" si="78"/>
        <v>1543</v>
      </c>
      <c r="D329" s="1" t="str">
        <f t="shared" si="76"/>
        <v/>
      </c>
    </row>
    <row r="330" spans="1:4" x14ac:dyDescent="0.45">
      <c r="A330" s="2">
        <v>46124</v>
      </c>
      <c r="B330" s="2">
        <f t="shared" si="70"/>
        <v>49604.75</v>
      </c>
      <c r="C330" s="1">
        <f t="shared" si="78"/>
        <v>1543</v>
      </c>
      <c r="D330" s="1" t="str">
        <f t="shared" si="76"/>
        <v>time-skip</v>
      </c>
    </row>
    <row r="331" spans="1:4" x14ac:dyDescent="0.45">
      <c r="A331" s="2">
        <v>46125</v>
      </c>
      <c r="B331" s="5">
        <f t="shared" si="65"/>
        <v>49675.75</v>
      </c>
      <c r="C331" s="1">
        <f t="shared" si="78"/>
        <v>1544</v>
      </c>
      <c r="D331" s="1" t="str">
        <f t="shared" si="76"/>
        <v/>
      </c>
    </row>
    <row r="332" spans="1:4" x14ac:dyDescent="0.45">
      <c r="A332" s="2"/>
      <c r="B332" s="2"/>
    </row>
    <row r="333" spans="1:4" x14ac:dyDescent="0.45">
      <c r="A333" s="2"/>
      <c r="B333" s="2"/>
    </row>
    <row r="334" spans="1:4" x14ac:dyDescent="0.45">
      <c r="A334" s="2"/>
      <c r="B334" s="2"/>
    </row>
    <row r="335" spans="1:4" x14ac:dyDescent="0.45">
      <c r="A335" s="2"/>
      <c r="B335" s="2"/>
    </row>
    <row r="336" spans="1:4" x14ac:dyDescent="0.45">
      <c r="A336" s="2"/>
      <c r="B33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9FAE-E1DE-4631-BCC8-EF9749BBC570}">
  <dimension ref="B2:L20"/>
  <sheetViews>
    <sheetView workbookViewId="0">
      <selection activeCell="L11" sqref="L5:L11"/>
    </sheetView>
  </sheetViews>
  <sheetFormatPr defaultRowHeight="14.25" x14ac:dyDescent="0.45"/>
  <cols>
    <col min="1" max="2" width="9.06640625" style="6"/>
    <col min="3" max="3" width="12.9296875" style="6" customWidth="1"/>
    <col min="4" max="6" width="11.6640625" style="6" customWidth="1"/>
    <col min="7" max="7" width="14.6640625" style="6" customWidth="1"/>
    <col min="8" max="8" width="13.06640625" style="6" customWidth="1"/>
    <col min="9" max="9" width="9.06640625" style="6"/>
    <col min="10" max="10" width="10.73046875" style="6" customWidth="1"/>
    <col min="11" max="16384" width="9.06640625" style="6"/>
  </cols>
  <sheetData>
    <row r="2" spans="2:12" ht="15.75" x14ac:dyDescent="0.5">
      <c r="B2" s="21" t="s">
        <v>77</v>
      </c>
    </row>
    <row r="4" spans="2:12" ht="28.5" x14ac:dyDescent="0.45">
      <c r="C4" s="19" t="s">
        <v>72</v>
      </c>
      <c r="D4" s="19" t="s">
        <v>86</v>
      </c>
      <c r="E4" s="19" t="s">
        <v>87</v>
      </c>
      <c r="F4" s="19" t="s">
        <v>88</v>
      </c>
      <c r="G4" s="19" t="s">
        <v>73</v>
      </c>
      <c r="H4" s="19" t="s">
        <v>74</v>
      </c>
      <c r="I4" s="19" t="s">
        <v>75</v>
      </c>
      <c r="J4" s="19" t="s">
        <v>89</v>
      </c>
    </row>
    <row r="5" spans="2:12" x14ac:dyDescent="0.45">
      <c r="B5" s="6" t="s">
        <v>63</v>
      </c>
      <c r="C5" s="6">
        <v>500</v>
      </c>
      <c r="D5" s="6">
        <v>3</v>
      </c>
      <c r="E5" s="6">
        <v>3</v>
      </c>
      <c r="G5" s="6">
        <v>2.5</v>
      </c>
      <c r="H5" s="6">
        <f t="shared" ref="H5:H11" si="0">G5*C5</f>
        <v>1250</v>
      </c>
      <c r="I5" s="18">
        <v>4</v>
      </c>
      <c r="J5" s="18">
        <f>I5*H5/SUM(D5:F5)</f>
        <v>833.33333333333337</v>
      </c>
      <c r="L5" s="18">
        <f t="shared" ref="L5:L11" si="1">J5/C5</f>
        <v>1.6666666666666667</v>
      </c>
    </row>
    <row r="6" spans="2:12" x14ac:dyDescent="0.45">
      <c r="B6" s="6" t="s">
        <v>64</v>
      </c>
      <c r="C6" s="6">
        <v>500</v>
      </c>
      <c r="D6" s="6">
        <v>3</v>
      </c>
      <c r="E6" s="6">
        <v>3</v>
      </c>
      <c r="G6" s="6">
        <v>5</v>
      </c>
      <c r="H6" s="6">
        <f t="shared" si="0"/>
        <v>2500</v>
      </c>
      <c r="I6" s="18">
        <v>10</v>
      </c>
      <c r="J6" s="18">
        <f t="shared" ref="J6:J11" si="2">I6*H6/SUM(D6:F6)</f>
        <v>4166.666666666667</v>
      </c>
      <c r="L6" s="18">
        <f t="shared" si="1"/>
        <v>8.3333333333333339</v>
      </c>
    </row>
    <row r="7" spans="2:12" x14ac:dyDescent="0.45">
      <c r="B7" s="6" t="s">
        <v>65</v>
      </c>
      <c r="C7" s="6">
        <v>200</v>
      </c>
      <c r="D7" s="6">
        <v>3</v>
      </c>
      <c r="G7" s="6">
        <v>1.5</v>
      </c>
      <c r="H7" s="6">
        <f t="shared" si="0"/>
        <v>300</v>
      </c>
      <c r="I7" s="18">
        <v>12</v>
      </c>
      <c r="J7" s="18">
        <f t="shared" si="2"/>
        <v>1200</v>
      </c>
      <c r="L7" s="18">
        <f t="shared" si="1"/>
        <v>6</v>
      </c>
    </row>
    <row r="8" spans="2:12" x14ac:dyDescent="0.45">
      <c r="B8" s="6" t="s">
        <v>67</v>
      </c>
      <c r="C8" s="6">
        <v>200</v>
      </c>
      <c r="D8" s="6">
        <v>3</v>
      </c>
      <c r="E8" s="6">
        <v>3</v>
      </c>
      <c r="G8" s="6">
        <v>1</v>
      </c>
      <c r="H8" s="6">
        <f t="shared" si="0"/>
        <v>200</v>
      </c>
      <c r="I8" s="18">
        <v>4.5</v>
      </c>
      <c r="J8" s="18">
        <f t="shared" si="2"/>
        <v>150</v>
      </c>
      <c r="L8" s="18">
        <f t="shared" si="1"/>
        <v>0.75</v>
      </c>
    </row>
    <row r="9" spans="2:12" x14ac:dyDescent="0.45">
      <c r="B9" s="6" t="s">
        <v>69</v>
      </c>
      <c r="C9" s="6">
        <v>200</v>
      </c>
      <c r="D9" s="6">
        <v>3</v>
      </c>
      <c r="E9" s="6">
        <v>3</v>
      </c>
      <c r="G9" s="6">
        <v>10</v>
      </c>
      <c r="H9" s="6">
        <f t="shared" si="0"/>
        <v>2000</v>
      </c>
      <c r="I9" s="18">
        <v>7.0000000000000007E-2</v>
      </c>
      <c r="J9" s="18">
        <f t="shared" si="2"/>
        <v>23.333333333333332</v>
      </c>
      <c r="L9" s="18">
        <f t="shared" si="1"/>
        <v>0.11666666666666665</v>
      </c>
    </row>
    <row r="10" spans="2:12" x14ac:dyDescent="0.45">
      <c r="B10" s="6" t="s">
        <v>66</v>
      </c>
      <c r="C10" s="6">
        <v>100</v>
      </c>
      <c r="D10" s="6">
        <v>3</v>
      </c>
      <c r="F10" s="6">
        <v>3</v>
      </c>
      <c r="G10" s="6">
        <v>300</v>
      </c>
      <c r="H10" s="6">
        <f t="shared" si="0"/>
        <v>30000</v>
      </c>
      <c r="I10" s="18">
        <v>0.04</v>
      </c>
      <c r="J10" s="18">
        <f t="shared" si="2"/>
        <v>200</v>
      </c>
      <c r="L10" s="18">
        <f t="shared" si="1"/>
        <v>2</v>
      </c>
    </row>
    <row r="11" spans="2:12" x14ac:dyDescent="0.45">
      <c r="B11" s="6" t="s">
        <v>68</v>
      </c>
      <c r="C11" s="6">
        <v>100</v>
      </c>
      <c r="D11" s="6">
        <v>3</v>
      </c>
      <c r="E11" s="6">
        <v>3</v>
      </c>
      <c r="F11" s="6">
        <v>3</v>
      </c>
      <c r="G11" s="6">
        <v>150</v>
      </c>
      <c r="H11" s="6">
        <f t="shared" si="0"/>
        <v>15000</v>
      </c>
      <c r="I11" s="18">
        <v>0.25</v>
      </c>
      <c r="J11" s="18">
        <f t="shared" si="2"/>
        <v>416.66666666666669</v>
      </c>
      <c r="L11" s="18">
        <f t="shared" si="1"/>
        <v>4.166666666666667</v>
      </c>
    </row>
    <row r="12" spans="2:12" x14ac:dyDescent="0.45">
      <c r="B12" s="6" t="s">
        <v>78</v>
      </c>
      <c r="C12" s="20" t="s">
        <v>76</v>
      </c>
      <c r="D12" s="20" t="s">
        <v>76</v>
      </c>
      <c r="E12" s="20" t="s">
        <v>76</v>
      </c>
      <c r="F12" s="20" t="s">
        <v>76</v>
      </c>
      <c r="G12" s="20" t="s">
        <v>76</v>
      </c>
      <c r="H12" s="6">
        <v>100</v>
      </c>
      <c r="I12" s="18">
        <v>12</v>
      </c>
      <c r="J12" s="18">
        <f>I12*H12/12</f>
        <v>100</v>
      </c>
    </row>
    <row r="13" spans="2:12" x14ac:dyDescent="0.45">
      <c r="B13" s="6" t="s">
        <v>71</v>
      </c>
      <c r="C13" s="20" t="s">
        <v>76</v>
      </c>
      <c r="D13" s="20" t="s">
        <v>76</v>
      </c>
      <c r="E13" s="20" t="s">
        <v>76</v>
      </c>
      <c r="F13" s="20" t="s">
        <v>76</v>
      </c>
      <c r="G13" s="20" t="s">
        <v>76</v>
      </c>
      <c r="H13" s="6">
        <v>300</v>
      </c>
      <c r="I13" s="18">
        <v>10</v>
      </c>
      <c r="J13" s="18">
        <f>I13*H13/12</f>
        <v>250</v>
      </c>
    </row>
    <row r="19" spans="3:10" x14ac:dyDescent="0.45">
      <c r="C19" s="6">
        <v>189</v>
      </c>
      <c r="D19" s="6" t="s">
        <v>82</v>
      </c>
      <c r="E19" s="6">
        <v>1</v>
      </c>
      <c r="F19" s="6" t="s">
        <v>84</v>
      </c>
      <c r="G19" s="6">
        <v>500</v>
      </c>
      <c r="H19" s="6" t="s">
        <v>85</v>
      </c>
      <c r="I19" s="6">
        <v>10</v>
      </c>
      <c r="J19" s="6" t="s">
        <v>62</v>
      </c>
    </row>
    <row r="20" spans="3:10" x14ac:dyDescent="0.45">
      <c r="C20" s="6">
        <f>C19/3*3.6</f>
        <v>226.8</v>
      </c>
      <c r="D20" s="6" t="s">
        <v>83</v>
      </c>
      <c r="E20" s="9">
        <f>E19*10000/3.6</f>
        <v>2777.7777777777778</v>
      </c>
      <c r="F20" s="6" t="s">
        <v>85</v>
      </c>
      <c r="G20" s="6">
        <f>G19*3.6/10000</f>
        <v>0.18</v>
      </c>
      <c r="H20" s="6" t="s">
        <v>84</v>
      </c>
      <c r="I20" s="6">
        <f>I19*100/0.375/10000*3.6</f>
        <v>0.96</v>
      </c>
      <c r="J20" s="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Nic</vt:lpstr>
      <vt:lpstr>Cris</vt:lpstr>
      <vt:lpstr>Peter</vt:lpstr>
      <vt:lpstr>Zilla</vt:lpstr>
      <vt:lpstr>Vito</vt:lpstr>
      <vt:lpstr>Kleit</vt:lpstr>
      <vt:lpstr>Economia</vt:lpstr>
      <vt:lpstr>Katane</vt:lpstr>
      <vt:lpstr>Cash-flow</vt:lpstr>
      <vt:lpstr>Calendario</vt:lpstr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Cusma Fait</dc:creator>
  <cp:lastModifiedBy>Omar Cusma Fait</cp:lastModifiedBy>
  <dcterms:created xsi:type="dcterms:W3CDTF">2025-05-15T10:25:52Z</dcterms:created>
  <dcterms:modified xsi:type="dcterms:W3CDTF">2025-10-25T14:50:04Z</dcterms:modified>
</cp:coreProperties>
</file>
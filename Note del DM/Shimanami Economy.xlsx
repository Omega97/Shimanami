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falcone\Il mio Drive\Documents\Shimanami\Note del DM\"/>
    </mc:Choice>
  </mc:AlternateContent>
  <xr:revisionPtr revIDLastSave="0" documentId="13_ncr:1_{A473EDEF-86A7-4F8A-B1C2-777654DF6C63}" xr6:coauthVersionLast="47" xr6:coauthVersionMax="47" xr10:uidLastSave="{00000000-0000-0000-0000-000000000000}"/>
  <bookViews>
    <workbookView xWindow="-98" yWindow="-98" windowWidth="19396" windowHeight="11475" activeTab="6" xr2:uid="{1F5E2D9F-A52B-4AB0-9D2A-B27616847BC8}"/>
  </bookViews>
  <sheets>
    <sheet name="Nic" sheetId="6" r:id="rId1"/>
    <sheet name="Cris" sheetId="10" r:id="rId2"/>
    <sheet name="Peter" sheetId="17" r:id="rId3"/>
    <sheet name="Zilla" sheetId="7" r:id="rId4"/>
    <sheet name="Vito" sheetId="9" r:id="rId5"/>
    <sheet name="Kleit" sheetId="8" r:id="rId6"/>
    <sheet name="Economia" sheetId="2" r:id="rId7"/>
    <sheet name="Katane" sheetId="14" r:id="rId8"/>
    <sheet name="Cash-flow" sheetId="5" r:id="rId9"/>
    <sheet name="Calendario" sheetId="1" r:id="rId10"/>
    <sheet name="yield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6" i="8"/>
  <c r="C5" i="8"/>
  <c r="C6" i="9"/>
  <c r="C5" i="9"/>
  <c r="B5" i="7"/>
  <c r="B6" i="7"/>
  <c r="A5" i="10"/>
  <c r="A6" i="10"/>
  <c r="BX5" i="6"/>
  <c r="A6" i="17"/>
  <c r="A5" i="17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B6" i="2"/>
  <c r="B7" i="2"/>
  <c r="CE31" i="9"/>
  <c r="CC24" i="8"/>
  <c r="CD24" i="8"/>
  <c r="CE24" i="8"/>
  <c r="CC29" i="8"/>
  <c r="CC52" i="8" s="1"/>
  <c r="CD29" i="8"/>
  <c r="CD52" i="8" s="1"/>
  <c r="CE29" i="8"/>
  <c r="CE52" i="8" s="1"/>
  <c r="CE71" i="8" s="1"/>
  <c r="CC30" i="8"/>
  <c r="CD30" i="8"/>
  <c r="CE30" i="8"/>
  <c r="CC31" i="8"/>
  <c r="CC71" i="8" s="1"/>
  <c r="CD31" i="8"/>
  <c r="CD71" i="8" s="1"/>
  <c r="CE31" i="8"/>
  <c r="CC35" i="8"/>
  <c r="CD35" i="8"/>
  <c r="CE35" i="8"/>
  <c r="CC46" i="8"/>
  <c r="CD46" i="8"/>
  <c r="CE46" i="8"/>
  <c r="CC53" i="8"/>
  <c r="CD53" i="8"/>
  <c r="CE53" i="8"/>
  <c r="CC67" i="8"/>
  <c r="CD67" i="8"/>
  <c r="CE67" i="8"/>
  <c r="CC72" i="8"/>
  <c r="CD72" i="8"/>
  <c r="CE72" i="8"/>
  <c r="CC18" i="9"/>
  <c r="CC8" i="9" s="1"/>
  <c r="CD18" i="9"/>
  <c r="CE18" i="9"/>
  <c r="CC22" i="9"/>
  <c r="CD22" i="9"/>
  <c r="CE22" i="9"/>
  <c r="CE18" i="7"/>
  <c r="CF18" i="7"/>
  <c r="CF48" i="7" s="1"/>
  <c r="CF64" i="7" s="1"/>
  <c r="CG18" i="7"/>
  <c r="CG48" i="7" s="1"/>
  <c r="CG64" i="7" s="1"/>
  <c r="CE19" i="7"/>
  <c r="CF19" i="7"/>
  <c r="CG19" i="7"/>
  <c r="CE20" i="7"/>
  <c r="CF20" i="7"/>
  <c r="CG20" i="7"/>
  <c r="CE21" i="7"/>
  <c r="F23" i="7" s="1"/>
  <c r="CF21" i="7"/>
  <c r="CG21" i="7"/>
  <c r="CE26" i="7"/>
  <c r="CF26" i="7"/>
  <c r="CG26" i="7"/>
  <c r="CE27" i="7"/>
  <c r="CF27" i="7"/>
  <c r="CG27" i="7"/>
  <c r="CE28" i="7"/>
  <c r="CF28" i="7"/>
  <c r="CG28" i="7"/>
  <c r="CE33" i="7"/>
  <c r="CF33" i="7"/>
  <c r="CG33" i="7"/>
  <c r="CE34" i="7"/>
  <c r="CF34" i="7"/>
  <c r="CG34" i="7"/>
  <c r="CE35" i="7"/>
  <c r="CF35" i="7"/>
  <c r="CG35" i="7"/>
  <c r="CE41" i="7"/>
  <c r="F44" i="7" s="1"/>
  <c r="CF41" i="7"/>
  <c r="CG41" i="7"/>
  <c r="CE42" i="7"/>
  <c r="CF42" i="7"/>
  <c r="CG42" i="7"/>
  <c r="CE43" i="7"/>
  <c r="CF43" i="7"/>
  <c r="CG43" i="7"/>
  <c r="CE49" i="7"/>
  <c r="CF49" i="7"/>
  <c r="CG49" i="7"/>
  <c r="CE55" i="7"/>
  <c r="CF55" i="7"/>
  <c r="CG55" i="7"/>
  <c r="CE56" i="7"/>
  <c r="CF56" i="7"/>
  <c r="CG56" i="7"/>
  <c r="CE57" i="7"/>
  <c r="CF57" i="7"/>
  <c r="CG57" i="7"/>
  <c r="CE60" i="7"/>
  <c r="CF60" i="7"/>
  <c r="CG60" i="7"/>
  <c r="CA9" i="10"/>
  <c r="CB9" i="10"/>
  <c r="CC9" i="10"/>
  <c r="CA15" i="10"/>
  <c r="CB15" i="10"/>
  <c r="CC15" i="10"/>
  <c r="CA26" i="10"/>
  <c r="CB26" i="10"/>
  <c r="CC26" i="10"/>
  <c r="BY4" i="2"/>
  <c r="BZ4" i="2"/>
  <c r="CA4" i="2"/>
  <c r="BX47" i="6"/>
  <c r="CG66" i="7"/>
  <c r="CC10" i="6"/>
  <c r="CC14" i="6"/>
  <c r="CC15" i="6"/>
  <c r="CC16" i="6"/>
  <c r="CC19" i="6"/>
  <c r="CC39" i="6"/>
  <c r="CA10" i="6"/>
  <c r="CB10" i="6"/>
  <c r="CA14" i="6"/>
  <c r="CB14" i="6"/>
  <c r="CA15" i="6"/>
  <c r="CB15" i="6"/>
  <c r="CA16" i="6"/>
  <c r="CA19" i="6" s="1"/>
  <c r="CB19" i="6" s="1"/>
  <c r="CB16" i="6"/>
  <c r="CA39" i="6"/>
  <c r="CB39" i="6"/>
  <c r="CC31" i="10"/>
  <c r="CA30" i="17"/>
  <c r="CA5" i="17"/>
  <c r="CB41" i="17"/>
  <c r="CC41" i="17"/>
  <c r="CA41" i="17"/>
  <c r="AK23" i="17"/>
  <c r="AL23" i="17" s="1"/>
  <c r="AM23" i="17" s="1"/>
  <c r="AN23" i="17" s="1"/>
  <c r="AO23" i="17" s="1"/>
  <c r="AP23" i="17" s="1"/>
  <c r="AQ23" i="17" s="1"/>
  <c r="AR23" i="17" s="1"/>
  <c r="AS23" i="17" s="1"/>
  <c r="AT23" i="17" s="1"/>
  <c r="AU23" i="17" s="1"/>
  <c r="AV23" i="17" s="1"/>
  <c r="AW23" i="17" s="1"/>
  <c r="AX23" i="17" s="1"/>
  <c r="AY23" i="17" s="1"/>
  <c r="AZ23" i="17" s="1"/>
  <c r="BA23" i="17" s="1"/>
  <c r="BB23" i="17" s="1"/>
  <c r="BC23" i="17" s="1"/>
  <c r="BD23" i="17" s="1"/>
  <c r="BE23" i="17" s="1"/>
  <c r="BF23" i="17" s="1"/>
  <c r="BG23" i="17" s="1"/>
  <c r="BH23" i="17" s="1"/>
  <c r="BI23" i="17" s="1"/>
  <c r="BJ23" i="17" s="1"/>
  <c r="BK23" i="17" s="1"/>
  <c r="BL23" i="17" s="1"/>
  <c r="BM23" i="17" s="1"/>
  <c r="BN23" i="17" s="1"/>
  <c r="BO23" i="17" s="1"/>
  <c r="BP23" i="17" s="1"/>
  <c r="BQ23" i="17" s="1"/>
  <c r="BR23" i="17" s="1"/>
  <c r="BS23" i="17" s="1"/>
  <c r="BT23" i="17" s="1"/>
  <c r="BU23" i="17" s="1"/>
  <c r="BV23" i="17" s="1"/>
  <c r="BW23" i="17" s="1"/>
  <c r="BX23" i="17" s="1"/>
  <c r="BY23" i="17" s="1"/>
  <c r="BZ23" i="17" s="1"/>
  <c r="CA23" i="17" s="1"/>
  <c r="CB23" i="17" s="1"/>
  <c r="CC23" i="17" s="1"/>
  <c r="BV27" i="17"/>
  <c r="BW27" i="17" s="1"/>
  <c r="BX27" i="17" s="1"/>
  <c r="BY27" i="17" s="1"/>
  <c r="BZ27" i="17" s="1"/>
  <c r="CA27" i="17" s="1"/>
  <c r="CB27" i="17" s="1"/>
  <c r="CC27" i="17" s="1"/>
  <c r="BV19" i="17"/>
  <c r="BW19" i="17" s="1"/>
  <c r="BX19" i="17" s="1"/>
  <c r="BY19" i="17" s="1"/>
  <c r="BZ19" i="17" s="1"/>
  <c r="CA19" i="17" s="1"/>
  <c r="CB19" i="17" s="1"/>
  <c r="CC19" i="17" s="1"/>
  <c r="BO15" i="17"/>
  <c r="BP15" i="17" s="1"/>
  <c r="BQ15" i="17" s="1"/>
  <c r="BR15" i="17" s="1"/>
  <c r="BS15" i="17" s="1"/>
  <c r="BT15" i="17" s="1"/>
  <c r="BU15" i="17" s="1"/>
  <c r="BV15" i="17" s="1"/>
  <c r="BW15" i="17" s="1"/>
  <c r="BX15" i="17" s="1"/>
  <c r="BY15" i="17" s="1"/>
  <c r="BZ15" i="17" s="1"/>
  <c r="AL31" i="17"/>
  <c r="AM31" i="17"/>
  <c r="AN31" i="17" s="1"/>
  <c r="AO31" i="17" s="1"/>
  <c r="AP31" i="17" s="1"/>
  <c r="AQ31" i="17" s="1"/>
  <c r="AR31" i="17" s="1"/>
  <c r="AS31" i="17" s="1"/>
  <c r="AT31" i="17" s="1"/>
  <c r="AU31" i="17" s="1"/>
  <c r="AV31" i="17" s="1"/>
  <c r="AW31" i="17" s="1"/>
  <c r="AX31" i="17" s="1"/>
  <c r="AY31" i="17" s="1"/>
  <c r="AZ31" i="17" s="1"/>
  <c r="BA31" i="17" s="1"/>
  <c r="BB31" i="17" s="1"/>
  <c r="BC31" i="17" s="1"/>
  <c r="BD31" i="17" s="1"/>
  <c r="BE31" i="17" s="1"/>
  <c r="BF31" i="17" s="1"/>
  <c r="BG31" i="17" s="1"/>
  <c r="BH31" i="17" s="1"/>
  <c r="BI31" i="17" s="1"/>
  <c r="BJ31" i="17" s="1"/>
  <c r="BK31" i="17" s="1"/>
  <c r="BL31" i="17" s="1"/>
  <c r="BM31" i="17" s="1"/>
  <c r="BN31" i="17" s="1"/>
  <c r="BO31" i="17" s="1"/>
  <c r="BP31" i="17" s="1"/>
  <c r="BQ31" i="17" s="1"/>
  <c r="BR31" i="17" s="1"/>
  <c r="BS31" i="17" s="1"/>
  <c r="BT31" i="17" s="1"/>
  <c r="BU31" i="17" s="1"/>
  <c r="BV31" i="17" s="1"/>
  <c r="BW31" i="17" s="1"/>
  <c r="BX31" i="17" s="1"/>
  <c r="BY31" i="17" s="1"/>
  <c r="BZ31" i="17" s="1"/>
  <c r="CA31" i="17" s="1"/>
  <c r="CB31" i="17" s="1"/>
  <c r="CC31" i="17" s="1"/>
  <c r="AK31" i="17"/>
  <c r="CC11" i="17"/>
  <c r="CC12" i="17"/>
  <c r="CC18" i="17"/>
  <c r="CC22" i="17"/>
  <c r="CC26" i="17"/>
  <c r="CC34" i="17"/>
  <c r="CC35" i="17"/>
  <c r="CC36" i="17"/>
  <c r="CA11" i="17"/>
  <c r="CB11" i="17"/>
  <c r="CA12" i="17"/>
  <c r="CB12" i="17"/>
  <c r="CA18" i="17"/>
  <c r="CB18" i="17"/>
  <c r="CA22" i="17"/>
  <c r="CB22" i="17"/>
  <c r="CA26" i="17"/>
  <c r="CB26" i="17"/>
  <c r="CA34" i="17"/>
  <c r="CB34" i="17"/>
  <c r="CA35" i="17"/>
  <c r="CB35" i="17"/>
  <c r="CA36" i="17"/>
  <c r="CB36" i="17"/>
  <c r="BI21" i="17"/>
  <c r="BH14" i="17"/>
  <c r="BH17" i="17"/>
  <c r="BI17" i="17" s="1"/>
  <c r="BJ17" i="17" s="1"/>
  <c r="BK17" i="17" s="1"/>
  <c r="BL17" i="17" s="1"/>
  <c r="BM17" i="17" s="1"/>
  <c r="BN17" i="17" s="1"/>
  <c r="BO17" i="17" s="1"/>
  <c r="BP17" i="17" s="1"/>
  <c r="BQ17" i="17" s="1"/>
  <c r="BR17" i="17" s="1"/>
  <c r="BS17" i="17" s="1"/>
  <c r="BT17" i="17" s="1"/>
  <c r="BU17" i="17" s="1"/>
  <c r="F37" i="7"/>
  <c r="BZ5" i="17"/>
  <c r="AV42" i="7"/>
  <c r="AW42" i="7" s="1"/>
  <c r="AX42" i="7" s="1"/>
  <c r="AY42" i="7" s="1"/>
  <c r="AZ42" i="7" s="1"/>
  <c r="BA42" i="7" s="1"/>
  <c r="BB42" i="7" s="1"/>
  <c r="BC42" i="7" s="1"/>
  <c r="BD42" i="7" s="1"/>
  <c r="BE42" i="7" s="1"/>
  <c r="BF42" i="7" s="1"/>
  <c r="BG42" i="7" s="1"/>
  <c r="BH42" i="7" s="1"/>
  <c r="BI42" i="7" s="1"/>
  <c r="BJ42" i="7" s="1"/>
  <c r="BK42" i="7" s="1"/>
  <c r="BL42" i="7" s="1"/>
  <c r="BM42" i="7" s="1"/>
  <c r="BN42" i="7" s="1"/>
  <c r="BO42" i="7" s="1"/>
  <c r="BP42" i="7" s="1"/>
  <c r="BQ42" i="7" s="1"/>
  <c r="BR42" i="7" s="1"/>
  <c r="BS42" i="7" s="1"/>
  <c r="BT42" i="7" s="1"/>
  <c r="BU42" i="7" s="1"/>
  <c r="BV42" i="7" s="1"/>
  <c r="BW42" i="7" s="1"/>
  <c r="BX42" i="7" s="1"/>
  <c r="BY42" i="7" s="1"/>
  <c r="BZ42" i="7" s="1"/>
  <c r="CA42" i="7" s="1"/>
  <c r="CB42" i="7" s="1"/>
  <c r="CC42" i="7" s="1"/>
  <c r="CD42" i="7" s="1"/>
  <c r="AL34" i="7"/>
  <c r="AM34" i="7" s="1"/>
  <c r="AN34" i="7" s="1"/>
  <c r="AO34" i="7" s="1"/>
  <c r="AP34" i="7" s="1"/>
  <c r="AQ34" i="7" s="1"/>
  <c r="AR34" i="7" s="1"/>
  <c r="AS34" i="7" s="1"/>
  <c r="AT34" i="7" s="1"/>
  <c r="AU34" i="7" s="1"/>
  <c r="AV34" i="7" s="1"/>
  <c r="AW34" i="7" s="1"/>
  <c r="AX34" i="7" s="1"/>
  <c r="AY34" i="7" s="1"/>
  <c r="AZ34" i="7" s="1"/>
  <c r="BA34" i="7" s="1"/>
  <c r="BB34" i="7" s="1"/>
  <c r="BC34" i="7" s="1"/>
  <c r="BD34" i="7" s="1"/>
  <c r="BE34" i="7" s="1"/>
  <c r="BF34" i="7" s="1"/>
  <c r="BG34" i="7" s="1"/>
  <c r="BH34" i="7" s="1"/>
  <c r="BI34" i="7" s="1"/>
  <c r="BJ34" i="7" s="1"/>
  <c r="BK34" i="7" s="1"/>
  <c r="BL34" i="7" s="1"/>
  <c r="BM34" i="7" s="1"/>
  <c r="BN34" i="7" s="1"/>
  <c r="BO34" i="7" s="1"/>
  <c r="BP34" i="7" s="1"/>
  <c r="BQ34" i="7" s="1"/>
  <c r="BR34" i="7" s="1"/>
  <c r="BS34" i="7" s="1"/>
  <c r="BT34" i="7" s="1"/>
  <c r="BU34" i="7" s="1"/>
  <c r="BV34" i="7" s="1"/>
  <c r="BW34" i="7" s="1"/>
  <c r="BX34" i="7" s="1"/>
  <c r="BY34" i="7" s="1"/>
  <c r="BZ34" i="7" s="1"/>
  <c r="CA34" i="7" s="1"/>
  <c r="CB34" i="7" s="1"/>
  <c r="CC34" i="7" s="1"/>
  <c r="CD34" i="7" s="1"/>
  <c r="AK27" i="7"/>
  <c r="AL27" i="7" s="1"/>
  <c r="AM27" i="7" s="1"/>
  <c r="AN27" i="7" s="1"/>
  <c r="AO27" i="7" s="1"/>
  <c r="AP27" i="7" s="1"/>
  <c r="AQ27" i="7" s="1"/>
  <c r="AR27" i="7" s="1"/>
  <c r="AS27" i="7" s="1"/>
  <c r="AT27" i="7" s="1"/>
  <c r="AU27" i="7" s="1"/>
  <c r="AV27" i="7" s="1"/>
  <c r="AW27" i="7" s="1"/>
  <c r="AX27" i="7" s="1"/>
  <c r="AY27" i="7" s="1"/>
  <c r="AZ27" i="7" s="1"/>
  <c r="BA27" i="7" s="1"/>
  <c r="BB27" i="7" s="1"/>
  <c r="BC27" i="7" s="1"/>
  <c r="BD27" i="7" s="1"/>
  <c r="BE27" i="7" s="1"/>
  <c r="BF27" i="7" s="1"/>
  <c r="BG27" i="7" s="1"/>
  <c r="BH27" i="7" s="1"/>
  <c r="BI27" i="7" s="1"/>
  <c r="BJ27" i="7" s="1"/>
  <c r="BK27" i="7" s="1"/>
  <c r="BL27" i="7" s="1"/>
  <c r="BM27" i="7" s="1"/>
  <c r="BN27" i="7" s="1"/>
  <c r="BO27" i="7" s="1"/>
  <c r="BP27" i="7" s="1"/>
  <c r="BQ27" i="7" s="1"/>
  <c r="BR27" i="7" s="1"/>
  <c r="BS27" i="7" s="1"/>
  <c r="BT27" i="7" s="1"/>
  <c r="BU27" i="7" s="1"/>
  <c r="BV27" i="7" s="1"/>
  <c r="BW27" i="7" s="1"/>
  <c r="BX27" i="7" s="1"/>
  <c r="BY27" i="7" s="1"/>
  <c r="BZ27" i="7" s="1"/>
  <c r="CA27" i="7" s="1"/>
  <c r="CB27" i="7" s="1"/>
  <c r="CC27" i="7" s="1"/>
  <c r="CD27" i="7" s="1"/>
  <c r="BE20" i="7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AP22" i="9"/>
  <c r="AQ22" i="9"/>
  <c r="AR22" i="9"/>
  <c r="AS22" i="9"/>
  <c r="AT22" i="9"/>
  <c r="AU22" i="9"/>
  <c r="AO22" i="9"/>
  <c r="AV22" i="9"/>
  <c r="AW22" i="9" s="1"/>
  <c r="AX22" i="9" s="1"/>
  <c r="AY22" i="9" s="1"/>
  <c r="AZ22" i="9" s="1"/>
  <c r="BA22" i="9" s="1"/>
  <c r="BB22" i="9" s="1"/>
  <c r="BC22" i="9" s="1"/>
  <c r="BD22" i="9" s="1"/>
  <c r="BE22" i="9" s="1"/>
  <c r="BF22" i="9" s="1"/>
  <c r="BG22" i="9" s="1"/>
  <c r="BH22" i="9" s="1"/>
  <c r="BI22" i="9" s="1"/>
  <c r="BJ22" i="9" s="1"/>
  <c r="BK22" i="9" s="1"/>
  <c r="BL22" i="9" s="1"/>
  <c r="BM22" i="9" s="1"/>
  <c r="BN22" i="9" s="1"/>
  <c r="BO22" i="9" s="1"/>
  <c r="BP22" i="9" s="1"/>
  <c r="BQ22" i="9" s="1"/>
  <c r="BR22" i="9" s="1"/>
  <c r="BS22" i="9" s="1"/>
  <c r="BT22" i="9" s="1"/>
  <c r="BU22" i="9" s="1"/>
  <c r="BV22" i="9" s="1"/>
  <c r="BW22" i="9" s="1"/>
  <c r="BX22" i="9" s="1"/>
  <c r="BY22" i="9" s="1"/>
  <c r="BZ22" i="9" s="1"/>
  <c r="CA22" i="9" s="1"/>
  <c r="CB22" i="9" s="1"/>
  <c r="AH25" i="17"/>
  <c r="AI25" i="17" s="1"/>
  <c r="AJ25" i="17" s="1"/>
  <c r="AK25" i="17" s="1"/>
  <c r="AL25" i="17" s="1"/>
  <c r="AM25" i="17" s="1"/>
  <c r="AN25" i="17" s="1"/>
  <c r="BJ21" i="17"/>
  <c r="BK21" i="17" s="1"/>
  <c r="BL21" i="17" s="1"/>
  <c r="BM21" i="17" s="1"/>
  <c r="BN21" i="17" s="1"/>
  <c r="BO21" i="17" s="1"/>
  <c r="BP21" i="17" s="1"/>
  <c r="BQ21" i="17" s="1"/>
  <c r="BR21" i="17" s="1"/>
  <c r="BS21" i="17" s="1"/>
  <c r="BT21" i="17" s="1"/>
  <c r="BU21" i="17" s="1"/>
  <c r="BV21" i="17" s="1"/>
  <c r="BW21" i="17" s="1"/>
  <c r="BX21" i="17" s="1"/>
  <c r="BY21" i="17" s="1"/>
  <c r="BZ21" i="17" s="1"/>
  <c r="CA21" i="17" s="1"/>
  <c r="CB21" i="17" s="1"/>
  <c r="CC21" i="17" s="1"/>
  <c r="BI14" i="17"/>
  <c r="BJ14" i="17" s="1"/>
  <c r="BK14" i="17" s="1"/>
  <c r="BL14" i="17" s="1"/>
  <c r="BM14" i="17" s="1"/>
  <c r="BN14" i="17" s="1"/>
  <c r="BO14" i="17" s="1"/>
  <c r="BP14" i="17" s="1"/>
  <c r="BQ14" i="17" s="1"/>
  <c r="BR14" i="17" s="1"/>
  <c r="BS14" i="17" s="1"/>
  <c r="BT14" i="17" s="1"/>
  <c r="BU14" i="17" s="1"/>
  <c r="BV14" i="17" s="1"/>
  <c r="BW14" i="17" s="1"/>
  <c r="BX14" i="17" s="1"/>
  <c r="BY14" i="17" s="1"/>
  <c r="BZ14" i="17" s="1"/>
  <c r="BZ52" i="17"/>
  <c r="BZ24" i="8"/>
  <c r="CA24" i="8"/>
  <c r="CB24" i="8"/>
  <c r="BZ29" i="8"/>
  <c r="BZ52" i="8" s="1"/>
  <c r="CA29" i="8"/>
  <c r="CA52" i="8" s="1"/>
  <c r="CB29" i="8"/>
  <c r="CB52" i="8" s="1"/>
  <c r="CB71" i="8" s="1"/>
  <c r="BZ30" i="8"/>
  <c r="CA30" i="8"/>
  <c r="CB30" i="8"/>
  <c r="BZ31" i="8"/>
  <c r="BZ71" i="8" s="1"/>
  <c r="CA31" i="8"/>
  <c r="CA71" i="8" s="1"/>
  <c r="CB31" i="8"/>
  <c r="BZ35" i="8"/>
  <c r="CA35" i="8"/>
  <c r="CB35" i="8"/>
  <c r="BZ46" i="8"/>
  <c r="CA46" i="8"/>
  <c r="CB46" i="8"/>
  <c r="BZ53" i="8"/>
  <c r="CA53" i="8"/>
  <c r="CB53" i="8"/>
  <c r="BZ67" i="8"/>
  <c r="CA67" i="8"/>
  <c r="CB67" i="8"/>
  <c r="BZ72" i="8"/>
  <c r="CA72" i="8"/>
  <c r="CB72" i="8"/>
  <c r="BX9" i="10"/>
  <c r="BY9" i="10"/>
  <c r="BZ9" i="10"/>
  <c r="BX15" i="10"/>
  <c r="BY15" i="10"/>
  <c r="BZ15" i="10"/>
  <c r="BX26" i="10"/>
  <c r="BY26" i="10"/>
  <c r="BZ26" i="10"/>
  <c r="BX11" i="17"/>
  <c r="BY11" i="17"/>
  <c r="BZ11" i="17"/>
  <c r="BX12" i="17"/>
  <c r="BY12" i="17"/>
  <c r="BZ12" i="17"/>
  <c r="BX18" i="17"/>
  <c r="BY18" i="17"/>
  <c r="BZ18" i="17"/>
  <c r="BX22" i="17"/>
  <c r="BY22" i="17"/>
  <c r="BZ22" i="17"/>
  <c r="BX26" i="17"/>
  <c r="BY26" i="17"/>
  <c r="BZ26" i="17"/>
  <c r="BX34" i="17"/>
  <c r="BY34" i="17"/>
  <c r="BZ34" i="17"/>
  <c r="BX35" i="17"/>
  <c r="BY35" i="17"/>
  <c r="BZ35" i="17"/>
  <c r="BX36" i="17"/>
  <c r="BY36" i="17"/>
  <c r="BZ36" i="17"/>
  <c r="BZ18" i="9"/>
  <c r="CA18" i="9"/>
  <c r="CB18" i="9"/>
  <c r="CB18" i="7"/>
  <c r="CC18" i="7"/>
  <c r="CD18" i="7"/>
  <c r="CB19" i="7"/>
  <c r="CC19" i="7"/>
  <c r="CD19" i="7"/>
  <c r="CB21" i="7"/>
  <c r="CC21" i="7"/>
  <c r="CD21" i="7"/>
  <c r="CB26" i="7"/>
  <c r="CC26" i="7"/>
  <c r="CD26" i="7"/>
  <c r="CB28" i="7"/>
  <c r="CC28" i="7"/>
  <c r="CD28" i="7"/>
  <c r="CB33" i="7"/>
  <c r="CC33" i="7"/>
  <c r="CD33" i="7"/>
  <c r="CB35" i="7"/>
  <c r="CC35" i="7"/>
  <c r="CD35" i="7"/>
  <c r="CB41" i="7"/>
  <c r="CC41" i="7"/>
  <c r="CD41" i="7"/>
  <c r="CB43" i="7"/>
  <c r="CC43" i="7"/>
  <c r="CD43" i="7"/>
  <c r="CB49" i="7"/>
  <c r="CC49" i="7"/>
  <c r="CD49" i="7"/>
  <c r="CB55" i="7"/>
  <c r="CC55" i="7"/>
  <c r="CD55" i="7"/>
  <c r="CB56" i="7"/>
  <c r="CC56" i="7"/>
  <c r="CD56" i="7"/>
  <c r="CB57" i="7"/>
  <c r="CC57" i="7"/>
  <c r="CD57" i="7"/>
  <c r="CB60" i="7"/>
  <c r="CC60" i="7"/>
  <c r="CD60" i="7"/>
  <c r="A44" i="6" a="1"/>
  <c r="A44" i="6"/>
  <c r="BX39" i="6"/>
  <c r="BY39" i="6"/>
  <c r="BZ39" i="6"/>
  <c r="BX10" i="6"/>
  <c r="BY10" i="6"/>
  <c r="BZ10" i="6"/>
  <c r="BX16" i="6"/>
  <c r="BY16" i="6"/>
  <c r="BZ16" i="6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AU43" i="7"/>
  <c r="AU41" i="7"/>
  <c r="AR5" i="9"/>
  <c r="AK22" i="9"/>
  <c r="AL22" i="9" s="1"/>
  <c r="AM22" i="9" s="1"/>
  <c r="AN22" i="9" s="1"/>
  <c r="AE22" i="9"/>
  <c r="AF22" i="9" s="1"/>
  <c r="AG22" i="9" s="1"/>
  <c r="AH22" i="9" s="1"/>
  <c r="AI22" i="9" s="1"/>
  <c r="BX24" i="8"/>
  <c r="BY24" i="8"/>
  <c r="BX29" i="8"/>
  <c r="BY29" i="8"/>
  <c r="BX30" i="8"/>
  <c r="BY30" i="8"/>
  <c r="BX31" i="8"/>
  <c r="BY31" i="8"/>
  <c r="BX35" i="8"/>
  <c r="BY35" i="8"/>
  <c r="BX46" i="8"/>
  <c r="BX52" i="8" s="1"/>
  <c r="BY46" i="8"/>
  <c r="BY52" i="8" s="1"/>
  <c r="BX67" i="8"/>
  <c r="BY67" i="8"/>
  <c r="BX72" i="8"/>
  <c r="BY72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T24" i="8"/>
  <c r="BU24" i="8"/>
  <c r="BV24" i="8"/>
  <c r="BW24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BR30" i="8"/>
  <c r="BS30" i="8"/>
  <c r="BT30" i="8"/>
  <c r="BU30" i="8"/>
  <c r="BV30" i="8"/>
  <c r="BV52" i="8" s="1"/>
  <c r="BW30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Q52" i="8" s="1"/>
  <c r="BR31" i="8"/>
  <c r="BR52" i="8" s="1"/>
  <c r="BS31" i="8"/>
  <c r="BT31" i="8"/>
  <c r="BU31" i="8"/>
  <c r="BV31" i="8"/>
  <c r="BW31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BK46" i="8"/>
  <c r="BL46" i="8"/>
  <c r="BM46" i="8"/>
  <c r="BN46" i="8"/>
  <c r="BO46" i="8"/>
  <c r="BP46" i="8"/>
  <c r="BQ46" i="8"/>
  <c r="BR46" i="8"/>
  <c r="BS46" i="8"/>
  <c r="BT46" i="8"/>
  <c r="BU46" i="8"/>
  <c r="BV46" i="8"/>
  <c r="BW46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AS72" i="8"/>
  <c r="AT72" i="8"/>
  <c r="AU72" i="8"/>
  <c r="AV72" i="8"/>
  <c r="AW72" i="8"/>
  <c r="AX72" i="8"/>
  <c r="AY72" i="8"/>
  <c r="AZ72" i="8"/>
  <c r="BA72" i="8"/>
  <c r="BB72" i="8"/>
  <c r="BC72" i="8"/>
  <c r="BD72" i="8"/>
  <c r="BE72" i="8"/>
  <c r="BF72" i="8"/>
  <c r="BG72" i="8"/>
  <c r="BH72" i="8"/>
  <c r="BI72" i="8"/>
  <c r="BJ72" i="8"/>
  <c r="BK72" i="8"/>
  <c r="BL72" i="8"/>
  <c r="BM72" i="8"/>
  <c r="BN72" i="8"/>
  <c r="BO72" i="8"/>
  <c r="BP72" i="8"/>
  <c r="BQ72" i="8"/>
  <c r="BR72" i="8"/>
  <c r="BS72" i="8"/>
  <c r="BT72" i="8"/>
  <c r="BU72" i="8"/>
  <c r="BV72" i="8"/>
  <c r="BW72" i="8"/>
  <c r="AL46" i="8"/>
  <c r="AM46" i="8"/>
  <c r="AN46" i="8"/>
  <c r="AO46" i="8"/>
  <c r="AP46" i="8"/>
  <c r="AP52" i="8" s="1"/>
  <c r="AQ46" i="8"/>
  <c r="AQ52" i="8" s="1"/>
  <c r="AR46" i="8"/>
  <c r="BX18" i="9"/>
  <c r="BY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7"/>
  <c r="BY18" i="7"/>
  <c r="BZ18" i="7"/>
  <c r="CA18" i="7"/>
  <c r="BX19" i="7"/>
  <c r="BY19" i="7"/>
  <c r="BZ19" i="7"/>
  <c r="CA19" i="7"/>
  <c r="BX21" i="7"/>
  <c r="BY21" i="7"/>
  <c r="BZ21" i="7"/>
  <c r="CA21" i="7"/>
  <c r="BX26" i="7"/>
  <c r="BY26" i="7"/>
  <c r="BZ26" i="7"/>
  <c r="CA26" i="7"/>
  <c r="BX28" i="7"/>
  <c r="BY28" i="7"/>
  <c r="BZ28" i="7"/>
  <c r="CA28" i="7"/>
  <c r="BX33" i="7"/>
  <c r="BY33" i="7"/>
  <c r="BZ33" i="7"/>
  <c r="CA33" i="7"/>
  <c r="BX35" i="7"/>
  <c r="BY35" i="7"/>
  <c r="BZ35" i="7"/>
  <c r="CA35" i="7"/>
  <c r="BX49" i="7"/>
  <c r="BY49" i="7"/>
  <c r="BZ49" i="7"/>
  <c r="CA49" i="7"/>
  <c r="BX55" i="7"/>
  <c r="BY55" i="7"/>
  <c r="BZ55" i="7"/>
  <c r="CA55" i="7"/>
  <c r="BX56" i="7"/>
  <c r="BY56" i="7"/>
  <c r="BZ56" i="7"/>
  <c r="CA56" i="7"/>
  <c r="BX57" i="7"/>
  <c r="BY57" i="7"/>
  <c r="BZ57" i="7"/>
  <c r="CA57" i="7"/>
  <c r="BX60" i="7"/>
  <c r="BY60" i="7"/>
  <c r="BZ60" i="7"/>
  <c r="CA60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BV57" i="7"/>
  <c r="BW57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G21" i="17"/>
  <c r="BH21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BF26" i="17"/>
  <c r="BG26" i="17"/>
  <c r="BH26" i="17"/>
  <c r="BI26" i="17"/>
  <c r="BJ26" i="17"/>
  <c r="BK26" i="17"/>
  <c r="BL26" i="17"/>
  <c r="BM26" i="17"/>
  <c r="BN26" i="17"/>
  <c r="BO26" i="17"/>
  <c r="BP26" i="17"/>
  <c r="BQ26" i="17"/>
  <c r="BR26" i="17"/>
  <c r="BS26" i="17"/>
  <c r="BT26" i="17"/>
  <c r="BU26" i="17"/>
  <c r="BV26" i="17"/>
  <c r="BW26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AQ17" i="17"/>
  <c r="AR17" i="17"/>
  <c r="AS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BF17" i="17"/>
  <c r="BG17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AQ34" i="17"/>
  <c r="AR34" i="17"/>
  <c r="AS34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BF34" i="17"/>
  <c r="BG34" i="17"/>
  <c r="BH34" i="17"/>
  <c r="BI34" i="17"/>
  <c r="BJ34" i="17"/>
  <c r="BK34" i="17"/>
  <c r="BL34" i="17"/>
  <c r="BM34" i="17"/>
  <c r="BN34" i="17"/>
  <c r="BO34" i="17"/>
  <c r="BP34" i="17"/>
  <c r="BQ34" i="17"/>
  <c r="BR34" i="17"/>
  <c r="BS34" i="17"/>
  <c r="BT34" i="17"/>
  <c r="BU34" i="17"/>
  <c r="BV34" i="17"/>
  <c r="BW34" i="17"/>
  <c r="AQ35" i="17"/>
  <c r="AR35" i="17"/>
  <c r="AS35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BF35" i="17"/>
  <c r="BG35" i="17"/>
  <c r="BH35" i="17"/>
  <c r="BI35" i="17"/>
  <c r="BJ35" i="17"/>
  <c r="BK35" i="17"/>
  <c r="BL35" i="17"/>
  <c r="BM35" i="17"/>
  <c r="BN35" i="17"/>
  <c r="BO35" i="17"/>
  <c r="BP35" i="17"/>
  <c r="BQ35" i="17"/>
  <c r="BR35" i="17"/>
  <c r="BS35" i="17"/>
  <c r="BT35" i="17"/>
  <c r="BU35" i="17"/>
  <c r="BV35" i="17"/>
  <c r="BW35" i="17"/>
  <c r="AQ36" i="17"/>
  <c r="AR36" i="17"/>
  <c r="AS36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BF36" i="17"/>
  <c r="BG36" i="17"/>
  <c r="BH36" i="17"/>
  <c r="BI36" i="17"/>
  <c r="BJ36" i="17"/>
  <c r="BK36" i="17"/>
  <c r="BL36" i="17"/>
  <c r="BM36" i="17"/>
  <c r="BN36" i="17"/>
  <c r="BO36" i="17"/>
  <c r="BP36" i="17"/>
  <c r="BQ36" i="17"/>
  <c r="BR36" i="17"/>
  <c r="BS36" i="17"/>
  <c r="BT36" i="17"/>
  <c r="BU36" i="17"/>
  <c r="BV36" i="17"/>
  <c r="BW36" i="17"/>
  <c r="BR9" i="10"/>
  <c r="BR26" i="10" s="1"/>
  <c r="BS9" i="10"/>
  <c r="BT9" i="10" s="1"/>
  <c r="BR15" i="10"/>
  <c r="BS15" i="10"/>
  <c r="BT15" i="10"/>
  <c r="BU15" i="10"/>
  <c r="BV15" i="10"/>
  <c r="BW15" i="10"/>
  <c r="AQ9" i="10"/>
  <c r="AR9" i="10"/>
  <c r="AS9" i="10"/>
  <c r="AT9" i="10"/>
  <c r="AU9" i="10"/>
  <c r="AV9" i="10" s="1"/>
  <c r="AQ15" i="10"/>
  <c r="AQ7" i="10" s="1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AQ26" i="10"/>
  <c r="AR26" i="10"/>
  <c r="AS26" i="10"/>
  <c r="AT26" i="10"/>
  <c r="AU26" i="10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AP24" i="6"/>
  <c r="AR24" i="8"/>
  <c r="AR29" i="8"/>
  <c r="AR30" i="8"/>
  <c r="AR31" i="8"/>
  <c r="AR35" i="8"/>
  <c r="AR40" i="8"/>
  <c r="AR67" i="8"/>
  <c r="AR72" i="8"/>
  <c r="AP24" i="8"/>
  <c r="AQ24" i="8"/>
  <c r="AP29" i="8"/>
  <c r="AQ29" i="8"/>
  <c r="AP30" i="8"/>
  <c r="AQ30" i="8"/>
  <c r="AP31" i="8"/>
  <c r="AQ31" i="8"/>
  <c r="AP35" i="8"/>
  <c r="AQ35" i="8"/>
  <c r="AP40" i="8"/>
  <c r="AQ40" i="8"/>
  <c r="AP67" i="8"/>
  <c r="AQ67" i="8"/>
  <c r="AP72" i="8"/>
  <c r="AQ72" i="8"/>
  <c r="AT18" i="7"/>
  <c r="AT19" i="7"/>
  <c r="AT21" i="7"/>
  <c r="AT26" i="7"/>
  <c r="AT28" i="7"/>
  <c r="AT33" i="7"/>
  <c r="AT35" i="7"/>
  <c r="AT49" i="7"/>
  <c r="AT55" i="7"/>
  <c r="AT56" i="7"/>
  <c r="AT57" i="7"/>
  <c r="AT60" i="7"/>
  <c r="AR18" i="7"/>
  <c r="AS18" i="7"/>
  <c r="AR19" i="7"/>
  <c r="AS19" i="7"/>
  <c r="AR21" i="7"/>
  <c r="AS21" i="7"/>
  <c r="AR26" i="7"/>
  <c r="AS26" i="7"/>
  <c r="AR28" i="7"/>
  <c r="AS28" i="7"/>
  <c r="AR33" i="7"/>
  <c r="AS33" i="7"/>
  <c r="AR35" i="7"/>
  <c r="AS35" i="7"/>
  <c r="AR49" i="7"/>
  <c r="AS49" i="7"/>
  <c r="AR55" i="7"/>
  <c r="AS55" i="7"/>
  <c r="AR56" i="7"/>
  <c r="AS56" i="7"/>
  <c r="AR57" i="7"/>
  <c r="AS57" i="7"/>
  <c r="AR60" i="7"/>
  <c r="AS60" i="7"/>
  <c r="AO11" i="17"/>
  <c r="AP11" i="17"/>
  <c r="AO12" i="17"/>
  <c r="AP12" i="17"/>
  <c r="AO14" i="17"/>
  <c r="AP14" i="17"/>
  <c r="AO17" i="17"/>
  <c r="AP17" i="17"/>
  <c r="AO18" i="17"/>
  <c r="AP18" i="17"/>
  <c r="AO34" i="17"/>
  <c r="AP34" i="17"/>
  <c r="AO35" i="17"/>
  <c r="AP35" i="17"/>
  <c r="AO36" i="17"/>
  <c r="AP36" i="17"/>
  <c r="AN15" i="10"/>
  <c r="AO15" i="10"/>
  <c r="AP15" i="10"/>
  <c r="AN15" i="6"/>
  <c r="AO15" i="6"/>
  <c r="AP15" i="6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AN16" i="6"/>
  <c r="AO16" i="6"/>
  <c r="AP16" i="6"/>
  <c r="AN24" i="6"/>
  <c r="AO24" i="6"/>
  <c r="AN28" i="6"/>
  <c r="AN39" i="6"/>
  <c r="AO39" i="6"/>
  <c r="AP39" i="6"/>
  <c r="AP18" i="9"/>
  <c r="AQ18" i="9"/>
  <c r="AR18" i="9"/>
  <c r="AY36" i="9"/>
  <c r="AO18" i="7"/>
  <c r="AP18" i="7"/>
  <c r="AQ18" i="7"/>
  <c r="AO19" i="7"/>
  <c r="AP19" i="7"/>
  <c r="AQ19" i="7"/>
  <c r="AO21" i="7"/>
  <c r="AP21" i="7"/>
  <c r="AQ21" i="7"/>
  <c r="AO26" i="7"/>
  <c r="AP26" i="7"/>
  <c r="AQ26" i="7"/>
  <c r="AO28" i="7"/>
  <c r="AP28" i="7"/>
  <c r="AQ28" i="7"/>
  <c r="AO33" i="7"/>
  <c r="AP33" i="7"/>
  <c r="AQ33" i="7"/>
  <c r="AO35" i="7"/>
  <c r="AP35" i="7"/>
  <c r="AQ35" i="7"/>
  <c r="AO49" i="7"/>
  <c r="AP49" i="7"/>
  <c r="AQ49" i="7"/>
  <c r="AO55" i="7"/>
  <c r="AP55" i="7"/>
  <c r="AQ55" i="7"/>
  <c r="AO56" i="7"/>
  <c r="AP56" i="7"/>
  <c r="AQ56" i="7"/>
  <c r="AO57" i="7"/>
  <c r="AP57" i="7"/>
  <c r="AQ57" i="7"/>
  <c r="AO60" i="7"/>
  <c r="AP60" i="7"/>
  <c r="AQ60" i="7"/>
  <c r="AM18" i="9"/>
  <c r="AN18" i="9"/>
  <c r="AO18" i="9"/>
  <c r="AN11" i="17"/>
  <c r="AN12" i="17"/>
  <c r="AN14" i="17"/>
  <c r="AN17" i="17"/>
  <c r="AN18" i="17"/>
  <c r="AN34" i="17"/>
  <c r="AN35" i="17"/>
  <c r="AN36" i="17"/>
  <c r="AK11" i="17"/>
  <c r="AL11" i="17"/>
  <c r="AM11" i="17"/>
  <c r="AK12" i="17"/>
  <c r="AL12" i="17"/>
  <c r="AM12" i="17"/>
  <c r="AK14" i="17"/>
  <c r="AL14" i="17"/>
  <c r="AM14" i="17"/>
  <c r="AK17" i="17"/>
  <c r="AL17" i="17"/>
  <c r="AM17" i="17"/>
  <c r="AK18" i="17"/>
  <c r="AL18" i="17"/>
  <c r="AM18" i="17"/>
  <c r="AK21" i="17"/>
  <c r="AK22" i="17"/>
  <c r="AK26" i="17"/>
  <c r="AK34" i="17"/>
  <c r="AL34" i="17"/>
  <c r="AM34" i="17"/>
  <c r="AK35" i="17"/>
  <c r="AL35" i="17"/>
  <c r="AM35" i="17"/>
  <c r="AK36" i="17"/>
  <c r="AL36" i="17"/>
  <c r="AM36" i="17"/>
  <c r="A29" i="10" a="1"/>
  <c r="A29" i="10" s="1"/>
  <c r="AK18" i="6"/>
  <c r="AK44" i="6" s="1"/>
  <c r="AK5" i="6"/>
  <c r="AM28" i="6"/>
  <c r="AL28" i="6"/>
  <c r="AK28" i="6"/>
  <c r="A47" i="17" a="1"/>
  <c r="A47" i="17" s="1"/>
  <c r="O17" i="2"/>
  <c r="AL39" i="6"/>
  <c r="AM39" i="6"/>
  <c r="AK39" i="6"/>
  <c r="AK16" i="6"/>
  <c r="AL16" i="6"/>
  <c r="AM16" i="6"/>
  <c r="AK24" i="6"/>
  <c r="AL24" i="6"/>
  <c r="AM24" i="6"/>
  <c r="AK10" i="6"/>
  <c r="AL10" i="6"/>
  <c r="AM10" i="6"/>
  <c r="AL5" i="7"/>
  <c r="AK15" i="10"/>
  <c r="AL15" i="10"/>
  <c r="AM15" i="10"/>
  <c r="AG79" i="8"/>
  <c r="AH67" i="8"/>
  <c r="AH79" i="8" s="1"/>
  <c r="AI67" i="8"/>
  <c r="AI79" i="8" s="1"/>
  <c r="AJ67" i="8"/>
  <c r="AJ79" i="8" s="1"/>
  <c r="AK67" i="8"/>
  <c r="AK79" i="8" s="1"/>
  <c r="AL67" i="8"/>
  <c r="AL79" i="8" s="1"/>
  <c r="AM67" i="8"/>
  <c r="AN67" i="8"/>
  <c r="AN68" i="8" s="1"/>
  <c r="AO67" i="8"/>
  <c r="AO68" i="8" s="1"/>
  <c r="AI68" i="8"/>
  <c r="AJ68" i="8"/>
  <c r="AK68" i="8"/>
  <c r="AL68" i="8"/>
  <c r="AM68" i="8"/>
  <c r="AG67" i="8"/>
  <c r="AG68" i="8" s="1"/>
  <c r="AG72" i="8"/>
  <c r="AH72" i="8"/>
  <c r="AI72" i="8"/>
  <c r="AH18" i="6"/>
  <c r="Z15" i="6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Z16" i="6"/>
  <c r="AA16" i="6"/>
  <c r="AB16" i="6"/>
  <c r="AC16" i="6"/>
  <c r="AD16" i="6"/>
  <c r="AE16" i="6"/>
  <c r="AF16" i="6"/>
  <c r="AG16" i="6"/>
  <c r="AH16" i="6"/>
  <c r="AI16" i="6"/>
  <c r="AJ16" i="6"/>
  <c r="Y16" i="6"/>
  <c r="AH24" i="6"/>
  <c r="AI24" i="6"/>
  <c r="AJ24" i="6"/>
  <c r="AH10" i="6"/>
  <c r="AI10" i="6"/>
  <c r="AJ10" i="6"/>
  <c r="AL18" i="9"/>
  <c r="AJ18" i="9"/>
  <c r="AK18" i="9"/>
  <c r="AL18" i="7"/>
  <c r="AM18" i="7"/>
  <c r="AN18" i="7"/>
  <c r="AL19" i="7"/>
  <c r="AM19" i="7"/>
  <c r="AN19" i="7"/>
  <c r="AL21" i="7"/>
  <c r="AM21" i="7"/>
  <c r="AN21" i="7"/>
  <c r="AL26" i="7"/>
  <c r="AM26" i="7"/>
  <c r="AN26" i="7"/>
  <c r="AL28" i="7"/>
  <c r="AM28" i="7"/>
  <c r="AN28" i="7"/>
  <c r="AL33" i="7"/>
  <c r="AM33" i="7"/>
  <c r="AN33" i="7"/>
  <c r="AL35" i="7"/>
  <c r="AM35" i="7"/>
  <c r="AN35" i="7"/>
  <c r="AL49" i="7"/>
  <c r="AM49" i="7"/>
  <c r="AN49" i="7"/>
  <c r="AL55" i="7"/>
  <c r="AM55" i="7"/>
  <c r="AN55" i="7"/>
  <c r="AL56" i="7"/>
  <c r="AM56" i="7"/>
  <c r="AN56" i="7"/>
  <c r="AL57" i="7"/>
  <c r="AM57" i="7"/>
  <c r="AN57" i="7"/>
  <c r="AL60" i="7"/>
  <c r="AM60" i="7"/>
  <c r="AN60" i="7"/>
  <c r="AI11" i="17"/>
  <c r="AJ11" i="17"/>
  <c r="AI12" i="17"/>
  <c r="AJ12" i="17"/>
  <c r="AI14" i="17"/>
  <c r="AJ14" i="17"/>
  <c r="AI17" i="17"/>
  <c r="AJ17" i="17"/>
  <c r="AI18" i="17"/>
  <c r="AJ18" i="17"/>
  <c r="AI21" i="17"/>
  <c r="AJ21" i="17"/>
  <c r="AI22" i="17"/>
  <c r="AJ22" i="17"/>
  <c r="AI26" i="17"/>
  <c r="AJ26" i="17"/>
  <c r="AI34" i="17"/>
  <c r="AJ34" i="17"/>
  <c r="AI35" i="17"/>
  <c r="AJ35" i="17"/>
  <c r="AI36" i="17"/>
  <c r="AJ36" i="17"/>
  <c r="AH15" i="10"/>
  <c r="AI15" i="10"/>
  <c r="AJ15" i="10"/>
  <c r="AE5" i="10"/>
  <c r="AM24" i="8"/>
  <c r="AN24" i="8"/>
  <c r="AO24" i="8"/>
  <c r="AM29" i="8"/>
  <c r="AN29" i="8"/>
  <c r="AO29" i="8"/>
  <c r="AM30" i="8"/>
  <c r="AN30" i="8"/>
  <c r="AO30" i="8"/>
  <c r="AM31" i="8"/>
  <c r="AN31" i="8"/>
  <c r="AO31" i="8"/>
  <c r="AM35" i="8"/>
  <c r="AN35" i="8"/>
  <c r="AO35" i="8"/>
  <c r="AM40" i="8"/>
  <c r="AN40" i="8"/>
  <c r="AO40" i="8"/>
  <c r="AM72" i="8"/>
  <c r="AN72" i="8"/>
  <c r="AO72" i="8"/>
  <c r="AJ5" i="8"/>
  <c r="AK72" i="8"/>
  <c r="AL72" i="8"/>
  <c r="AJ72" i="8"/>
  <c r="AF25" i="17"/>
  <c r="AE25" i="17"/>
  <c r="AF11" i="17"/>
  <c r="AG11" i="17"/>
  <c r="AH11" i="17"/>
  <c r="AF12" i="17"/>
  <c r="AG12" i="17"/>
  <c r="AH12" i="17"/>
  <c r="AF14" i="17"/>
  <c r="AG14" i="17"/>
  <c r="AH14" i="17"/>
  <c r="AF17" i="17"/>
  <c r="AG17" i="17"/>
  <c r="AH17" i="17"/>
  <c r="AF18" i="17"/>
  <c r="AG18" i="17"/>
  <c r="AH18" i="17"/>
  <c r="AF21" i="17"/>
  <c r="AG21" i="17"/>
  <c r="AH21" i="17"/>
  <c r="AF22" i="17"/>
  <c r="AG22" i="17"/>
  <c r="AH22" i="17"/>
  <c r="AF26" i="17"/>
  <c r="AG26" i="17"/>
  <c r="AH26" i="17"/>
  <c r="AJ24" i="8"/>
  <c r="AK24" i="8"/>
  <c r="AL24" i="8"/>
  <c r="AJ29" i="8"/>
  <c r="AK29" i="8"/>
  <c r="AL29" i="8"/>
  <c r="AJ30" i="8"/>
  <c r="AK30" i="8"/>
  <c r="AL30" i="8"/>
  <c r="AJ31" i="8"/>
  <c r="AK31" i="8"/>
  <c r="AL31" i="8"/>
  <c r="AJ35" i="8"/>
  <c r="AK35" i="8"/>
  <c r="AL35" i="8"/>
  <c r="AJ37" i="8"/>
  <c r="AK37" i="8"/>
  <c r="AJ40" i="8"/>
  <c r="AK40" i="8"/>
  <c r="AL40" i="8"/>
  <c r="AJ46" i="8"/>
  <c r="AK46" i="8"/>
  <c r="AH34" i="7"/>
  <c r="AG34" i="7"/>
  <c r="AF34" i="7"/>
  <c r="AH27" i="7"/>
  <c r="AG27" i="7"/>
  <c r="AF27" i="7"/>
  <c r="AF20" i="7"/>
  <c r="AG20" i="7"/>
  <c r="AH20" i="7"/>
  <c r="AC14" i="17"/>
  <c r="AD14" i="17"/>
  <c r="AC15" i="17"/>
  <c r="AD15" i="17"/>
  <c r="AC17" i="17"/>
  <c r="AD17" i="17"/>
  <c r="AC18" i="17"/>
  <c r="AD18" i="17"/>
  <c r="AC19" i="17"/>
  <c r="AD19" i="17"/>
  <c r="AC21" i="17"/>
  <c r="AD21" i="17"/>
  <c r="AC22" i="17"/>
  <c r="AD22" i="17"/>
  <c r="AC23" i="17"/>
  <c r="AD23" i="17"/>
  <c r="AC25" i="17"/>
  <c r="AD25" i="17"/>
  <c r="AC26" i="17"/>
  <c r="AD26" i="17"/>
  <c r="AC27" i="17"/>
  <c r="AD27" i="17"/>
  <c r="AD80" i="8"/>
  <c r="AB31" i="10"/>
  <c r="AB5" i="10"/>
  <c r="AG18" i="9"/>
  <c r="AH18" i="9"/>
  <c r="AI18" i="9"/>
  <c r="AE24" i="6"/>
  <c r="AF24" i="6"/>
  <c r="AG24" i="6"/>
  <c r="AE28" i="6"/>
  <c r="AF28" i="6"/>
  <c r="AG28" i="6"/>
  <c r="AE10" i="6"/>
  <c r="AF10" i="6"/>
  <c r="AG10" i="6"/>
  <c r="AE15" i="10"/>
  <c r="AF15" i="10"/>
  <c r="AG15" i="10"/>
  <c r="AF18" i="7"/>
  <c r="AG18" i="7"/>
  <c r="AH18" i="7"/>
  <c r="AI18" i="7"/>
  <c r="AJ18" i="7"/>
  <c r="AF19" i="7"/>
  <c r="AG19" i="7"/>
  <c r="AH19" i="7"/>
  <c r="AI19" i="7"/>
  <c r="AJ19" i="7"/>
  <c r="AF21" i="7"/>
  <c r="AG21" i="7"/>
  <c r="AH21" i="7"/>
  <c r="AI21" i="7"/>
  <c r="AJ21" i="7"/>
  <c r="AF26" i="7"/>
  <c r="AG26" i="7"/>
  <c r="AH26" i="7"/>
  <c r="AI26" i="7"/>
  <c r="AJ26" i="7"/>
  <c r="AF28" i="7"/>
  <c r="AG28" i="7"/>
  <c r="AH28" i="7"/>
  <c r="AI28" i="7"/>
  <c r="AJ28" i="7"/>
  <c r="AF33" i="7"/>
  <c r="AG33" i="7"/>
  <c r="AH33" i="7"/>
  <c r="AI33" i="7"/>
  <c r="AJ33" i="7"/>
  <c r="AF35" i="7"/>
  <c r="AG35" i="7"/>
  <c r="AH35" i="7"/>
  <c r="AI35" i="7"/>
  <c r="AJ35" i="7"/>
  <c r="AF49" i="7"/>
  <c r="AG49" i="7"/>
  <c r="AH49" i="7"/>
  <c r="AI49" i="7"/>
  <c r="AJ49" i="7"/>
  <c r="AC11" i="17"/>
  <c r="AD11" i="17"/>
  <c r="AE11" i="17"/>
  <c r="AC12" i="17"/>
  <c r="AD12" i="17"/>
  <c r="AE12" i="17"/>
  <c r="AE14" i="17"/>
  <c r="AE17" i="17"/>
  <c r="AE18" i="17"/>
  <c r="AE21" i="17"/>
  <c r="AE22" i="17"/>
  <c r="AE26" i="17"/>
  <c r="C14" i="9"/>
  <c r="AF5" i="7"/>
  <c r="AI55" i="7"/>
  <c r="AJ55" i="7"/>
  <c r="AK55" i="7"/>
  <c r="AI56" i="7"/>
  <c r="AJ56" i="7"/>
  <c r="AK56" i="7"/>
  <c r="AI57" i="7"/>
  <c r="AJ57" i="7"/>
  <c r="AK57" i="7"/>
  <c r="AI60" i="7"/>
  <c r="AJ60" i="7"/>
  <c r="AK60" i="7"/>
  <c r="AK18" i="7"/>
  <c r="AK19" i="7"/>
  <c r="AK21" i="7"/>
  <c r="AK26" i="7"/>
  <c r="AK28" i="7"/>
  <c r="AK33" i="7"/>
  <c r="AK35" i="7"/>
  <c r="AK49" i="7"/>
  <c r="AC60" i="7"/>
  <c r="AD60" i="7"/>
  <c r="AE60" i="7"/>
  <c r="AF68" i="7"/>
  <c r="V5" i="7"/>
  <c r="N17" i="2"/>
  <c r="AH34" i="17"/>
  <c r="AH35" i="17"/>
  <c r="AH36" i="17"/>
  <c r="AA5" i="8"/>
  <c r="AB53" i="8"/>
  <c r="AC53" i="8" s="1"/>
  <c r="AD53" i="8" s="1"/>
  <c r="AE53" i="8" s="1"/>
  <c r="AF53" i="8" s="1"/>
  <c r="AG53" i="8" s="1"/>
  <c r="AH53" i="8" s="1"/>
  <c r="AI53" i="8" s="1"/>
  <c r="AJ53" i="8" s="1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AV53" i="8" s="1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BH53" i="8" s="1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BT53" i="8" s="1"/>
  <c r="BU53" i="8" s="1"/>
  <c r="BV53" i="8" s="1"/>
  <c r="BW53" i="8" s="1"/>
  <c r="BX53" i="8" s="1"/>
  <c r="BY53" i="8" s="1"/>
  <c r="AG21" i="8"/>
  <c r="AH21" i="8"/>
  <c r="AI21" i="8"/>
  <c r="AG24" i="8"/>
  <c r="AH24" i="8"/>
  <c r="AI24" i="8"/>
  <c r="AG29" i="8"/>
  <c r="AH29" i="8"/>
  <c r="AI29" i="8"/>
  <c r="AG30" i="8"/>
  <c r="AH30" i="8"/>
  <c r="AI30" i="8"/>
  <c r="AG31" i="8"/>
  <c r="AH31" i="8"/>
  <c r="AI31" i="8"/>
  <c r="AG33" i="8"/>
  <c r="AG37" i="8" s="1"/>
  <c r="AH33" i="8"/>
  <c r="AH37" i="8" s="1"/>
  <c r="AI33" i="8"/>
  <c r="AG34" i="8"/>
  <c r="AH34" i="8"/>
  <c r="AI34" i="8"/>
  <c r="AG35" i="8"/>
  <c r="AH35" i="8"/>
  <c r="AI35" i="8"/>
  <c r="AG40" i="8"/>
  <c r="AH40" i="8"/>
  <c r="AI40" i="8"/>
  <c r="AG41" i="8"/>
  <c r="AH41" i="8"/>
  <c r="AI41" i="8"/>
  <c r="AG46" i="8"/>
  <c r="AH46" i="8"/>
  <c r="AI46" i="8"/>
  <c r="AG47" i="8"/>
  <c r="AH47" i="8"/>
  <c r="AI47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A46" i="8"/>
  <c r="AB46" i="8"/>
  <c r="AC46" i="8"/>
  <c r="AD46" i="8"/>
  <c r="AE46" i="8"/>
  <c r="AF46" i="8"/>
  <c r="AA47" i="8"/>
  <c r="AB47" i="8"/>
  <c r="AC47" i="8"/>
  <c r="AD47" i="8"/>
  <c r="AE47" i="8"/>
  <c r="AF47" i="8"/>
  <c r="O40" i="8"/>
  <c r="AA34" i="8"/>
  <c r="AB34" i="8"/>
  <c r="AC34" i="8"/>
  <c r="AA35" i="8"/>
  <c r="AB35" i="8"/>
  <c r="AC35" i="8"/>
  <c r="AA31" i="8"/>
  <c r="AB31" i="8"/>
  <c r="AC31" i="8"/>
  <c r="AF34" i="8"/>
  <c r="AE34" i="8"/>
  <c r="AD34" i="8"/>
  <c r="AF31" i="8"/>
  <c r="AE31" i="8"/>
  <c r="AD31" i="8"/>
  <c r="AE34" i="17"/>
  <c r="AF34" i="17"/>
  <c r="AG34" i="17"/>
  <c r="AE35" i="17"/>
  <c r="AF35" i="17"/>
  <c r="AG35" i="17"/>
  <c r="AE36" i="17"/>
  <c r="AF36" i="17"/>
  <c r="AG36" i="17"/>
  <c r="AE53" i="17"/>
  <c r="AF53" i="17"/>
  <c r="AG53" i="17"/>
  <c r="Y53" i="17"/>
  <c r="Z53" i="17"/>
  <c r="AA53" i="17"/>
  <c r="AC53" i="17"/>
  <c r="AD53" i="17"/>
  <c r="AB53" i="17"/>
  <c r="Y25" i="17"/>
  <c r="Z25" i="17"/>
  <c r="AA25" i="17"/>
  <c r="Y26" i="17"/>
  <c r="Z26" i="17"/>
  <c r="AA26" i="17"/>
  <c r="Y27" i="17"/>
  <c r="Z27" i="17"/>
  <c r="AA27" i="17"/>
  <c r="AB25" i="17"/>
  <c r="Y5" i="17"/>
  <c r="AB27" i="17"/>
  <c r="AB26" i="17"/>
  <c r="AG60" i="7"/>
  <c r="AH60" i="7"/>
  <c r="AF60" i="7"/>
  <c r="AE5" i="7"/>
  <c r="Y45" i="6"/>
  <c r="A68" i="6"/>
  <c r="A67" i="6" s="1"/>
  <c r="Z14" i="6" s="1"/>
  <c r="N14" i="10"/>
  <c r="O14" i="10"/>
  <c r="P14" i="10"/>
  <c r="Q14" i="10"/>
  <c r="R14" i="10"/>
  <c r="S14" i="10"/>
  <c r="T14" i="10"/>
  <c r="U14" i="10"/>
  <c r="V14" i="10"/>
  <c r="W14" i="10"/>
  <c r="X14" i="10"/>
  <c r="M14" i="10"/>
  <c r="F14" i="10"/>
  <c r="G14" i="10"/>
  <c r="H14" i="10"/>
  <c r="I14" i="10"/>
  <c r="J14" i="10"/>
  <c r="K14" i="10"/>
  <c r="L14" i="10"/>
  <c r="E14" i="10"/>
  <c r="AD21" i="8"/>
  <c r="AE21" i="8"/>
  <c r="AF21" i="8"/>
  <c r="AD24" i="8"/>
  <c r="AE24" i="8"/>
  <c r="AF24" i="8"/>
  <c r="AD29" i="8"/>
  <c r="AE29" i="8"/>
  <c r="AF29" i="8"/>
  <c r="AD30" i="8"/>
  <c r="AE30" i="8"/>
  <c r="AF30" i="8"/>
  <c r="AD33" i="8"/>
  <c r="AD37" i="8" s="1"/>
  <c r="AE33" i="8"/>
  <c r="AE37" i="8" s="1"/>
  <c r="AF33" i="8"/>
  <c r="AF37" i="8" s="1"/>
  <c r="AD35" i="8"/>
  <c r="AE35" i="8"/>
  <c r="AF35" i="8"/>
  <c r="AD18" i="9"/>
  <c r="AE18" i="9"/>
  <c r="AF18" i="9"/>
  <c r="AF55" i="7"/>
  <c r="AG55" i="7"/>
  <c r="AH55" i="7"/>
  <c r="AF56" i="7"/>
  <c r="AG56" i="7"/>
  <c r="AH56" i="7"/>
  <c r="AF57" i="7"/>
  <c r="AG57" i="7"/>
  <c r="AH57" i="7"/>
  <c r="AB15" i="10"/>
  <c r="AC15" i="10"/>
  <c r="AD15" i="10"/>
  <c r="AB24" i="6"/>
  <c r="AC24" i="6"/>
  <c r="AD24" i="6"/>
  <c r="AB28" i="6"/>
  <c r="AC28" i="6"/>
  <c r="AD28" i="6"/>
  <c r="AB10" i="6"/>
  <c r="AC10" i="6"/>
  <c r="AD10" i="6"/>
  <c r="AB11" i="17"/>
  <c r="AB12" i="17"/>
  <c r="AB14" i="17"/>
  <c r="AB15" i="17"/>
  <c r="AB17" i="17"/>
  <c r="AB18" i="17"/>
  <c r="AB19" i="17"/>
  <c r="AB21" i="17"/>
  <c r="AB22" i="17"/>
  <c r="AB23" i="17"/>
  <c r="AB31" i="17"/>
  <c r="AC31" i="17"/>
  <c r="AD31" i="17"/>
  <c r="AB34" i="17"/>
  <c r="AC34" i="17"/>
  <c r="AD34" i="17"/>
  <c r="AB35" i="17"/>
  <c r="AC35" i="17"/>
  <c r="AD35" i="17"/>
  <c r="AB36" i="17"/>
  <c r="AC36" i="17"/>
  <c r="AD36" i="17"/>
  <c r="Y44" i="6"/>
  <c r="Z10" i="6"/>
  <c r="AA10" i="6"/>
  <c r="Y10" i="6"/>
  <c r="W1" i="2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Y15" i="10"/>
  <c r="Z15" i="10"/>
  <c r="AA15" i="10"/>
  <c r="Y24" i="6"/>
  <c r="Z24" i="6"/>
  <c r="AA24" i="6"/>
  <c r="Y28" i="6"/>
  <c r="Z28" i="6"/>
  <c r="AA28" i="6"/>
  <c r="AA21" i="8"/>
  <c r="AB21" i="8"/>
  <c r="AC21" i="8"/>
  <c r="AA24" i="8"/>
  <c r="AB24" i="8"/>
  <c r="AC24" i="8"/>
  <c r="AA29" i="8"/>
  <c r="AB29" i="8"/>
  <c r="AC29" i="8"/>
  <c r="AA30" i="8"/>
  <c r="AB30" i="8"/>
  <c r="AC30" i="8"/>
  <c r="AA33" i="8"/>
  <c r="AA37" i="8" s="1"/>
  <c r="AB33" i="8"/>
  <c r="AB37" i="8" s="1"/>
  <c r="AC33" i="8"/>
  <c r="AC37" i="8" s="1"/>
  <c r="AA18" i="9"/>
  <c r="AB18" i="9"/>
  <c r="AC18" i="9"/>
  <c r="Y11" i="17"/>
  <c r="Z11" i="17"/>
  <c r="AA11" i="17"/>
  <c r="Y12" i="17"/>
  <c r="Z12" i="17"/>
  <c r="AA12" i="17"/>
  <c r="Y14" i="17"/>
  <c r="Z14" i="17"/>
  <c r="AA14" i="17"/>
  <c r="Y15" i="17"/>
  <c r="Z15" i="17"/>
  <c r="AA15" i="17"/>
  <c r="Y17" i="17"/>
  <c r="Z17" i="17"/>
  <c r="AA17" i="17"/>
  <c r="Y18" i="17"/>
  <c r="Z18" i="17"/>
  <c r="AA18" i="17"/>
  <c r="Y19" i="17"/>
  <c r="Z19" i="17"/>
  <c r="AA19" i="17"/>
  <c r="Y21" i="17"/>
  <c r="Z21" i="17"/>
  <c r="AA21" i="17"/>
  <c r="Y22" i="17"/>
  <c r="Z22" i="17"/>
  <c r="AA22" i="17"/>
  <c r="Y23" i="17"/>
  <c r="Z23" i="17"/>
  <c r="AA23" i="17"/>
  <c r="Y31" i="17"/>
  <c r="Z31" i="17"/>
  <c r="AA31" i="17"/>
  <c r="Y34" i="17"/>
  <c r="Z34" i="17"/>
  <c r="AA34" i="17"/>
  <c r="Y35" i="17"/>
  <c r="Z35" i="17"/>
  <c r="AA35" i="17"/>
  <c r="Y36" i="17"/>
  <c r="Z36" i="17"/>
  <c r="AA36" i="17"/>
  <c r="AC18" i="7"/>
  <c r="AD18" i="7"/>
  <c r="AE18" i="7"/>
  <c r="AC19" i="7"/>
  <c r="AD19" i="7"/>
  <c r="AE19" i="7"/>
  <c r="AC20" i="7"/>
  <c r="AD20" i="7"/>
  <c r="AE20" i="7"/>
  <c r="AC21" i="7"/>
  <c r="AD21" i="7"/>
  <c r="AE21" i="7"/>
  <c r="AC26" i="7"/>
  <c r="AD26" i="7"/>
  <c r="AE26" i="7"/>
  <c r="AC27" i="7"/>
  <c r="AD27" i="7"/>
  <c r="AE27" i="7"/>
  <c r="AC28" i="7"/>
  <c r="AD28" i="7"/>
  <c r="AE28" i="7"/>
  <c r="AC33" i="7"/>
  <c r="AD33" i="7"/>
  <c r="AE33" i="7"/>
  <c r="AC34" i="7"/>
  <c r="AD34" i="7"/>
  <c r="AE34" i="7"/>
  <c r="AC35" i="7"/>
  <c r="AD35" i="7"/>
  <c r="AE35" i="7"/>
  <c r="AC49" i="7"/>
  <c r="AD49" i="7"/>
  <c r="AE49" i="7"/>
  <c r="AC55" i="7"/>
  <c r="AD55" i="7"/>
  <c r="AE55" i="7"/>
  <c r="AC56" i="7"/>
  <c r="AD56" i="7"/>
  <c r="AE56" i="7"/>
  <c r="AC57" i="7"/>
  <c r="AD57" i="7"/>
  <c r="AE57" i="7"/>
  <c r="AA19" i="7"/>
  <c r="AB19" i="7"/>
  <c r="Z19" i="7"/>
  <c r="AA20" i="7"/>
  <c r="AB20" i="7"/>
  <c r="Z20" i="7"/>
  <c r="T14" i="17"/>
  <c r="U14" i="17"/>
  <c r="V14" i="17"/>
  <c r="W14" i="17"/>
  <c r="X14" i="17"/>
  <c r="S14" i="17"/>
  <c r="S17" i="17"/>
  <c r="S15" i="17"/>
  <c r="T15" i="17"/>
  <c r="U15" i="17"/>
  <c r="V15" i="17"/>
  <c r="W15" i="17"/>
  <c r="X15" i="17"/>
  <c r="V29" i="8"/>
  <c r="W29" i="8"/>
  <c r="X29" i="8"/>
  <c r="Y29" i="8"/>
  <c r="Z29" i="8"/>
  <c r="V30" i="8"/>
  <c r="W30" i="8"/>
  <c r="X30" i="8"/>
  <c r="Y30" i="8"/>
  <c r="Z30" i="8"/>
  <c r="U30" i="8"/>
  <c r="U29" i="8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I18" i="9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H18" i="7"/>
  <c r="I18" i="7"/>
  <c r="J18" i="7"/>
  <c r="J70" i="7" s="1"/>
  <c r="K18" i="7"/>
  <c r="L18" i="7"/>
  <c r="L70" i="7" s="1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E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X15" i="10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X35" i="17"/>
  <c r="D35" i="17"/>
  <c r="E35" i="17"/>
  <c r="F35" i="17"/>
  <c r="D34" i="17"/>
  <c r="E34" i="17"/>
  <c r="F34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T17" i="17"/>
  <c r="U17" i="17"/>
  <c r="V17" i="17"/>
  <c r="W17" i="17"/>
  <c r="X17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X24" i="6"/>
  <c r="M29" i="8"/>
  <c r="N29" i="8"/>
  <c r="O29" i="8"/>
  <c r="P29" i="8"/>
  <c r="Q29" i="8"/>
  <c r="R29" i="8"/>
  <c r="S29" i="8"/>
  <c r="T29" i="8"/>
  <c r="M30" i="8"/>
  <c r="N30" i="8"/>
  <c r="O30" i="8"/>
  <c r="P30" i="8"/>
  <c r="Q30" i="8"/>
  <c r="R30" i="8"/>
  <c r="S30" i="8"/>
  <c r="T30" i="8"/>
  <c r="L29" i="8"/>
  <c r="L30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F24" i="8"/>
  <c r="G24" i="8"/>
  <c r="H24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L35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L33" i="8"/>
  <c r="Q56" i="7"/>
  <c r="R56" i="7"/>
  <c r="S56" i="7"/>
  <c r="T56" i="7"/>
  <c r="U56" i="7"/>
  <c r="V56" i="7"/>
  <c r="W56" i="7"/>
  <c r="X56" i="7"/>
  <c r="Y56" i="7"/>
  <c r="Z56" i="7"/>
  <c r="AA56" i="7"/>
  <c r="AB56" i="7"/>
  <c r="Q57" i="7"/>
  <c r="R57" i="7"/>
  <c r="S57" i="7"/>
  <c r="T57" i="7"/>
  <c r="U57" i="7"/>
  <c r="V57" i="7"/>
  <c r="W57" i="7"/>
  <c r="X57" i="7"/>
  <c r="Y57" i="7"/>
  <c r="Z57" i="7"/>
  <c r="AA57" i="7"/>
  <c r="AB57" i="7"/>
  <c r="N57" i="7"/>
  <c r="O57" i="7"/>
  <c r="P57" i="7"/>
  <c r="N56" i="7"/>
  <c r="O56" i="7"/>
  <c r="P56" i="7"/>
  <c r="K56" i="7"/>
  <c r="L56" i="7"/>
  <c r="M56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H55" i="7"/>
  <c r="I55" i="7"/>
  <c r="J55" i="7"/>
  <c r="Q35" i="7"/>
  <c r="R35" i="7"/>
  <c r="S35" i="7"/>
  <c r="T35" i="7"/>
  <c r="U35" i="7"/>
  <c r="V35" i="7"/>
  <c r="W35" i="7"/>
  <c r="X35" i="7"/>
  <c r="Y35" i="7"/>
  <c r="Z35" i="7"/>
  <c r="AA35" i="7"/>
  <c r="AB35" i="7"/>
  <c r="N35" i="7"/>
  <c r="O35" i="7"/>
  <c r="P35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K28" i="7"/>
  <c r="L28" i="7"/>
  <c r="M28" i="7"/>
  <c r="M22" i="17"/>
  <c r="N22" i="17"/>
  <c r="O22" i="17"/>
  <c r="P22" i="17"/>
  <c r="Q22" i="17"/>
  <c r="R22" i="17"/>
  <c r="S22" i="17"/>
  <c r="T22" i="17"/>
  <c r="U22" i="17"/>
  <c r="V22" i="17"/>
  <c r="W22" i="17"/>
  <c r="X22" i="17"/>
  <c r="J22" i="17"/>
  <c r="K22" i="17"/>
  <c r="L22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G18" i="17"/>
  <c r="H18" i="17"/>
  <c r="I18" i="1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H21" i="7"/>
  <c r="I21" i="7"/>
  <c r="J21" i="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D12" i="17"/>
  <c r="E12" i="17"/>
  <c r="F12" i="17"/>
  <c r="Z49" i="7"/>
  <c r="AA49" i="7"/>
  <c r="AB49" i="7"/>
  <c r="V19" i="17"/>
  <c r="W19" i="17"/>
  <c r="X19" i="17"/>
  <c r="V23" i="17"/>
  <c r="W23" i="17"/>
  <c r="X23" i="17"/>
  <c r="V31" i="17"/>
  <c r="W31" i="17"/>
  <c r="X31" i="17"/>
  <c r="R5" i="7"/>
  <c r="M5" i="7"/>
  <c r="N5" i="7"/>
  <c r="K5" i="7"/>
  <c r="G5" i="7"/>
  <c r="H5" i="7"/>
  <c r="J5" i="17"/>
  <c r="G5" i="17"/>
  <c r="D5" i="17"/>
  <c r="C5" i="17"/>
  <c r="D5" i="10"/>
  <c r="V5" i="6"/>
  <c r="P5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I3" i="6" s="1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BM3" i="6" s="1"/>
  <c r="BN3" i="6" s="1"/>
  <c r="BO3" i="6" s="1"/>
  <c r="BP3" i="6" s="1"/>
  <c r="BQ3" i="6" s="1"/>
  <c r="BR3" i="6" s="1"/>
  <c r="BS3" i="6" s="1"/>
  <c r="BT3" i="6" s="1"/>
  <c r="BU3" i="6" s="1"/>
  <c r="BV3" i="6" s="1"/>
  <c r="BW3" i="6" s="1"/>
  <c r="BX3" i="6" s="1"/>
  <c r="BY3" i="6" s="1"/>
  <c r="BZ3" i="6" s="1"/>
  <c r="CA3" i="6" s="1"/>
  <c r="CB3" i="6" s="1"/>
  <c r="CC3" i="6" s="1"/>
  <c r="CD3" i="6" s="1"/>
  <c r="CE3" i="6" s="1"/>
  <c r="CF3" i="6" s="1"/>
  <c r="CG3" i="6" s="1"/>
  <c r="CH3" i="6" s="1"/>
  <c r="CI3" i="6" s="1"/>
  <c r="CJ3" i="6" s="1"/>
  <c r="CK3" i="6" s="1"/>
  <c r="CL3" i="6" s="1"/>
  <c r="CM3" i="6" s="1"/>
  <c r="CN3" i="6" s="1"/>
  <c r="CO3" i="6" s="1"/>
  <c r="CP3" i="6" s="1"/>
  <c r="CQ3" i="6" s="1"/>
  <c r="CR3" i="6" s="1"/>
  <c r="E2" i="6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BK2" i="6" s="1"/>
  <c r="BL2" i="6" s="1"/>
  <c r="BM2" i="6" s="1"/>
  <c r="BN2" i="6" s="1"/>
  <c r="BO2" i="6" s="1"/>
  <c r="BP2" i="6" s="1"/>
  <c r="BQ2" i="6" s="1"/>
  <c r="BR2" i="6" s="1"/>
  <c r="BS2" i="6" s="1"/>
  <c r="BT2" i="6" s="1"/>
  <c r="BU2" i="6" s="1"/>
  <c r="BV2" i="6" s="1"/>
  <c r="BW2" i="6" s="1"/>
  <c r="BX2" i="6" s="1"/>
  <c r="BY2" i="6" s="1"/>
  <c r="BZ2" i="6" s="1"/>
  <c r="CA2" i="6" s="1"/>
  <c r="CB2" i="6" s="1"/>
  <c r="CC2" i="6" s="1"/>
  <c r="CD2" i="6" s="1"/>
  <c r="CE2" i="6" s="1"/>
  <c r="CF2" i="6" s="1"/>
  <c r="CG2" i="6" s="1"/>
  <c r="CH2" i="6" s="1"/>
  <c r="CI2" i="6" s="1"/>
  <c r="CJ2" i="6" s="1"/>
  <c r="CK2" i="6" s="1"/>
  <c r="CL2" i="6" s="1"/>
  <c r="CM2" i="6" s="1"/>
  <c r="CN2" i="6" s="1"/>
  <c r="CO2" i="6" s="1"/>
  <c r="CP2" i="6" s="1"/>
  <c r="CQ2" i="6" s="1"/>
  <c r="CR2" i="6" s="1"/>
  <c r="D3" i="10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E2" i="10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BJ2" i="10" s="1"/>
  <c r="BK2" i="10" s="1"/>
  <c r="BL2" i="10" s="1"/>
  <c r="BM2" i="10" s="1"/>
  <c r="BN2" i="10" s="1"/>
  <c r="BO2" i="10" s="1"/>
  <c r="BP2" i="10" s="1"/>
  <c r="BQ2" i="10" s="1"/>
  <c r="BR2" i="10" s="1"/>
  <c r="BS2" i="10" s="1"/>
  <c r="BT2" i="10" s="1"/>
  <c r="BU2" i="10" s="1"/>
  <c r="BV2" i="10" s="1"/>
  <c r="BW2" i="10" s="1"/>
  <c r="BX2" i="10" s="1"/>
  <c r="BY2" i="10" s="1"/>
  <c r="BZ2" i="10" s="1"/>
  <c r="CA2" i="10" s="1"/>
  <c r="CB2" i="10" s="1"/>
  <c r="CC2" i="10" s="1"/>
  <c r="CD2" i="10" s="1"/>
  <c r="CE2" i="10" s="1"/>
  <c r="CF2" i="10" s="1"/>
  <c r="CG2" i="10" s="1"/>
  <c r="CH2" i="10" s="1"/>
  <c r="CI2" i="10" s="1"/>
  <c r="CJ2" i="10" s="1"/>
  <c r="CK2" i="10" s="1"/>
  <c r="CL2" i="10" s="1"/>
  <c r="CM2" i="10" s="1"/>
  <c r="CN2" i="10" s="1"/>
  <c r="CO2" i="10" s="1"/>
  <c r="CP2" i="10" s="1"/>
  <c r="CQ2" i="10" s="1"/>
  <c r="CR2" i="10" s="1"/>
  <c r="D3" i="17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AO3" i="17" s="1"/>
  <c r="AP3" i="17" s="1"/>
  <c r="AQ3" i="17" s="1"/>
  <c r="AR3" i="17" s="1"/>
  <c r="AS3" i="17" s="1"/>
  <c r="AT3" i="17" s="1"/>
  <c r="AU3" i="17" s="1"/>
  <c r="AV3" i="17" s="1"/>
  <c r="AW3" i="17" s="1"/>
  <c r="AX3" i="17" s="1"/>
  <c r="AY3" i="17" s="1"/>
  <c r="AZ3" i="17" s="1"/>
  <c r="BA3" i="17" s="1"/>
  <c r="BB3" i="17" s="1"/>
  <c r="BC3" i="17" s="1"/>
  <c r="BD3" i="17" s="1"/>
  <c r="BE3" i="17" s="1"/>
  <c r="BF3" i="17" s="1"/>
  <c r="BG3" i="17" s="1"/>
  <c r="BH3" i="17" s="1"/>
  <c r="BI3" i="17" s="1"/>
  <c r="BJ3" i="17" s="1"/>
  <c r="BK3" i="17" s="1"/>
  <c r="BL3" i="17" s="1"/>
  <c r="BM3" i="17" s="1"/>
  <c r="BN3" i="17" s="1"/>
  <c r="BO3" i="17" s="1"/>
  <c r="BP3" i="17" s="1"/>
  <c r="BQ3" i="17" s="1"/>
  <c r="BR3" i="17" s="1"/>
  <c r="BS3" i="17" s="1"/>
  <c r="BT3" i="17" s="1"/>
  <c r="BU3" i="17" s="1"/>
  <c r="BV3" i="17" s="1"/>
  <c r="BW3" i="17" s="1"/>
  <c r="BX3" i="17" s="1"/>
  <c r="BY3" i="17" s="1"/>
  <c r="BZ3" i="17" s="1"/>
  <c r="CA3" i="17" s="1"/>
  <c r="CB3" i="17" s="1"/>
  <c r="CC3" i="17" s="1"/>
  <c r="CD3" i="17" s="1"/>
  <c r="CE3" i="17" s="1"/>
  <c r="CF3" i="17" s="1"/>
  <c r="CG3" i="17" s="1"/>
  <c r="CH3" i="17" s="1"/>
  <c r="CI3" i="17" s="1"/>
  <c r="CJ3" i="17" s="1"/>
  <c r="CK3" i="17" s="1"/>
  <c r="CL3" i="17" s="1"/>
  <c r="CM3" i="17" s="1"/>
  <c r="CN3" i="17" s="1"/>
  <c r="CO3" i="17" s="1"/>
  <c r="CP3" i="17" s="1"/>
  <c r="CQ3" i="17" s="1"/>
  <c r="CR3" i="17" s="1"/>
  <c r="E2" i="17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AM2" i="17" s="1"/>
  <c r="AN2" i="17" s="1"/>
  <c r="AO2" i="17" s="1"/>
  <c r="AP2" i="17" s="1"/>
  <c r="AQ2" i="17" s="1"/>
  <c r="AR2" i="17" s="1"/>
  <c r="AS2" i="17" s="1"/>
  <c r="AT2" i="17" s="1"/>
  <c r="AU2" i="17" s="1"/>
  <c r="AV2" i="17" s="1"/>
  <c r="AW2" i="17" s="1"/>
  <c r="AX2" i="17" s="1"/>
  <c r="AY2" i="17" s="1"/>
  <c r="AZ2" i="17" s="1"/>
  <c r="BA2" i="17" s="1"/>
  <c r="BB2" i="17" s="1"/>
  <c r="BC2" i="17" s="1"/>
  <c r="BD2" i="17" s="1"/>
  <c r="BE2" i="17" s="1"/>
  <c r="BF2" i="17" s="1"/>
  <c r="BG2" i="17" s="1"/>
  <c r="BH2" i="17" s="1"/>
  <c r="BI2" i="17" s="1"/>
  <c r="BJ2" i="17" s="1"/>
  <c r="BK2" i="17" s="1"/>
  <c r="BL2" i="17" s="1"/>
  <c r="BM2" i="17" s="1"/>
  <c r="BN2" i="17" s="1"/>
  <c r="BO2" i="17" s="1"/>
  <c r="BP2" i="17" s="1"/>
  <c r="BQ2" i="17" s="1"/>
  <c r="BR2" i="17" s="1"/>
  <c r="BS2" i="17" s="1"/>
  <c r="BT2" i="17" s="1"/>
  <c r="BU2" i="17" s="1"/>
  <c r="BV2" i="17" s="1"/>
  <c r="BW2" i="17" s="1"/>
  <c r="BX2" i="17" s="1"/>
  <c r="BY2" i="17" s="1"/>
  <c r="BZ2" i="17" s="1"/>
  <c r="CA2" i="17" s="1"/>
  <c r="CB2" i="17" s="1"/>
  <c r="CC2" i="17" s="1"/>
  <c r="CD2" i="17" s="1"/>
  <c r="CE2" i="17" s="1"/>
  <c r="CF2" i="17" s="1"/>
  <c r="CG2" i="17" s="1"/>
  <c r="CH2" i="17" s="1"/>
  <c r="CI2" i="17" s="1"/>
  <c r="CJ2" i="17" s="1"/>
  <c r="CK2" i="17" s="1"/>
  <c r="CL2" i="17" s="1"/>
  <c r="CM2" i="17" s="1"/>
  <c r="CN2" i="17" s="1"/>
  <c r="CO2" i="17" s="1"/>
  <c r="CP2" i="17" s="1"/>
  <c r="CQ2" i="17" s="1"/>
  <c r="CR2" i="17" s="1"/>
  <c r="H3" i="7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BE3" i="7" s="1"/>
  <c r="BF3" i="7" s="1"/>
  <c r="BG3" i="7" s="1"/>
  <c r="BH3" i="7" s="1"/>
  <c r="BI3" i="7" s="1"/>
  <c r="BJ3" i="7" s="1"/>
  <c r="BK3" i="7" s="1"/>
  <c r="BL3" i="7" s="1"/>
  <c r="BM3" i="7" s="1"/>
  <c r="BN3" i="7" s="1"/>
  <c r="BO3" i="7" s="1"/>
  <c r="BP3" i="7" s="1"/>
  <c r="BQ3" i="7" s="1"/>
  <c r="BR3" i="7" s="1"/>
  <c r="BS3" i="7" s="1"/>
  <c r="BT3" i="7" s="1"/>
  <c r="BU3" i="7" s="1"/>
  <c r="BV3" i="7" s="1"/>
  <c r="BW3" i="7" s="1"/>
  <c r="BX3" i="7" s="1"/>
  <c r="BY3" i="7" s="1"/>
  <c r="BZ3" i="7" s="1"/>
  <c r="CA3" i="7" s="1"/>
  <c r="CB3" i="7" s="1"/>
  <c r="CC3" i="7" s="1"/>
  <c r="CD3" i="7" s="1"/>
  <c r="CE3" i="7" s="1"/>
  <c r="CF3" i="7" s="1"/>
  <c r="CG3" i="7" s="1"/>
  <c r="CH3" i="7" s="1"/>
  <c r="CI3" i="7" s="1"/>
  <c r="CJ3" i="7" s="1"/>
  <c r="CK3" i="7" s="1"/>
  <c r="CL3" i="7" s="1"/>
  <c r="CM3" i="7" s="1"/>
  <c r="CN3" i="7" s="1"/>
  <c r="CO3" i="7" s="1"/>
  <c r="CP3" i="7" s="1"/>
  <c r="CQ3" i="7" s="1"/>
  <c r="CR3" i="7" s="1"/>
  <c r="CS3" i="7" s="1"/>
  <c r="CT3" i="7" s="1"/>
  <c r="CU3" i="7" s="1"/>
  <c r="CV3" i="7" s="1"/>
  <c r="I2" i="7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U5" i="9"/>
  <c r="O5" i="9"/>
  <c r="F3" i="9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BN3" i="9" s="1"/>
  <c r="BO3" i="9" s="1"/>
  <c r="BP3" i="9" s="1"/>
  <c r="BQ3" i="9" s="1"/>
  <c r="BR3" i="9" s="1"/>
  <c r="BS3" i="9" s="1"/>
  <c r="BT3" i="9" s="1"/>
  <c r="BU3" i="9" s="1"/>
  <c r="BV3" i="9" s="1"/>
  <c r="BW3" i="9" s="1"/>
  <c r="BX3" i="9" s="1"/>
  <c r="BY3" i="9" s="1"/>
  <c r="BZ3" i="9" s="1"/>
  <c r="CA3" i="9" s="1"/>
  <c r="CB3" i="9" s="1"/>
  <c r="CC3" i="9" s="1"/>
  <c r="CD3" i="9" s="1"/>
  <c r="CE3" i="9" s="1"/>
  <c r="CF3" i="9" s="1"/>
  <c r="CG3" i="9" s="1"/>
  <c r="CH3" i="9" s="1"/>
  <c r="CI3" i="9" s="1"/>
  <c r="CJ3" i="9" s="1"/>
  <c r="CK3" i="9" s="1"/>
  <c r="CL3" i="9" s="1"/>
  <c r="CM3" i="9" s="1"/>
  <c r="CN3" i="9" s="1"/>
  <c r="CO3" i="9" s="1"/>
  <c r="CP3" i="9" s="1"/>
  <c r="CQ3" i="9" s="1"/>
  <c r="CR3" i="9" s="1"/>
  <c r="CS3" i="9" s="1"/>
  <c r="CT3" i="9" s="1"/>
  <c r="G2" i="9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AW2" i="9" s="1"/>
  <c r="AX2" i="9" s="1"/>
  <c r="AY2" i="9" s="1"/>
  <c r="AZ2" i="9" s="1"/>
  <c r="BA2" i="9" s="1"/>
  <c r="BB2" i="9" s="1"/>
  <c r="BC2" i="9" s="1"/>
  <c r="BD2" i="9" s="1"/>
  <c r="BE2" i="9" s="1"/>
  <c r="BF2" i="9" s="1"/>
  <c r="BG2" i="9" s="1"/>
  <c r="BH2" i="9" s="1"/>
  <c r="BI2" i="9" s="1"/>
  <c r="BJ2" i="9" s="1"/>
  <c r="BK2" i="9" s="1"/>
  <c r="BL2" i="9" s="1"/>
  <c r="BM2" i="9" s="1"/>
  <c r="BN2" i="9" s="1"/>
  <c r="BO2" i="9" s="1"/>
  <c r="BP2" i="9" s="1"/>
  <c r="BQ2" i="9" s="1"/>
  <c r="BR2" i="9" s="1"/>
  <c r="BS2" i="9" s="1"/>
  <c r="BT2" i="9" s="1"/>
  <c r="BU2" i="9" s="1"/>
  <c r="BV2" i="9" s="1"/>
  <c r="BW2" i="9" s="1"/>
  <c r="BX2" i="9" s="1"/>
  <c r="BY2" i="9" s="1"/>
  <c r="BZ2" i="9" s="1"/>
  <c r="CA2" i="9" s="1"/>
  <c r="CB2" i="9" s="1"/>
  <c r="CC2" i="9" s="1"/>
  <c r="CD2" i="9" s="1"/>
  <c r="CE2" i="9" s="1"/>
  <c r="CF2" i="9" s="1"/>
  <c r="CG2" i="9" s="1"/>
  <c r="CH2" i="9" s="1"/>
  <c r="CI2" i="9" s="1"/>
  <c r="CJ2" i="9" s="1"/>
  <c r="CK2" i="9" s="1"/>
  <c r="CL2" i="9" s="1"/>
  <c r="CM2" i="9" s="1"/>
  <c r="CN2" i="9" s="1"/>
  <c r="CO2" i="9" s="1"/>
  <c r="CP2" i="9" s="1"/>
  <c r="CQ2" i="9" s="1"/>
  <c r="CR2" i="9" s="1"/>
  <c r="CS2" i="9" s="1"/>
  <c r="CT2" i="9" s="1"/>
  <c r="X5" i="8"/>
  <c r="L5" i="8"/>
  <c r="G2" i="8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AH2" i="8" s="1"/>
  <c r="AI2" i="8" s="1"/>
  <c r="AJ2" i="8" s="1"/>
  <c r="AK2" i="8" s="1"/>
  <c r="AL2" i="8" s="1"/>
  <c r="AM2" i="8" s="1"/>
  <c r="AN2" i="8" s="1"/>
  <c r="AO2" i="8" s="1"/>
  <c r="AP2" i="8" s="1"/>
  <c r="AQ2" i="8" s="1"/>
  <c r="AR2" i="8" s="1"/>
  <c r="AS2" i="8" s="1"/>
  <c r="AT2" i="8" s="1"/>
  <c r="AU2" i="8" s="1"/>
  <c r="AV2" i="8" s="1"/>
  <c r="AW2" i="8" s="1"/>
  <c r="AX2" i="8" s="1"/>
  <c r="AY2" i="8" s="1"/>
  <c r="AZ2" i="8" s="1"/>
  <c r="BA2" i="8" s="1"/>
  <c r="BB2" i="8" s="1"/>
  <c r="BC2" i="8" s="1"/>
  <c r="BD2" i="8" s="1"/>
  <c r="BE2" i="8" s="1"/>
  <c r="BF2" i="8" s="1"/>
  <c r="BG2" i="8" s="1"/>
  <c r="BH2" i="8" s="1"/>
  <c r="BI2" i="8" s="1"/>
  <c r="BJ2" i="8" s="1"/>
  <c r="BK2" i="8" s="1"/>
  <c r="BL2" i="8" s="1"/>
  <c r="BM2" i="8" s="1"/>
  <c r="BN2" i="8" s="1"/>
  <c r="BO2" i="8" s="1"/>
  <c r="BP2" i="8" s="1"/>
  <c r="BQ2" i="8" s="1"/>
  <c r="BR2" i="8" s="1"/>
  <c r="BS2" i="8" s="1"/>
  <c r="BT2" i="8" s="1"/>
  <c r="BU2" i="8" s="1"/>
  <c r="BV2" i="8" s="1"/>
  <c r="BW2" i="8" s="1"/>
  <c r="BX2" i="8" s="1"/>
  <c r="BY2" i="8" s="1"/>
  <c r="BZ2" i="8" s="1"/>
  <c r="CA2" i="8" s="1"/>
  <c r="CB2" i="8" s="1"/>
  <c r="CC2" i="8" s="1"/>
  <c r="CD2" i="8" s="1"/>
  <c r="CE2" i="8" s="1"/>
  <c r="CF2" i="8" s="1"/>
  <c r="CG2" i="8" s="1"/>
  <c r="CH2" i="8" s="1"/>
  <c r="CI2" i="8" s="1"/>
  <c r="CJ2" i="8" s="1"/>
  <c r="CK2" i="8" s="1"/>
  <c r="CL2" i="8" s="1"/>
  <c r="CM2" i="8" s="1"/>
  <c r="CN2" i="8" s="1"/>
  <c r="CO2" i="8" s="1"/>
  <c r="CP2" i="8" s="1"/>
  <c r="CQ2" i="8" s="1"/>
  <c r="CR2" i="8" s="1"/>
  <c r="CS2" i="8" s="1"/>
  <c r="CT2" i="8" s="1"/>
  <c r="X21" i="8"/>
  <c r="Y21" i="8"/>
  <c r="Z21" i="8"/>
  <c r="G19" i="8"/>
  <c r="H19" i="8"/>
  <c r="I19" i="8"/>
  <c r="J19" i="8"/>
  <c r="K19" i="8"/>
  <c r="F19" i="8"/>
  <c r="G20" i="8"/>
  <c r="H20" i="8"/>
  <c r="I20" i="8"/>
  <c r="J20" i="8"/>
  <c r="K20" i="8"/>
  <c r="F20" i="8"/>
  <c r="J22" i="8"/>
  <c r="K22" i="8"/>
  <c r="I22" i="8"/>
  <c r="E5" i="8"/>
  <c r="J23" i="8"/>
  <c r="K23" i="8"/>
  <c r="E5" i="6"/>
  <c r="B5" i="14"/>
  <c r="S45" i="6"/>
  <c r="N83" i="2"/>
  <c r="G83" i="2"/>
  <c r="F83" i="2" s="1"/>
  <c r="D84" i="2" s="1"/>
  <c r="D85" i="2" s="1"/>
  <c r="O79" i="2"/>
  <c r="U23" i="17"/>
  <c r="T23" i="17"/>
  <c r="S23" i="17"/>
  <c r="R23" i="17"/>
  <c r="Q23" i="17"/>
  <c r="P23" i="17"/>
  <c r="O23" i="17"/>
  <c r="N23" i="17"/>
  <c r="M23" i="17"/>
  <c r="L23" i="17"/>
  <c r="K23" i="17"/>
  <c r="J23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G19" i="17"/>
  <c r="U21" i="8"/>
  <c r="V21" i="8"/>
  <c r="W21" i="8"/>
  <c r="W49" i="7"/>
  <c r="X49" i="7"/>
  <c r="Y49" i="7"/>
  <c r="S31" i="17"/>
  <c r="T31" i="17"/>
  <c r="U31" i="17"/>
  <c r="O41" i="8"/>
  <c r="L21" i="8"/>
  <c r="M21" i="8"/>
  <c r="N21" i="8"/>
  <c r="O21" i="8"/>
  <c r="P21" i="8"/>
  <c r="Q21" i="8"/>
  <c r="R21" i="8"/>
  <c r="S21" i="8"/>
  <c r="T21" i="8"/>
  <c r="O37" i="10"/>
  <c r="G8" i="7"/>
  <c r="T49" i="7"/>
  <c r="U49" i="7"/>
  <c r="V49" i="7"/>
  <c r="P31" i="17"/>
  <c r="Q31" i="17"/>
  <c r="R31" i="17"/>
  <c r="R49" i="7"/>
  <c r="S49" i="7"/>
  <c r="Q49" i="7"/>
  <c r="Q5" i="7"/>
  <c r="K55" i="17"/>
  <c r="J55" i="17"/>
  <c r="M32" i="17"/>
  <c r="M5" i="17" s="1"/>
  <c r="M31" i="17"/>
  <c r="N31" i="17"/>
  <c r="O31" i="17"/>
  <c r="C7" i="5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B16" i="8"/>
  <c r="F21" i="8"/>
  <c r="G21" i="8"/>
  <c r="H21" i="8"/>
  <c r="K21" i="8"/>
  <c r="J21" i="8"/>
  <c r="I21" i="8"/>
  <c r="I23" i="8"/>
  <c r="C7" i="17"/>
  <c r="D68" i="2"/>
  <c r="D65" i="2"/>
  <c r="I37" i="9"/>
  <c r="K27" i="7"/>
  <c r="F3" i="8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I25" i="5"/>
  <c r="I28" i="5"/>
  <c r="E8" i="9"/>
  <c r="F8" i="9" s="1"/>
  <c r="G8" i="9" s="1"/>
  <c r="H8" i="9" s="1"/>
  <c r="E10" i="8"/>
  <c r="C7" i="6"/>
  <c r="I26" i="5"/>
  <c r="I21" i="5"/>
  <c r="H22" i="5"/>
  <c r="H25" i="5" s="1"/>
  <c r="CC6" i="9" l="1"/>
  <c r="CD8" i="9"/>
  <c r="CC9" i="9"/>
  <c r="CE48" i="7"/>
  <c r="CE64" i="7" s="1"/>
  <c r="AF30" i="17"/>
  <c r="AF39" i="17" s="1"/>
  <c r="B21" i="17"/>
  <c r="B11" i="17"/>
  <c r="AB30" i="17"/>
  <c r="AB39" i="17" s="1"/>
  <c r="Z30" i="17"/>
  <c r="Z39" i="17" s="1"/>
  <c r="AE30" i="17"/>
  <c r="AE39" i="17" s="1"/>
  <c r="Y30" i="17"/>
  <c r="Y39" i="17" s="1"/>
  <c r="AD30" i="17"/>
  <c r="AD39" i="17" s="1"/>
  <c r="AC30" i="17"/>
  <c r="AC39" i="17" s="1"/>
  <c r="AH30" i="17"/>
  <c r="AH39" i="17" s="1"/>
  <c r="AG30" i="17"/>
  <c r="AG39" i="17" s="1"/>
  <c r="AA30" i="17"/>
  <c r="AA39" i="17" s="1"/>
  <c r="BV17" i="17"/>
  <c r="AO25" i="17"/>
  <c r="AN30" i="17"/>
  <c r="AN39" i="17" s="1"/>
  <c r="AN4" i="17" s="1"/>
  <c r="AM30" i="17"/>
  <c r="AM39" i="17" s="1"/>
  <c r="AL30" i="17"/>
  <c r="AL39" i="17" s="1"/>
  <c r="AK30" i="17"/>
  <c r="AK39" i="17" s="1"/>
  <c r="AJ30" i="17"/>
  <c r="AJ39" i="17" s="1"/>
  <c r="AI30" i="17"/>
  <c r="AI39" i="17" s="1"/>
  <c r="AU48" i="7"/>
  <c r="E14" i="7"/>
  <c r="BU48" i="7"/>
  <c r="BU64" i="7" s="1"/>
  <c r="CD48" i="7"/>
  <c r="CD64" i="7" s="1"/>
  <c r="CC48" i="7"/>
  <c r="CC64" i="7" s="1"/>
  <c r="CB48" i="7"/>
  <c r="CB64" i="7"/>
  <c r="BZ14" i="6"/>
  <c r="BY14" i="6"/>
  <c r="BX14" i="6"/>
  <c r="BS14" i="6"/>
  <c r="AY14" i="6"/>
  <c r="BO14" i="6"/>
  <c r="AS14" i="6"/>
  <c r="AR14" i="6"/>
  <c r="BJ14" i="6"/>
  <c r="BH14" i="6"/>
  <c r="AX14" i="6"/>
  <c r="BQ14" i="6"/>
  <c r="AV14" i="6"/>
  <c r="AU14" i="6"/>
  <c r="AT14" i="6"/>
  <c r="BM14" i="6"/>
  <c r="AQ14" i="6"/>
  <c r="BG14" i="6"/>
  <c r="AP14" i="6"/>
  <c r="BF14" i="6"/>
  <c r="AO14" i="6"/>
  <c r="BE14" i="6"/>
  <c r="BR14" i="6"/>
  <c r="AW14" i="6"/>
  <c r="BP14" i="6"/>
  <c r="BN14" i="6"/>
  <c r="BL14" i="6"/>
  <c r="BK14" i="6"/>
  <c r="BI14" i="6"/>
  <c r="AN14" i="6"/>
  <c r="BD14" i="6"/>
  <c r="BW14" i="6"/>
  <c r="BC14" i="6"/>
  <c r="BU14" i="6"/>
  <c r="BA14" i="6"/>
  <c r="BV14" i="6"/>
  <c r="BB14" i="6"/>
  <c r="BT14" i="6"/>
  <c r="AZ14" i="6"/>
  <c r="AG48" i="7"/>
  <c r="AG64" i="7" s="1"/>
  <c r="AF48" i="7"/>
  <c r="AF64" i="7" s="1"/>
  <c r="AJ48" i="7"/>
  <c r="AJ64" i="7" s="1"/>
  <c r="BR48" i="7"/>
  <c r="BR64" i="7" s="1"/>
  <c r="BQ48" i="7"/>
  <c r="BQ64" i="7" s="1"/>
  <c r="BP48" i="7"/>
  <c r="BP64" i="7" s="1"/>
  <c r="BW48" i="7"/>
  <c r="BW64" i="7" s="1"/>
  <c r="BC48" i="7"/>
  <c r="BC64" i="7" s="1"/>
  <c r="CA48" i="7"/>
  <c r="CA64" i="7" s="1"/>
  <c r="BV48" i="7"/>
  <c r="BV64" i="7" s="1"/>
  <c r="BT48" i="7"/>
  <c r="BT64" i="7" s="1"/>
  <c r="BS48" i="7"/>
  <c r="BS64" i="7" s="1"/>
  <c r="AY48" i="7"/>
  <c r="AY64" i="7" s="1"/>
  <c r="BO48" i="7"/>
  <c r="BO64" i="7" s="1"/>
  <c r="BD48" i="7"/>
  <c r="BD64" i="7" s="1"/>
  <c r="AI48" i="7"/>
  <c r="AI64" i="7" s="1"/>
  <c r="AH48" i="7"/>
  <c r="AH64" i="7" s="1"/>
  <c r="BY48" i="7"/>
  <c r="BY64" i="7" s="1"/>
  <c r="H64" i="7"/>
  <c r="AV48" i="7"/>
  <c r="AV64" i="7" s="1"/>
  <c r="BZ48" i="7"/>
  <c r="BZ64" i="7" s="1"/>
  <c r="AQ48" i="7"/>
  <c r="AQ64" i="7" s="1"/>
  <c r="AZ48" i="7"/>
  <c r="AZ64" i="7" s="1"/>
  <c r="BG48" i="7"/>
  <c r="BG64" i="7" s="1"/>
  <c r="BX48" i="7"/>
  <c r="BX64" i="7" s="1"/>
  <c r="K64" i="7"/>
  <c r="BF48" i="7"/>
  <c r="BF64" i="7" s="1"/>
  <c r="AX48" i="7"/>
  <c r="AX64" i="7" s="1"/>
  <c r="BE48" i="7"/>
  <c r="BE64" i="7" s="1"/>
  <c r="I64" i="7"/>
  <c r="AW48" i="7"/>
  <c r="AW64" i="7" s="1"/>
  <c r="BH48" i="7"/>
  <c r="BH64" i="7" s="1"/>
  <c r="BI48" i="7"/>
  <c r="BI64" i="7" s="1"/>
  <c r="BH52" i="8"/>
  <c r="BH71" i="8" s="1"/>
  <c r="BU52" i="8"/>
  <c r="BU71" i="8" s="1"/>
  <c r="BA52" i="8"/>
  <c r="BA71" i="8" s="1"/>
  <c r="BT52" i="8"/>
  <c r="BT71" i="8" s="1"/>
  <c r="AZ52" i="8"/>
  <c r="AZ71" i="8" s="1"/>
  <c r="BS52" i="8"/>
  <c r="AY52" i="8"/>
  <c r="AX52" i="8"/>
  <c r="AW52" i="8"/>
  <c r="AH68" i="8"/>
  <c r="AV52" i="8"/>
  <c r="AV71" i="8" s="1"/>
  <c r="BR71" i="8"/>
  <c r="AX71" i="8"/>
  <c r="AU52" i="8"/>
  <c r="AU71" i="8" s="1"/>
  <c r="BQ71" i="8"/>
  <c r="AW71" i="8"/>
  <c r="BN52" i="8"/>
  <c r="BN71" i="8" s="1"/>
  <c r="AT52" i="8"/>
  <c r="AT71" i="8" s="1"/>
  <c r="BL52" i="8"/>
  <c r="BL71" i="8" s="1"/>
  <c r="BM52" i="8"/>
  <c r="BM71" i="8" s="1"/>
  <c r="BK52" i="8"/>
  <c r="BK71" i="8" s="1"/>
  <c r="BJ52" i="8"/>
  <c r="BJ71" i="8" s="1"/>
  <c r="BI52" i="8"/>
  <c r="BI71" i="8" s="1"/>
  <c r="AR52" i="8"/>
  <c r="AR71" i="8" s="1"/>
  <c r="BY71" i="8"/>
  <c r="BX71" i="8"/>
  <c r="AS52" i="8"/>
  <c r="AS71" i="8" s="1"/>
  <c r="BP52" i="8"/>
  <c r="BP71" i="8" s="1"/>
  <c r="BO52" i="8"/>
  <c r="BO71" i="8" s="1"/>
  <c r="BB52" i="8"/>
  <c r="BB71" i="8" s="1"/>
  <c r="BG52" i="8"/>
  <c r="BG71" i="8" s="1"/>
  <c r="BV71" i="8"/>
  <c r="BF52" i="8"/>
  <c r="BF71" i="8" s="1"/>
  <c r="BE52" i="8"/>
  <c r="BE71" i="8" s="1"/>
  <c r="BD52" i="8"/>
  <c r="BD71" i="8" s="1"/>
  <c r="BW52" i="8"/>
  <c r="BW71" i="8" s="1"/>
  <c r="BC52" i="8"/>
  <c r="BC71" i="8" s="1"/>
  <c r="BS71" i="8"/>
  <c r="AY71" i="8"/>
  <c r="AU64" i="7"/>
  <c r="BB48" i="7"/>
  <c r="BB64" i="7" s="1"/>
  <c r="BA48" i="7"/>
  <c r="BA64" i="7" s="1"/>
  <c r="BN48" i="7"/>
  <c r="BN64" i="7" s="1"/>
  <c r="BM48" i="7"/>
  <c r="BM64" i="7" s="1"/>
  <c r="BL48" i="7"/>
  <c r="BL64" i="7" s="1"/>
  <c r="BK48" i="7"/>
  <c r="BK64" i="7" s="1"/>
  <c r="BJ48" i="7"/>
  <c r="BJ64" i="7" s="1"/>
  <c r="J64" i="7"/>
  <c r="AS48" i="7"/>
  <c r="AR48" i="7"/>
  <c r="AR64" i="7" s="1"/>
  <c r="AP48" i="7"/>
  <c r="AP64" i="7" s="1"/>
  <c r="AS64" i="7"/>
  <c r="AO48" i="7"/>
  <c r="AO64" i="7" s="1"/>
  <c r="BU9" i="10"/>
  <c r="BT26" i="10"/>
  <c r="BS26" i="10"/>
  <c r="AQ6" i="10"/>
  <c r="AQ8" i="10"/>
  <c r="AR7" i="10"/>
  <c r="AV26" i="10"/>
  <c r="AW9" i="10"/>
  <c r="AO3" i="2"/>
  <c r="AQ68" i="8"/>
  <c r="AP68" i="8"/>
  <c r="AQ71" i="8"/>
  <c r="AP71" i="8"/>
  <c r="AT48" i="7"/>
  <c r="AT64" i="7" s="1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E39" i="17"/>
  <c r="I39" i="17"/>
  <c r="F39" i="17"/>
  <c r="J39" i="17"/>
  <c r="G39" i="17"/>
  <c r="D39" i="17"/>
  <c r="D7" i="17" s="1"/>
  <c r="D6" i="17" s="1"/>
  <c r="B4" i="2" s="1"/>
  <c r="K39" i="17"/>
  <c r="L39" i="17"/>
  <c r="H39" i="17"/>
  <c r="AK14" i="6"/>
  <c r="AM14" i="6"/>
  <c r="AL14" i="6"/>
  <c r="AM48" i="7"/>
  <c r="AL48" i="7"/>
  <c r="AK48" i="7"/>
  <c r="AK64" i="7" s="1"/>
  <c r="AN48" i="7"/>
  <c r="AN64" i="7" s="1"/>
  <c r="AB52" i="8"/>
  <c r="AB71" i="8" s="1"/>
  <c r="AO52" i="8"/>
  <c r="AO71" i="8" s="1"/>
  <c r="AN52" i="8"/>
  <c r="AN71" i="8" s="1"/>
  <c r="AM52" i="8"/>
  <c r="AM71" i="8" s="1"/>
  <c r="AC52" i="8"/>
  <c r="AI14" i="6"/>
  <c r="AH14" i="6"/>
  <c r="AF14" i="6"/>
  <c r="AJ14" i="6"/>
  <c r="AE14" i="6"/>
  <c r="AG14" i="6"/>
  <c r="AD14" i="6"/>
  <c r="Y14" i="6"/>
  <c r="Y19" i="6" s="1"/>
  <c r="Z19" i="6" s="1"/>
  <c r="AC14" i="6"/>
  <c r="AB14" i="6"/>
  <c r="AA14" i="6"/>
  <c r="Y5" i="6"/>
  <c r="AM64" i="7"/>
  <c r="AL64" i="7"/>
  <c r="H71" i="8"/>
  <c r="W71" i="8"/>
  <c r="V71" i="8"/>
  <c r="U71" i="8"/>
  <c r="AA52" i="8"/>
  <c r="AA71" i="8" s="1"/>
  <c r="G71" i="8"/>
  <c r="AE52" i="8"/>
  <c r="AE71" i="8" s="1"/>
  <c r="AD52" i="8"/>
  <c r="AD71" i="8" s="1"/>
  <c r="AL52" i="8"/>
  <c r="AL71" i="8" s="1"/>
  <c r="F71" i="8"/>
  <c r="AF52" i="8"/>
  <c r="AF71" i="8" s="1"/>
  <c r="Y71" i="8"/>
  <c r="AG52" i="8"/>
  <c r="AG71" i="8" s="1"/>
  <c r="T71" i="8"/>
  <c r="S71" i="8"/>
  <c r="R71" i="8"/>
  <c r="Q71" i="8"/>
  <c r="AC71" i="8"/>
  <c r="P71" i="8"/>
  <c r="O71" i="8"/>
  <c r="N71" i="8"/>
  <c r="Z71" i="8"/>
  <c r="AI52" i="8"/>
  <c r="AI71" i="8" s="1"/>
  <c r="X71" i="8"/>
  <c r="AH52" i="8"/>
  <c r="AH71" i="8" s="1"/>
  <c r="M71" i="8"/>
  <c r="L71" i="8"/>
  <c r="K71" i="8"/>
  <c r="J71" i="8"/>
  <c r="I71" i="8"/>
  <c r="AK52" i="8"/>
  <c r="AK71" i="8" s="1"/>
  <c r="AJ52" i="8"/>
  <c r="AJ71" i="8" s="1"/>
  <c r="AG5" i="17"/>
  <c r="F6" i="9"/>
  <c r="AE48" i="7"/>
  <c r="AE64" i="7" s="1"/>
  <c r="AD48" i="7"/>
  <c r="AD64" i="7" s="1"/>
  <c r="AC48" i="7"/>
  <c r="AC64" i="7" s="1"/>
  <c r="U3" i="10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CE3" i="10" s="1"/>
  <c r="CF3" i="10" s="1"/>
  <c r="CG3" i="10" s="1"/>
  <c r="CH3" i="10" s="1"/>
  <c r="CI3" i="10" s="1"/>
  <c r="CJ3" i="10" s="1"/>
  <c r="CK3" i="10" s="1"/>
  <c r="CL3" i="10" s="1"/>
  <c r="CM3" i="10" s="1"/>
  <c r="CN3" i="10" s="1"/>
  <c r="CO3" i="10" s="1"/>
  <c r="CP3" i="10" s="1"/>
  <c r="CQ3" i="10" s="1"/>
  <c r="CR3" i="10" s="1"/>
  <c r="AA48" i="7"/>
  <c r="AB48" i="7"/>
  <c r="Z48" i="7"/>
  <c r="AB34" i="7"/>
  <c r="AA34" i="7"/>
  <c r="Z34" i="7"/>
  <c r="P34" i="7"/>
  <c r="X30" i="17"/>
  <c r="X39" i="17" s="1"/>
  <c r="W30" i="17"/>
  <c r="W39" i="17" s="1"/>
  <c r="AB27" i="7"/>
  <c r="AA27" i="7"/>
  <c r="Z27" i="7"/>
  <c r="V30" i="17"/>
  <c r="V39" i="17" s="1"/>
  <c r="Y27" i="7"/>
  <c r="X27" i="7"/>
  <c r="W27" i="7"/>
  <c r="Y48" i="7"/>
  <c r="X48" i="7"/>
  <c r="Y34" i="7"/>
  <c r="X34" i="7"/>
  <c r="N34" i="7"/>
  <c r="W34" i="7"/>
  <c r="O34" i="7"/>
  <c r="O64" i="7" s="1"/>
  <c r="G6" i="9"/>
  <c r="H6" i="9"/>
  <c r="AA3" i="8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Z3" i="8" s="1"/>
  <c r="BA3" i="8" s="1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BP3" i="8" s="1"/>
  <c r="BQ3" i="8" s="1"/>
  <c r="BR3" i="8" s="1"/>
  <c r="BS3" i="8" s="1"/>
  <c r="BT3" i="8" s="1"/>
  <c r="BU3" i="8" s="1"/>
  <c r="BV3" i="8" s="1"/>
  <c r="BW3" i="8" s="1"/>
  <c r="BX3" i="8" s="1"/>
  <c r="BY3" i="8" s="1"/>
  <c r="BZ3" i="8" s="1"/>
  <c r="CA3" i="8" s="1"/>
  <c r="CB3" i="8" s="1"/>
  <c r="CC3" i="8" s="1"/>
  <c r="CD3" i="8" s="1"/>
  <c r="CE3" i="8" s="1"/>
  <c r="CF3" i="8" s="1"/>
  <c r="CG3" i="8" s="1"/>
  <c r="CH3" i="8" s="1"/>
  <c r="CI3" i="8" s="1"/>
  <c r="CJ3" i="8" s="1"/>
  <c r="CK3" i="8" s="1"/>
  <c r="CL3" i="8" s="1"/>
  <c r="CM3" i="8" s="1"/>
  <c r="CN3" i="8" s="1"/>
  <c r="CO3" i="8" s="1"/>
  <c r="CP3" i="8" s="1"/>
  <c r="CQ3" i="8" s="1"/>
  <c r="CR3" i="8" s="1"/>
  <c r="CS3" i="8" s="1"/>
  <c r="CT3" i="8" s="1"/>
  <c r="O80" i="2"/>
  <c r="O81" i="2" s="1"/>
  <c r="O82" i="2" s="1"/>
  <c r="O83" i="2" s="1"/>
  <c r="N84" i="2" s="1"/>
  <c r="M84" i="2" s="1"/>
  <c r="K85" i="2" s="1"/>
  <c r="U30" i="17"/>
  <c r="U39" i="17" s="1"/>
  <c r="W48" i="7"/>
  <c r="S30" i="17"/>
  <c r="S39" i="17" s="1"/>
  <c r="T30" i="17"/>
  <c r="T39" i="17" s="1"/>
  <c r="V34" i="7"/>
  <c r="U34" i="7"/>
  <c r="T34" i="7"/>
  <c r="S27" i="7"/>
  <c r="R27" i="7"/>
  <c r="Q27" i="7"/>
  <c r="V27" i="7"/>
  <c r="U27" i="7"/>
  <c r="T27" i="7"/>
  <c r="F30" i="7" s="1"/>
  <c r="V48" i="7"/>
  <c r="V64" i="7" s="1"/>
  <c r="U48" i="7"/>
  <c r="T48" i="7"/>
  <c r="P30" i="17"/>
  <c r="P39" i="17" s="1"/>
  <c r="R30" i="17"/>
  <c r="R39" i="17" s="1"/>
  <c r="Q30" i="17"/>
  <c r="Q39" i="17" s="1"/>
  <c r="S48" i="7"/>
  <c r="R48" i="7"/>
  <c r="Q48" i="7"/>
  <c r="Q34" i="7"/>
  <c r="R34" i="7"/>
  <c r="S34" i="7"/>
  <c r="D69" i="2"/>
  <c r="P27" i="7"/>
  <c r="O27" i="7"/>
  <c r="N27" i="7"/>
  <c r="M27" i="7"/>
  <c r="M64" i="7" s="1"/>
  <c r="L27" i="7"/>
  <c r="L64" i="7" s="1"/>
  <c r="I8" i="9"/>
  <c r="I6" i="9" s="1"/>
  <c r="F9" i="9"/>
  <c r="G9" i="9"/>
  <c r="H9" i="9"/>
  <c r="C34" i="10"/>
  <c r="E9" i="10"/>
  <c r="E26" i="10" s="1"/>
  <c r="CD6" i="9" l="1"/>
  <c r="CE8" i="9"/>
  <c r="CD9" i="9"/>
  <c r="F52" i="7"/>
  <c r="AP25" i="17"/>
  <c r="AO30" i="17"/>
  <c r="AO39" i="17" s="1"/>
  <c r="BW17" i="17"/>
  <c r="AN6" i="6"/>
  <c r="AL2" i="2" s="1"/>
  <c r="AO7" i="6"/>
  <c r="AN8" i="6"/>
  <c r="AA19" i="6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Q64" i="7"/>
  <c r="S64" i="7"/>
  <c r="P64" i="7"/>
  <c r="T64" i="7"/>
  <c r="U64" i="7"/>
  <c r="N64" i="7"/>
  <c r="W64" i="7"/>
  <c r="AB64" i="7"/>
  <c r="BV9" i="10"/>
  <c r="BU26" i="10"/>
  <c r="AW26" i="10"/>
  <c r="AX9" i="10"/>
  <c r="AR6" i="10"/>
  <c r="AR8" i="10"/>
  <c r="AS7" i="10"/>
  <c r="AO6" i="6"/>
  <c r="AM2" i="2" s="1"/>
  <c r="AP7" i="6"/>
  <c r="AQ7" i="6" s="1"/>
  <c r="AO8" i="6"/>
  <c r="D6" i="6"/>
  <c r="B2" i="2" s="1"/>
  <c r="X64" i="7"/>
  <c r="AA64" i="7"/>
  <c r="R64" i="7"/>
  <c r="Y64" i="7"/>
  <c r="Z64" i="7"/>
  <c r="AO4" i="8"/>
  <c r="C7" i="10"/>
  <c r="D7" i="10" s="1"/>
  <c r="E7" i="10" s="1"/>
  <c r="C5" i="10"/>
  <c r="M30" i="17"/>
  <c r="O30" i="17"/>
  <c r="O39" i="17" s="1"/>
  <c r="N30" i="17"/>
  <c r="N39" i="17" s="1"/>
  <c r="J8" i="9"/>
  <c r="D8" i="6"/>
  <c r="D8" i="17"/>
  <c r="F9" i="10"/>
  <c r="F26" i="10" s="1"/>
  <c r="E7" i="17"/>
  <c r="E6" i="17" s="1"/>
  <c r="C4" i="2" s="1"/>
  <c r="I9" i="9"/>
  <c r="H8" i="7"/>
  <c r="H6" i="7" s="1"/>
  <c r="F10" i="8"/>
  <c r="F6" i="8" s="1"/>
  <c r="B5" i="2" s="1"/>
  <c r="E6" i="6"/>
  <c r="C2" i="2" s="1"/>
  <c r="C28" i="5"/>
  <c r="L5" i="13"/>
  <c r="L6" i="13"/>
  <c r="L7" i="13"/>
  <c r="L8" i="13"/>
  <c r="L9" i="13"/>
  <c r="L10" i="13"/>
  <c r="L11" i="13"/>
  <c r="J12" i="13"/>
  <c r="J13" i="13"/>
  <c r="I20" i="13"/>
  <c r="J6" i="13"/>
  <c r="J7" i="13"/>
  <c r="J8" i="13"/>
  <c r="J9" i="13"/>
  <c r="J10" i="13"/>
  <c r="J11" i="13"/>
  <c r="J5" i="13"/>
  <c r="G20" i="13"/>
  <c r="E20" i="13"/>
  <c r="C20" i="13"/>
  <c r="C65" i="5"/>
  <c r="H11" i="13"/>
  <c r="H10" i="13"/>
  <c r="H9" i="13"/>
  <c r="H8" i="13"/>
  <c r="H7" i="13"/>
  <c r="H6" i="13"/>
  <c r="H5" i="13"/>
  <c r="I54" i="2"/>
  <c r="I56" i="2"/>
  <c r="I55" i="2"/>
  <c r="C53" i="5"/>
  <c r="C54" i="5"/>
  <c r="C55" i="5"/>
  <c r="C24" i="5"/>
  <c r="F9" i="5"/>
  <c r="C8" i="5"/>
  <c r="C41" i="5"/>
  <c r="C39" i="5"/>
  <c r="C40" i="5" s="1"/>
  <c r="C23" i="5"/>
  <c r="C25" i="5"/>
  <c r="C26" i="5" s="1"/>
  <c r="C27" i="5" s="1"/>
  <c r="C9" i="5"/>
  <c r="F56" i="2"/>
  <c r="F54" i="2"/>
  <c r="F55" i="2"/>
  <c r="F53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2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C23" i="1" s="1"/>
  <c r="C24" i="1" s="1"/>
  <c r="C25" i="1" s="1"/>
  <c r="C26" i="1" s="1"/>
  <c r="C27" i="1" s="1"/>
  <c r="C28" i="1" s="1"/>
  <c r="C29" i="1" s="1"/>
  <c r="C30" i="1" s="1"/>
  <c r="B23" i="1"/>
  <c r="B24" i="1"/>
  <c r="B25" i="1"/>
  <c r="B26" i="1"/>
  <c r="B27" i="1"/>
  <c r="B28" i="1"/>
  <c r="B29" i="1"/>
  <c r="B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B10" i="1"/>
  <c r="B11" i="1"/>
  <c r="B12" i="1"/>
  <c r="B13" i="1"/>
  <c r="B14" i="1"/>
  <c r="B15" i="1"/>
  <c r="B9" i="1"/>
  <c r="C2" i="1"/>
  <c r="B2" i="1"/>
  <c r="B3" i="1"/>
  <c r="B5" i="1" s="1"/>
  <c r="B7" i="1" s="1"/>
  <c r="B4" i="1"/>
  <c r="B6" i="1" s="1"/>
  <c r="B8" i="1" s="1"/>
  <c r="F58" i="2" l="1"/>
  <c r="CE6" i="9"/>
  <c r="CE9" i="9"/>
  <c r="M39" i="17"/>
  <c r="BX17" i="17"/>
  <c r="AQ25" i="17"/>
  <c r="AP30" i="17"/>
  <c r="AP39" i="17"/>
  <c r="AR7" i="6"/>
  <c r="AQ6" i="6"/>
  <c r="AO2" i="2" s="1"/>
  <c r="AQ8" i="6"/>
  <c r="BW9" i="10"/>
  <c r="BW26" i="10" s="1"/>
  <c r="BV26" i="10"/>
  <c r="AS6" i="10"/>
  <c r="AS8" i="10"/>
  <c r="AT7" i="10"/>
  <c r="AX26" i="10"/>
  <c r="AY9" i="10"/>
  <c r="F7" i="10"/>
  <c r="AP3" i="2"/>
  <c r="AP6" i="6"/>
  <c r="AN2" i="2" s="1"/>
  <c r="AP8" i="6"/>
  <c r="D6" i="10"/>
  <c r="B3" i="2" s="1"/>
  <c r="J6" i="9"/>
  <c r="J9" i="9"/>
  <c r="K8" i="9"/>
  <c r="L8" i="9" s="1"/>
  <c r="L6" i="9" s="1"/>
  <c r="F11" i="8"/>
  <c r="F7" i="17"/>
  <c r="F6" i="17" s="1"/>
  <c r="D4" i="2" s="1"/>
  <c r="G9" i="10"/>
  <c r="G26" i="10" s="1"/>
  <c r="E8" i="17"/>
  <c r="I8" i="7"/>
  <c r="I6" i="7" s="1"/>
  <c r="H9" i="7"/>
  <c r="E6" i="10"/>
  <c r="C3" i="2" s="1"/>
  <c r="D8" i="10"/>
  <c r="F6" i="6"/>
  <c r="D2" i="2" s="1"/>
  <c r="E8" i="6"/>
  <c r="G10" i="8"/>
  <c r="G6" i="8" s="1"/>
  <c r="C5" i="2" s="1"/>
  <c r="C57" i="5"/>
  <c r="C11" i="5"/>
  <c r="C12" i="5" s="1"/>
  <c r="C42" i="5"/>
  <c r="C44" i="5" s="1"/>
  <c r="C30" i="5"/>
  <c r="F59" i="2"/>
  <c r="B269" i="1"/>
  <c r="B271" i="1" s="1"/>
  <c r="B273" i="1" s="1"/>
  <c r="B270" i="1"/>
  <c r="B272" i="1" s="1"/>
  <c r="B274" i="1" s="1"/>
  <c r="B275" i="1"/>
  <c r="B38" i="1"/>
  <c r="B40" i="1" s="1"/>
  <c r="B42" i="1" s="1"/>
  <c r="B39" i="1"/>
  <c r="B41" i="1" s="1"/>
  <c r="B43" i="1" s="1"/>
  <c r="B44" i="1"/>
  <c r="D58" i="2" l="1"/>
  <c r="AR25" i="17"/>
  <c r="AQ30" i="17"/>
  <c r="AQ39" i="17"/>
  <c r="BY17" i="17"/>
  <c r="AS7" i="6"/>
  <c r="AR6" i="6"/>
  <c r="AP2" i="2" s="1"/>
  <c r="AR8" i="6"/>
  <c r="AY26" i="10"/>
  <c r="AZ9" i="10"/>
  <c r="AT6" i="10"/>
  <c r="AT8" i="10"/>
  <c r="AU7" i="10"/>
  <c r="G7" i="10"/>
  <c r="AQ3" i="2"/>
  <c r="K9" i="9"/>
  <c r="K6" i="9"/>
  <c r="M8" i="9"/>
  <c r="M6" i="9" s="1"/>
  <c r="L9" i="9"/>
  <c r="E8" i="10"/>
  <c r="D59" i="2"/>
  <c r="G7" i="17"/>
  <c r="G6" i="17" s="1"/>
  <c r="E4" i="2" s="1"/>
  <c r="F8" i="17"/>
  <c r="H9" i="10"/>
  <c r="H26" i="10" s="1"/>
  <c r="F6" i="10"/>
  <c r="D3" i="2" s="1"/>
  <c r="J8" i="7"/>
  <c r="J6" i="7" s="1"/>
  <c r="I9" i="7"/>
  <c r="H10" i="8"/>
  <c r="H6" i="8" s="1"/>
  <c r="D5" i="2" s="1"/>
  <c r="G11" i="8"/>
  <c r="G6" i="6"/>
  <c r="E2" i="2" s="1"/>
  <c r="F8" i="6"/>
  <c r="B282" i="1"/>
  <c r="B276" i="1"/>
  <c r="B278" i="1" s="1"/>
  <c r="B280" i="1" s="1"/>
  <c r="B277" i="1"/>
  <c r="B279" i="1" s="1"/>
  <c r="B281" i="1" s="1"/>
  <c r="C269" i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B51" i="1"/>
  <c r="B45" i="1"/>
  <c r="B47" i="1" s="1"/>
  <c r="B49" i="1" s="1"/>
  <c r="B46" i="1"/>
  <c r="B48" i="1" s="1"/>
  <c r="B50" i="1" s="1"/>
  <c r="C38" i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BZ17" i="17" l="1"/>
  <c r="AS25" i="17"/>
  <c r="AR30" i="17"/>
  <c r="AR39" i="17" s="1"/>
  <c r="AT7" i="6"/>
  <c r="AS6" i="6"/>
  <c r="AQ2" i="2" s="1"/>
  <c r="AS8" i="6"/>
  <c r="AU6" i="10"/>
  <c r="AV7" i="10"/>
  <c r="AU8" i="10"/>
  <c r="AZ26" i="10"/>
  <c r="BA9" i="10"/>
  <c r="H7" i="10"/>
  <c r="AR3" i="2"/>
  <c r="N8" i="9"/>
  <c r="M9" i="9"/>
  <c r="G6" i="10"/>
  <c r="E3" i="2" s="1"/>
  <c r="G8" i="17"/>
  <c r="H7" i="17"/>
  <c r="H6" i="17" s="1"/>
  <c r="F4" i="2" s="1"/>
  <c r="I9" i="10"/>
  <c r="I26" i="10" s="1"/>
  <c r="F8" i="10"/>
  <c r="K8" i="7"/>
  <c r="K6" i="7" s="1"/>
  <c r="J9" i="7"/>
  <c r="H11" i="8"/>
  <c r="I10" i="8"/>
  <c r="I6" i="8" s="1"/>
  <c r="E5" i="2" s="1"/>
  <c r="H6" i="6"/>
  <c r="F2" i="2" s="1"/>
  <c r="G8" i="6"/>
  <c r="B289" i="1"/>
  <c r="B283" i="1"/>
  <c r="B285" i="1" s="1"/>
  <c r="B287" i="1" s="1"/>
  <c r="B284" i="1"/>
  <c r="B286" i="1" s="1"/>
  <c r="B288" i="1" s="1"/>
  <c r="B58" i="1"/>
  <c r="B52" i="1"/>
  <c r="B54" i="1" s="1"/>
  <c r="B56" i="1" s="1"/>
  <c r="B53" i="1"/>
  <c r="B55" i="1" s="1"/>
  <c r="B57" i="1" s="1"/>
  <c r="B17" i="17" l="1"/>
  <c r="CA17" i="17"/>
  <c r="AT25" i="17"/>
  <c r="AS30" i="17"/>
  <c r="AS39" i="17" s="1"/>
  <c r="AU7" i="6"/>
  <c r="AT6" i="6"/>
  <c r="AR2" i="2" s="1"/>
  <c r="AT8" i="6"/>
  <c r="BA26" i="10"/>
  <c r="BB9" i="10"/>
  <c r="AV6" i="10"/>
  <c r="AW7" i="10"/>
  <c r="AV8" i="10"/>
  <c r="I7" i="10"/>
  <c r="AS3" i="2"/>
  <c r="O8" i="9"/>
  <c r="O6" i="9" s="1"/>
  <c r="N6" i="9"/>
  <c r="P8" i="9"/>
  <c r="P6" i="9" s="1"/>
  <c r="O9" i="9"/>
  <c r="N9" i="9"/>
  <c r="H6" i="10"/>
  <c r="F3" i="2" s="1"/>
  <c r="G8" i="10"/>
  <c r="H8" i="17"/>
  <c r="I7" i="17"/>
  <c r="I6" i="17" s="1"/>
  <c r="G4" i="2" s="1"/>
  <c r="J9" i="10"/>
  <c r="J26" i="10" s="1"/>
  <c r="L8" i="7"/>
  <c r="L6" i="7" s="1"/>
  <c r="K9" i="7"/>
  <c r="J10" i="8"/>
  <c r="J6" i="8" s="1"/>
  <c r="F5" i="2" s="1"/>
  <c r="I11" i="8"/>
  <c r="I6" i="6"/>
  <c r="G2" i="2" s="1"/>
  <c r="H8" i="6"/>
  <c r="B296" i="1"/>
  <c r="B290" i="1"/>
  <c r="B292" i="1" s="1"/>
  <c r="B294" i="1" s="1"/>
  <c r="B291" i="1"/>
  <c r="B293" i="1" s="1"/>
  <c r="B295" i="1" s="1"/>
  <c r="C283" i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B65" i="1"/>
  <c r="B59" i="1"/>
  <c r="B61" i="1" s="1"/>
  <c r="B63" i="1" s="1"/>
  <c r="B60" i="1"/>
  <c r="B62" i="1" s="1"/>
  <c r="B64" i="1" s="1"/>
  <c r="C52" i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B17" i="17" l="1"/>
  <c r="AU25" i="17"/>
  <c r="AT30" i="17"/>
  <c r="AT39" i="17" s="1"/>
  <c r="AV7" i="6"/>
  <c r="AU6" i="6"/>
  <c r="AS2" i="2" s="1"/>
  <c r="AU8" i="6"/>
  <c r="AW8" i="10"/>
  <c r="AW6" i="10"/>
  <c r="AX7" i="10"/>
  <c r="BC9" i="10"/>
  <c r="BB26" i="10"/>
  <c r="J7" i="10"/>
  <c r="AT3" i="2"/>
  <c r="Q8" i="9"/>
  <c r="P9" i="9"/>
  <c r="H8" i="10"/>
  <c r="I6" i="10"/>
  <c r="G3" i="2" s="1"/>
  <c r="I8" i="17"/>
  <c r="J7" i="17"/>
  <c r="J6" i="17" s="1"/>
  <c r="H4" i="2" s="1"/>
  <c r="K9" i="10"/>
  <c r="K26" i="10" s="1"/>
  <c r="I8" i="6"/>
  <c r="J6" i="6"/>
  <c r="H2" i="2" s="1"/>
  <c r="M8" i="7"/>
  <c r="M6" i="7" s="1"/>
  <c r="L9" i="7"/>
  <c r="K10" i="8"/>
  <c r="K6" i="8" s="1"/>
  <c r="G5" i="2" s="1"/>
  <c r="J11" i="8"/>
  <c r="B303" i="1"/>
  <c r="B297" i="1"/>
  <c r="B299" i="1" s="1"/>
  <c r="B301" i="1" s="1"/>
  <c r="B298" i="1"/>
  <c r="B300" i="1" s="1"/>
  <c r="B302" i="1" s="1"/>
  <c r="B72" i="1"/>
  <c r="B66" i="1"/>
  <c r="B68" i="1" s="1"/>
  <c r="B70" i="1" s="1"/>
  <c r="B67" i="1"/>
  <c r="B69" i="1" s="1"/>
  <c r="B71" i="1" s="1"/>
  <c r="CC17" i="17" l="1"/>
  <c r="AV25" i="17"/>
  <c r="AU30" i="17"/>
  <c r="AU39" i="17"/>
  <c r="AW7" i="6"/>
  <c r="AV6" i="6"/>
  <c r="AT2" i="2" s="1"/>
  <c r="AV8" i="6"/>
  <c r="BD9" i="10"/>
  <c r="BC26" i="10"/>
  <c r="AX8" i="10"/>
  <c r="AX6" i="10"/>
  <c r="AY7" i="10"/>
  <c r="K7" i="10"/>
  <c r="AU3" i="2"/>
  <c r="R8" i="9"/>
  <c r="R6" i="9" s="1"/>
  <c r="Q6" i="9"/>
  <c r="S8" i="9"/>
  <c r="S6" i="9" s="1"/>
  <c r="R9" i="9"/>
  <c r="Q9" i="9"/>
  <c r="I8" i="10"/>
  <c r="J6" i="10"/>
  <c r="H3" i="2" s="1"/>
  <c r="K7" i="17"/>
  <c r="K6" i="17" s="1"/>
  <c r="I4" i="2" s="1"/>
  <c r="J8" i="17"/>
  <c r="L10" i="8"/>
  <c r="L6" i="8" s="1"/>
  <c r="H5" i="2" s="1"/>
  <c r="L9" i="10"/>
  <c r="L26" i="10" s="1"/>
  <c r="K6" i="6"/>
  <c r="I2" i="2" s="1"/>
  <c r="J8" i="6"/>
  <c r="M9" i="7"/>
  <c r="N8" i="7"/>
  <c r="N6" i="7" s="1"/>
  <c r="K11" i="8"/>
  <c r="B310" i="1"/>
  <c r="B304" i="1"/>
  <c r="B306" i="1" s="1"/>
  <c r="B308" i="1" s="1"/>
  <c r="B305" i="1"/>
  <c r="B307" i="1" s="1"/>
  <c r="B309" i="1" s="1"/>
  <c r="C297" i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B79" i="1"/>
  <c r="B74" i="1"/>
  <c r="B76" i="1" s="1"/>
  <c r="B78" i="1" s="1"/>
  <c r="B73" i="1"/>
  <c r="B75" i="1" s="1"/>
  <c r="B77" i="1" s="1"/>
  <c r="C66" i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AW25" i="17" l="1"/>
  <c r="AV30" i="17"/>
  <c r="AV39" i="17" s="1"/>
  <c r="AX7" i="6"/>
  <c r="AW6" i="6"/>
  <c r="AU2" i="2" s="1"/>
  <c r="AW8" i="6"/>
  <c r="AY8" i="10"/>
  <c r="AZ7" i="10"/>
  <c r="AY6" i="10"/>
  <c r="BE9" i="10"/>
  <c r="BD26" i="10"/>
  <c r="L7" i="10"/>
  <c r="AV3" i="2"/>
  <c r="M9" i="10"/>
  <c r="T8" i="9"/>
  <c r="T6" i="9" s="1"/>
  <c r="S9" i="9"/>
  <c r="J8" i="10"/>
  <c r="K6" i="10"/>
  <c r="I3" i="2" s="1"/>
  <c r="K8" i="17"/>
  <c r="L7" i="17"/>
  <c r="L11" i="8"/>
  <c r="M10" i="8"/>
  <c r="M6" i="8" s="1"/>
  <c r="I5" i="2" s="1"/>
  <c r="K8" i="6"/>
  <c r="N9" i="7"/>
  <c r="O8" i="7"/>
  <c r="O6" i="7" s="1"/>
  <c r="B317" i="1"/>
  <c r="B311" i="1"/>
  <c r="B313" i="1" s="1"/>
  <c r="B315" i="1" s="1"/>
  <c r="B312" i="1"/>
  <c r="B314" i="1" s="1"/>
  <c r="B316" i="1" s="1"/>
  <c r="B86" i="1"/>
  <c r="B80" i="1"/>
  <c r="B82" i="1" s="1"/>
  <c r="B84" i="1" s="1"/>
  <c r="B81" i="1"/>
  <c r="B83" i="1" s="1"/>
  <c r="B85" i="1" s="1"/>
  <c r="AX25" i="17" l="1"/>
  <c r="AW30" i="17"/>
  <c r="AW39" i="17"/>
  <c r="AX8" i="6"/>
  <c r="AX6" i="6"/>
  <c r="AV2" i="2" s="1"/>
  <c r="AY7" i="6"/>
  <c r="BF9" i="10"/>
  <c r="BE26" i="10"/>
  <c r="AZ8" i="10"/>
  <c r="BA7" i="10"/>
  <c r="AZ6" i="10"/>
  <c r="M7" i="10"/>
  <c r="AW3" i="2"/>
  <c r="N9" i="10"/>
  <c r="M26" i="10"/>
  <c r="M6" i="6"/>
  <c r="K2" i="2" s="1"/>
  <c r="L6" i="6"/>
  <c r="J2" i="2" s="1"/>
  <c r="M7" i="17"/>
  <c r="M6" i="17" s="1"/>
  <c r="K4" i="2" s="1"/>
  <c r="L6" i="17"/>
  <c r="J4" i="2" s="1"/>
  <c r="U8" i="9"/>
  <c r="U6" i="9" s="1"/>
  <c r="T9" i="9"/>
  <c r="L6" i="10"/>
  <c r="J3" i="2" s="1"/>
  <c r="K8" i="10"/>
  <c r="L8" i="17"/>
  <c r="M11" i="8"/>
  <c r="N10" i="8"/>
  <c r="N6" i="8" s="1"/>
  <c r="J5" i="2" s="1"/>
  <c r="L8" i="6"/>
  <c r="P8" i="7"/>
  <c r="O9" i="7"/>
  <c r="B324" i="1"/>
  <c r="B318" i="1"/>
  <c r="B320" i="1" s="1"/>
  <c r="B322" i="1" s="1"/>
  <c r="B319" i="1"/>
  <c r="B321" i="1" s="1"/>
  <c r="B323" i="1" s="1"/>
  <c r="C311" i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B93" i="1"/>
  <c r="B87" i="1"/>
  <c r="B89" i="1" s="1"/>
  <c r="B91" i="1" s="1"/>
  <c r="B88" i="1"/>
  <c r="B90" i="1" s="1"/>
  <c r="B92" i="1" s="1"/>
  <c r="C80" i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AY25" i="17" l="1"/>
  <c r="AX30" i="17"/>
  <c r="AX39" i="17"/>
  <c r="AZ7" i="6"/>
  <c r="AY6" i="6"/>
  <c r="AW2" i="2" s="1"/>
  <c r="AY8" i="6"/>
  <c r="BA8" i="10"/>
  <c r="BB7" i="10"/>
  <c r="BA6" i="10"/>
  <c r="BF26" i="10"/>
  <c r="BG9" i="10"/>
  <c r="AX3" i="2"/>
  <c r="M8" i="6"/>
  <c r="N6" i="6"/>
  <c r="L2" i="2" s="1"/>
  <c r="O9" i="10"/>
  <c r="N26" i="10"/>
  <c r="N7" i="10" s="1"/>
  <c r="Q8" i="7"/>
  <c r="Q6" i="7" s="1"/>
  <c r="P6" i="7"/>
  <c r="M8" i="17"/>
  <c r="N7" i="17"/>
  <c r="N6" i="17" s="1"/>
  <c r="L4" i="2" s="1"/>
  <c r="V8" i="9"/>
  <c r="V6" i="9" s="1"/>
  <c r="U9" i="9"/>
  <c r="M6" i="10"/>
  <c r="K3" i="2" s="1"/>
  <c r="N11" i="8"/>
  <c r="O10" i="8"/>
  <c r="O6" i="8" s="1"/>
  <c r="K5" i="2" s="1"/>
  <c r="L8" i="10"/>
  <c r="P9" i="7"/>
  <c r="B331" i="1"/>
  <c r="B325" i="1"/>
  <c r="B327" i="1" s="1"/>
  <c r="B329" i="1" s="1"/>
  <c r="B326" i="1"/>
  <c r="B328" i="1" s="1"/>
  <c r="B330" i="1" s="1"/>
  <c r="B100" i="1"/>
  <c r="B94" i="1"/>
  <c r="B96" i="1" s="1"/>
  <c r="B98" i="1" s="1"/>
  <c r="B95" i="1"/>
  <c r="B97" i="1" s="1"/>
  <c r="B99" i="1" s="1"/>
  <c r="AY30" i="17" l="1"/>
  <c r="AZ25" i="17"/>
  <c r="AY39" i="17"/>
  <c r="BA7" i="6"/>
  <c r="AZ6" i="6"/>
  <c r="AX2" i="2" s="1"/>
  <c r="AZ8" i="6"/>
  <c r="BH9" i="10"/>
  <c r="BG26" i="10"/>
  <c r="BB8" i="10"/>
  <c r="BB6" i="10"/>
  <c r="BC7" i="10"/>
  <c r="O7" i="10"/>
  <c r="AY3" i="2"/>
  <c r="N8" i="6"/>
  <c r="O6" i="6"/>
  <c r="M2" i="2" s="1"/>
  <c r="Q9" i="7"/>
  <c r="R8" i="7"/>
  <c r="R6" i="7" s="1"/>
  <c r="O26" i="10"/>
  <c r="P9" i="10"/>
  <c r="N8" i="17"/>
  <c r="O7" i="17"/>
  <c r="O8" i="17" s="1"/>
  <c r="V9" i="9"/>
  <c r="W8" i="9"/>
  <c r="M8" i="10"/>
  <c r="N6" i="10"/>
  <c r="L3" i="2" s="1"/>
  <c r="P10" i="8"/>
  <c r="P6" i="8" s="1"/>
  <c r="L5" i="2" s="1"/>
  <c r="O11" i="8"/>
  <c r="C325" i="1"/>
  <c r="C326" i="1" s="1"/>
  <c r="C327" i="1" s="1"/>
  <c r="C328" i="1" s="1"/>
  <c r="C329" i="1" s="1"/>
  <c r="C330" i="1" s="1"/>
  <c r="C331" i="1" s="1"/>
  <c r="B101" i="1"/>
  <c r="B103" i="1" s="1"/>
  <c r="B105" i="1" s="1"/>
  <c r="B102" i="1"/>
  <c r="B104" i="1" s="1"/>
  <c r="B106" i="1" s="1"/>
  <c r="B107" i="1"/>
  <c r="C94" i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BA25" i="17" l="1"/>
  <c r="AZ30" i="17"/>
  <c r="AZ39" i="17"/>
  <c r="BA6" i="6"/>
  <c r="AY2" i="2" s="1"/>
  <c r="BA8" i="6"/>
  <c r="BB7" i="6"/>
  <c r="BD7" i="10"/>
  <c r="BC8" i="10"/>
  <c r="BC6" i="10"/>
  <c r="BI9" i="10"/>
  <c r="BH26" i="10"/>
  <c r="P7" i="10"/>
  <c r="AZ3" i="2"/>
  <c r="P6" i="6"/>
  <c r="N2" i="2" s="1"/>
  <c r="O8" i="6"/>
  <c r="R9" i="7"/>
  <c r="S8" i="7"/>
  <c r="T8" i="7" s="1"/>
  <c r="T6" i="7" s="1"/>
  <c r="Q9" i="10"/>
  <c r="P26" i="10"/>
  <c r="P7" i="17"/>
  <c r="O6" i="17"/>
  <c r="M4" i="2" s="1"/>
  <c r="X8" i="9"/>
  <c r="W6" i="9"/>
  <c r="W9" i="9"/>
  <c r="N8" i="10"/>
  <c r="Q10" i="8"/>
  <c r="P11" i="8"/>
  <c r="B108" i="1"/>
  <c r="B110" i="1" s="1"/>
  <c r="B112" i="1" s="1"/>
  <c r="B109" i="1"/>
  <c r="B111" i="1" s="1"/>
  <c r="B113" i="1" s="1"/>
  <c r="B114" i="1"/>
  <c r="BB25" i="17" l="1"/>
  <c r="BA30" i="17"/>
  <c r="BA39" i="17"/>
  <c r="BC7" i="6"/>
  <c r="BB6" i="6"/>
  <c r="AZ2" i="2" s="1"/>
  <c r="BB8" i="6"/>
  <c r="BJ9" i="10"/>
  <c r="BI26" i="10"/>
  <c r="BE7" i="10"/>
  <c r="BD6" i="10"/>
  <c r="BD8" i="10"/>
  <c r="BA3" i="2"/>
  <c r="Q6" i="6"/>
  <c r="O2" i="2" s="1"/>
  <c r="P8" i="6"/>
  <c r="S9" i="7"/>
  <c r="S6" i="7"/>
  <c r="R9" i="10"/>
  <c r="Q26" i="10"/>
  <c r="Q7" i="10" s="1"/>
  <c r="P6" i="10"/>
  <c r="N3" i="2" s="1"/>
  <c r="O6" i="10"/>
  <c r="M3" i="2" s="1"/>
  <c r="T9" i="7"/>
  <c r="U8" i="7"/>
  <c r="U6" i="7" s="1"/>
  <c r="P6" i="17"/>
  <c r="N4" i="2" s="1"/>
  <c r="Q7" i="17"/>
  <c r="P8" i="17"/>
  <c r="X6" i="9"/>
  <c r="Y8" i="9"/>
  <c r="X9" i="9"/>
  <c r="R10" i="8"/>
  <c r="R6" i="8" s="1"/>
  <c r="N5" i="2" s="1"/>
  <c r="Q6" i="8"/>
  <c r="M5" i="2" s="1"/>
  <c r="Q11" i="8"/>
  <c r="O8" i="10"/>
  <c r="B115" i="1"/>
  <c r="B117" i="1" s="1"/>
  <c r="B119" i="1" s="1"/>
  <c r="B116" i="1"/>
  <c r="B118" i="1" s="1"/>
  <c r="B120" i="1" s="1"/>
  <c r="B121" i="1"/>
  <c r="C108" i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BC25" i="17" l="1"/>
  <c r="BB30" i="17"/>
  <c r="BB39" i="17" s="1"/>
  <c r="BD7" i="6"/>
  <c r="BC6" i="6"/>
  <c r="BA2" i="2" s="1"/>
  <c r="BC8" i="6"/>
  <c r="BF7" i="10"/>
  <c r="BE6" i="10"/>
  <c r="BE8" i="10"/>
  <c r="BK9" i="10"/>
  <c r="BJ26" i="10"/>
  <c r="R7" i="10"/>
  <c r="BB3" i="2"/>
  <c r="R6" i="6"/>
  <c r="P2" i="2" s="1"/>
  <c r="Q8" i="6"/>
  <c r="U9" i="7"/>
  <c r="P8" i="10"/>
  <c r="Q6" i="10"/>
  <c r="O3" i="2" s="1"/>
  <c r="R26" i="10"/>
  <c r="S9" i="10"/>
  <c r="R11" i="8"/>
  <c r="V8" i="7"/>
  <c r="V6" i="7" s="1"/>
  <c r="Q6" i="17"/>
  <c r="O4" i="2" s="1"/>
  <c r="R7" i="17"/>
  <c r="Q8" i="17"/>
  <c r="Y6" i="9"/>
  <c r="Z8" i="9"/>
  <c r="AA8" i="9" s="1"/>
  <c r="Y9" i="9"/>
  <c r="S10" i="8"/>
  <c r="S6" i="8" s="1"/>
  <c r="O5" i="2" s="1"/>
  <c r="B123" i="1"/>
  <c r="B125" i="1" s="1"/>
  <c r="B127" i="1" s="1"/>
  <c r="B128" i="1"/>
  <c r="B122" i="1"/>
  <c r="B124" i="1" s="1"/>
  <c r="B126" i="1" s="1"/>
  <c r="BD25" i="17" l="1"/>
  <c r="BC30" i="17"/>
  <c r="BC39" i="17"/>
  <c r="BE7" i="6"/>
  <c r="BD6" i="6"/>
  <c r="BB2" i="2" s="1"/>
  <c r="BD8" i="6"/>
  <c r="BL9" i="10"/>
  <c r="BK26" i="10"/>
  <c r="BG7" i="10"/>
  <c r="BF6" i="10"/>
  <c r="BF8" i="10"/>
  <c r="BC3" i="2"/>
  <c r="AA6" i="9"/>
  <c r="AB8" i="9"/>
  <c r="AA9" i="9"/>
  <c r="S6" i="6"/>
  <c r="Q2" i="2" s="1"/>
  <c r="R8" i="6"/>
  <c r="Q8" i="10"/>
  <c r="V9" i="7"/>
  <c r="W8" i="7"/>
  <c r="W6" i="7" s="1"/>
  <c r="T9" i="10"/>
  <c r="S26" i="10"/>
  <c r="S7" i="10" s="1"/>
  <c r="R6" i="17"/>
  <c r="P4" i="2" s="1"/>
  <c r="R8" i="17"/>
  <c r="S7" i="17"/>
  <c r="Z6" i="9"/>
  <c r="Z9" i="9"/>
  <c r="T10" i="8"/>
  <c r="T6" i="8" s="1"/>
  <c r="P5" i="2" s="1"/>
  <c r="S11" i="8"/>
  <c r="B130" i="1"/>
  <c r="B132" i="1" s="1"/>
  <c r="B134" i="1" s="1"/>
  <c r="B129" i="1"/>
  <c r="B131" i="1" s="1"/>
  <c r="B133" i="1" s="1"/>
  <c r="B135" i="1"/>
  <c r="C122" i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BE25" i="17" l="1"/>
  <c r="BD30" i="17"/>
  <c r="BD39" i="17"/>
  <c r="BE8" i="6"/>
  <c r="BF7" i="6"/>
  <c r="BE6" i="6"/>
  <c r="BC2" i="2" s="1"/>
  <c r="BH7" i="10"/>
  <c r="BG8" i="10"/>
  <c r="BG6" i="10"/>
  <c r="BM9" i="10"/>
  <c r="BL26" i="10"/>
  <c r="BD3" i="2"/>
  <c r="AB6" i="9"/>
  <c r="AC8" i="9"/>
  <c r="AB9" i="9"/>
  <c r="S6" i="10"/>
  <c r="Q3" i="2" s="1"/>
  <c r="T6" i="6"/>
  <c r="R2" i="2" s="1"/>
  <c r="S8" i="6"/>
  <c r="R8" i="10"/>
  <c r="R6" i="10"/>
  <c r="P3" i="2" s="1"/>
  <c r="W9" i="7"/>
  <c r="X8" i="7"/>
  <c r="X6" i="7" s="1"/>
  <c r="U9" i="10"/>
  <c r="T26" i="10"/>
  <c r="T7" i="10" s="1"/>
  <c r="U10" i="8"/>
  <c r="U6" i="8" s="1"/>
  <c r="Q5" i="2" s="1"/>
  <c r="S6" i="17"/>
  <c r="Q4" i="2" s="1"/>
  <c r="T7" i="17"/>
  <c r="S8" i="17"/>
  <c r="T11" i="8"/>
  <c r="B136" i="1"/>
  <c r="B138" i="1" s="1"/>
  <c r="B140" i="1" s="1"/>
  <c r="B137" i="1"/>
  <c r="B139" i="1" s="1"/>
  <c r="B141" i="1" s="1"/>
  <c r="B142" i="1"/>
  <c r="BF25" i="17" l="1"/>
  <c r="BE30" i="17"/>
  <c r="BE39" i="17"/>
  <c r="BF8" i="6"/>
  <c r="BG7" i="6"/>
  <c r="BF6" i="6"/>
  <c r="BD2" i="2" s="1"/>
  <c r="BN9" i="10"/>
  <c r="BM26" i="10"/>
  <c r="BI7" i="10"/>
  <c r="BH8" i="10"/>
  <c r="BH6" i="10"/>
  <c r="BE3" i="2"/>
  <c r="U6" i="6"/>
  <c r="S2" i="2" s="1"/>
  <c r="AD8" i="9"/>
  <c r="AC6" i="9"/>
  <c r="AC9" i="9"/>
  <c r="S8" i="10"/>
  <c r="T6" i="10"/>
  <c r="R3" i="2" s="1"/>
  <c r="T8" i="6"/>
  <c r="X9" i="7"/>
  <c r="Y8" i="7"/>
  <c r="Y6" i="7" s="1"/>
  <c r="V9" i="10"/>
  <c r="U26" i="10"/>
  <c r="U7" i="10" s="1"/>
  <c r="U11" i="8"/>
  <c r="V10" i="8"/>
  <c r="V6" i="8" s="1"/>
  <c r="R5" i="2" s="1"/>
  <c r="T6" i="17"/>
  <c r="R4" i="2" s="1"/>
  <c r="T8" i="17"/>
  <c r="U7" i="17"/>
  <c r="B149" i="1"/>
  <c r="B143" i="1"/>
  <c r="B145" i="1" s="1"/>
  <c r="B147" i="1" s="1"/>
  <c r="B144" i="1"/>
  <c r="B146" i="1" s="1"/>
  <c r="B148" i="1" s="1"/>
  <c r="C136" i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BG25" i="17" l="1"/>
  <c r="BF30" i="17"/>
  <c r="BF39" i="17"/>
  <c r="BG8" i="6"/>
  <c r="BH7" i="6"/>
  <c r="BG6" i="6"/>
  <c r="BE2" i="2" s="1"/>
  <c r="BJ7" i="10"/>
  <c r="BI8" i="10"/>
  <c r="BI6" i="10"/>
  <c r="BO9" i="10"/>
  <c r="BN26" i="10"/>
  <c r="V7" i="10"/>
  <c r="BF3" i="2"/>
  <c r="U8" i="6"/>
  <c r="V6" i="6"/>
  <c r="T2" i="2" s="1"/>
  <c r="AD9" i="9"/>
  <c r="AD6" i="9"/>
  <c r="AE8" i="9"/>
  <c r="T8" i="10"/>
  <c r="U8" i="10"/>
  <c r="Y9" i="7"/>
  <c r="Z8" i="7"/>
  <c r="Z6" i="7" s="1"/>
  <c r="W9" i="10"/>
  <c r="V26" i="10"/>
  <c r="W10" i="8"/>
  <c r="X10" i="8" s="1"/>
  <c r="V11" i="8"/>
  <c r="U6" i="17"/>
  <c r="S4" i="2" s="1"/>
  <c r="V7" i="17"/>
  <c r="U8" i="17"/>
  <c r="B151" i="1"/>
  <c r="B153" i="1" s="1"/>
  <c r="B155" i="1" s="1"/>
  <c r="B156" i="1"/>
  <c r="B150" i="1"/>
  <c r="B152" i="1" s="1"/>
  <c r="B154" i="1" s="1"/>
  <c r="BH25" i="17" l="1"/>
  <c r="BG30" i="17"/>
  <c r="BG39" i="17"/>
  <c r="BH8" i="6"/>
  <c r="BI7" i="6"/>
  <c r="BH6" i="6"/>
  <c r="BF2" i="2" s="1"/>
  <c r="BP9" i="10"/>
  <c r="BO26" i="10"/>
  <c r="BJ8" i="10"/>
  <c r="BJ6" i="10"/>
  <c r="BK7" i="10"/>
  <c r="BG3" i="2"/>
  <c r="V8" i="6"/>
  <c r="W6" i="6"/>
  <c r="U2" i="2" s="1"/>
  <c r="AE6" i="9"/>
  <c r="AF8" i="9"/>
  <c r="AG8" i="9" s="1"/>
  <c r="AE9" i="9"/>
  <c r="U6" i="10"/>
  <c r="S3" i="2" s="1"/>
  <c r="V8" i="10"/>
  <c r="Z9" i="7"/>
  <c r="AA8" i="7"/>
  <c r="AA6" i="7" s="1"/>
  <c r="X9" i="10"/>
  <c r="W26" i="10"/>
  <c r="W7" i="10" s="1"/>
  <c r="W11" i="8"/>
  <c r="W6" i="8"/>
  <c r="S5" i="2" s="1"/>
  <c r="V6" i="17"/>
  <c r="T4" i="2" s="1"/>
  <c r="W7" i="17"/>
  <c r="V8" i="17"/>
  <c r="Y10" i="8"/>
  <c r="X6" i="8"/>
  <c r="T5" i="2" s="1"/>
  <c r="X11" i="8"/>
  <c r="B158" i="1"/>
  <c r="B160" i="1" s="1"/>
  <c r="B162" i="1" s="1"/>
  <c r="B163" i="1"/>
  <c r="B157" i="1"/>
  <c r="B159" i="1" s="1"/>
  <c r="B161" i="1" s="1"/>
  <c r="C150" i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BI25" i="17" l="1"/>
  <c r="BH30" i="17"/>
  <c r="BH39" i="17"/>
  <c r="BI8" i="6"/>
  <c r="BI6" i="6"/>
  <c r="BG2" i="2" s="1"/>
  <c r="BJ7" i="6"/>
  <c r="BK6" i="10"/>
  <c r="BK8" i="10"/>
  <c r="BL7" i="10"/>
  <c r="BP26" i="10"/>
  <c r="BQ9" i="10"/>
  <c r="BQ26" i="10" s="1"/>
  <c r="BH3" i="2"/>
  <c r="Z6" i="6"/>
  <c r="X2" i="2" s="1"/>
  <c r="W8" i="6"/>
  <c r="AG6" i="9"/>
  <c r="AH8" i="9"/>
  <c r="AG9" i="9"/>
  <c r="AF6" i="9"/>
  <c r="AF9" i="9"/>
  <c r="V6" i="10"/>
  <c r="T3" i="2" s="1"/>
  <c r="W6" i="10"/>
  <c r="U3" i="2" s="1"/>
  <c r="X26" i="10"/>
  <c r="X7" i="10" s="1"/>
  <c r="Y9" i="10"/>
  <c r="AB8" i="7"/>
  <c r="AA9" i="7"/>
  <c r="W6" i="17"/>
  <c r="U4" i="2" s="1"/>
  <c r="X7" i="17"/>
  <c r="Y7" i="17" s="1"/>
  <c r="W8" i="17"/>
  <c r="Z10" i="8"/>
  <c r="AA10" i="8" s="1"/>
  <c r="Y11" i="8"/>
  <c r="Y6" i="8"/>
  <c r="U5" i="2" s="1"/>
  <c r="B165" i="1"/>
  <c r="B167" i="1" s="1"/>
  <c r="B169" i="1" s="1"/>
  <c r="B170" i="1"/>
  <c r="B164" i="1"/>
  <c r="B166" i="1" s="1"/>
  <c r="B168" i="1" s="1"/>
  <c r="BJ25" i="17" l="1"/>
  <c r="BI30" i="17"/>
  <c r="BI39" i="17"/>
  <c r="BJ8" i="6"/>
  <c r="BJ6" i="6"/>
  <c r="BH2" i="2" s="1"/>
  <c r="BK7" i="6"/>
  <c r="BL6" i="10"/>
  <c r="BL8" i="10"/>
  <c r="BM7" i="10"/>
  <c r="BI3" i="2"/>
  <c r="X6" i="6"/>
  <c r="V2" i="2" s="1"/>
  <c r="Z8" i="6"/>
  <c r="AB8" i="6"/>
  <c r="X8" i="6"/>
  <c r="Y8" i="6"/>
  <c r="Y6" i="6"/>
  <c r="W2" i="2" s="1"/>
  <c r="AH6" i="9"/>
  <c r="AI8" i="9"/>
  <c r="AJ8" i="9" s="1"/>
  <c r="AH9" i="9"/>
  <c r="AA11" i="8"/>
  <c r="AA6" i="8"/>
  <c r="W5" i="2" s="1"/>
  <c r="AB10" i="8"/>
  <c r="AB9" i="7"/>
  <c r="AC8" i="7"/>
  <c r="Y6" i="17"/>
  <c r="W4" i="2" s="1"/>
  <c r="Z7" i="17"/>
  <c r="Y8" i="17"/>
  <c r="X6" i="10"/>
  <c r="V3" i="2" s="1"/>
  <c r="W8" i="10"/>
  <c r="Y26" i="10"/>
  <c r="Y7" i="10" s="1"/>
  <c r="Z9" i="10"/>
  <c r="AB6" i="7"/>
  <c r="X8" i="17"/>
  <c r="X6" i="17"/>
  <c r="V4" i="2" s="1"/>
  <c r="Z11" i="8"/>
  <c r="Z6" i="8"/>
  <c r="V5" i="2" s="1"/>
  <c r="B171" i="1"/>
  <c r="B173" i="1" s="1"/>
  <c r="B175" i="1" s="1"/>
  <c r="B172" i="1"/>
  <c r="B174" i="1" s="1"/>
  <c r="B176" i="1" s="1"/>
  <c r="B177" i="1"/>
  <c r="C164" i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BK25" i="17" l="1"/>
  <c r="BJ30" i="17"/>
  <c r="BJ39" i="17" s="1"/>
  <c r="BK6" i="6"/>
  <c r="BI2" i="2" s="1"/>
  <c r="BK8" i="6"/>
  <c r="BL7" i="6"/>
  <c r="BM6" i="10"/>
  <c r="BN7" i="10"/>
  <c r="BM8" i="10"/>
  <c r="BJ3" i="2"/>
  <c r="AA8" i="6"/>
  <c r="AA6" i="6"/>
  <c r="Y2" i="2" s="1"/>
  <c r="AC6" i="6"/>
  <c r="AA2" i="2" s="1"/>
  <c r="AB6" i="6"/>
  <c r="Z2" i="2" s="1"/>
  <c r="AJ6" i="9"/>
  <c r="AJ9" i="9"/>
  <c r="AK8" i="9"/>
  <c r="AI6" i="9"/>
  <c r="AI9" i="9"/>
  <c r="AB6" i="8"/>
  <c r="X5" i="2" s="1"/>
  <c r="AC10" i="8"/>
  <c r="AB11" i="8"/>
  <c r="AC6" i="7"/>
  <c r="AD8" i="7"/>
  <c r="AC9" i="7"/>
  <c r="Y8" i="10"/>
  <c r="X8" i="10"/>
  <c r="Z6" i="17"/>
  <c r="X4" i="2" s="1"/>
  <c r="AA7" i="17"/>
  <c r="Z8" i="17"/>
  <c r="Z26" i="10"/>
  <c r="Z7" i="10" s="1"/>
  <c r="AA9" i="10"/>
  <c r="B178" i="1"/>
  <c r="B180" i="1" s="1"/>
  <c r="B182" i="1" s="1"/>
  <c r="B184" i="1"/>
  <c r="B179" i="1"/>
  <c r="B181" i="1" s="1"/>
  <c r="B183" i="1" s="1"/>
  <c r="BL25" i="17" l="1"/>
  <c r="BK30" i="17"/>
  <c r="BK39" i="17"/>
  <c r="BL8" i="6"/>
  <c r="BL6" i="6"/>
  <c r="BJ2" i="2" s="1"/>
  <c r="BM7" i="6"/>
  <c r="BN6" i="10"/>
  <c r="BO7" i="10"/>
  <c r="BN8" i="10"/>
  <c r="BK3" i="2"/>
  <c r="AC8" i="6"/>
  <c r="AE6" i="6"/>
  <c r="AC2" i="2" s="1"/>
  <c r="AL8" i="9"/>
  <c r="AM8" i="9" s="1"/>
  <c r="AK6" i="9"/>
  <c r="AK9" i="9"/>
  <c r="AD10" i="8"/>
  <c r="AC6" i="8"/>
  <c r="Y5" i="2" s="1"/>
  <c r="AC11" i="8"/>
  <c r="AD6" i="7"/>
  <c r="AE8" i="7"/>
  <c r="AD9" i="7"/>
  <c r="Z6" i="10"/>
  <c r="X3" i="2" s="1"/>
  <c r="Y6" i="10"/>
  <c r="W3" i="2" s="1"/>
  <c r="AB7" i="17"/>
  <c r="AA6" i="17"/>
  <c r="Y4" i="2" s="1"/>
  <c r="AA8" i="17"/>
  <c r="AA26" i="10"/>
  <c r="AA7" i="10" s="1"/>
  <c r="AB9" i="10"/>
  <c r="B191" i="1"/>
  <c r="B185" i="1"/>
  <c r="B187" i="1" s="1"/>
  <c r="B189" i="1" s="1"/>
  <c r="B186" i="1"/>
  <c r="B188" i="1" s="1"/>
  <c r="B190" i="1" s="1"/>
  <c r="C178" i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BM25" i="17" l="1"/>
  <c r="BL30" i="17"/>
  <c r="BL39" i="17"/>
  <c r="BM6" i="6"/>
  <c r="BK2" i="2" s="1"/>
  <c r="BM8" i="6"/>
  <c r="BN7" i="6"/>
  <c r="BO6" i="10"/>
  <c r="BP7" i="10"/>
  <c r="BO8" i="10"/>
  <c r="BL3" i="2"/>
  <c r="AM6" i="9"/>
  <c r="AN8" i="9"/>
  <c r="AM9" i="9"/>
  <c r="AE8" i="6"/>
  <c r="AF8" i="6"/>
  <c r="AD8" i="6"/>
  <c r="AD6" i="6"/>
  <c r="AB2" i="2" s="1"/>
  <c r="AF6" i="6"/>
  <c r="AD2" i="2" s="1"/>
  <c r="AL6" i="9"/>
  <c r="AL9" i="9"/>
  <c r="AD6" i="8"/>
  <c r="Z5" i="2" s="1"/>
  <c r="AE10" i="8"/>
  <c r="AD11" i="8"/>
  <c r="AF8" i="7"/>
  <c r="AE6" i="7"/>
  <c r="AE9" i="7"/>
  <c r="AA8" i="10"/>
  <c r="Z8" i="10"/>
  <c r="AB6" i="17"/>
  <c r="Z4" i="2" s="1"/>
  <c r="AC7" i="17"/>
  <c r="AB8" i="17"/>
  <c r="AB26" i="10"/>
  <c r="AB7" i="10" s="1"/>
  <c r="AC9" i="10"/>
  <c r="B198" i="1"/>
  <c r="B192" i="1"/>
  <c r="B194" i="1" s="1"/>
  <c r="B196" i="1" s="1"/>
  <c r="B193" i="1"/>
  <c r="B195" i="1" s="1"/>
  <c r="B197" i="1" s="1"/>
  <c r="BN25" i="17" l="1"/>
  <c r="BM30" i="17"/>
  <c r="BM39" i="17" s="1"/>
  <c r="BN6" i="6"/>
  <c r="BL2" i="2" s="1"/>
  <c r="BN8" i="6"/>
  <c r="BO7" i="6"/>
  <c r="BP6" i="10"/>
  <c r="BN3" i="2" s="1"/>
  <c r="BQ7" i="10"/>
  <c r="BR7" i="10" s="1"/>
  <c r="BP8" i="10"/>
  <c r="BM3" i="2"/>
  <c r="AN6" i="9"/>
  <c r="AN9" i="9"/>
  <c r="AO8" i="9"/>
  <c r="AP8" i="9" s="1"/>
  <c r="AE6" i="8"/>
  <c r="AA5" i="2" s="1"/>
  <c r="AF10" i="8"/>
  <c r="AG10" i="8" s="1"/>
  <c r="AE11" i="8"/>
  <c r="AF6" i="7"/>
  <c r="AG8" i="7"/>
  <c r="AF9" i="7"/>
  <c r="AB6" i="10"/>
  <c r="Z3" i="2" s="1"/>
  <c r="AA6" i="10"/>
  <c r="Y3" i="2" s="1"/>
  <c r="AC6" i="17"/>
  <c r="AA4" i="2" s="1"/>
  <c r="AD7" i="17"/>
  <c r="AE7" i="17" s="1"/>
  <c r="AF7" i="17" s="1"/>
  <c r="AC8" i="17"/>
  <c r="AC26" i="10"/>
  <c r="AC7" i="10" s="1"/>
  <c r="AD9" i="10"/>
  <c r="B205" i="1"/>
  <c r="B200" i="1"/>
  <c r="B202" i="1" s="1"/>
  <c r="B204" i="1" s="1"/>
  <c r="B199" i="1"/>
  <c r="B201" i="1" s="1"/>
  <c r="B203" i="1" s="1"/>
  <c r="C192" i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BO25" i="17" l="1"/>
  <c r="BN30" i="17"/>
  <c r="BN39" i="17"/>
  <c r="BR8" i="10"/>
  <c r="BR6" i="10"/>
  <c r="BP3" i="2" s="1"/>
  <c r="BS7" i="10"/>
  <c r="BO6" i="6"/>
  <c r="BM2" i="2" s="1"/>
  <c r="BO8" i="6"/>
  <c r="BP7" i="6"/>
  <c r="BQ8" i="10"/>
  <c r="BQ6" i="10"/>
  <c r="BO3" i="2" s="1"/>
  <c r="AD7" i="10"/>
  <c r="AP9" i="9"/>
  <c r="AP6" i="9"/>
  <c r="AQ8" i="9"/>
  <c r="AO6" i="9"/>
  <c r="AO9" i="9"/>
  <c r="AD26" i="10"/>
  <c r="AE9" i="10"/>
  <c r="AG8" i="6"/>
  <c r="AG6" i="6"/>
  <c r="AE2" i="2" s="1"/>
  <c r="AH6" i="6"/>
  <c r="AF2" i="2" s="1"/>
  <c r="AH8" i="6"/>
  <c r="AG6" i="8"/>
  <c r="AC5" i="2" s="1"/>
  <c r="AH10" i="8"/>
  <c r="AG11" i="8"/>
  <c r="AE6" i="17"/>
  <c r="AC4" i="2" s="1"/>
  <c r="AE8" i="17"/>
  <c r="AF6" i="8"/>
  <c r="AB5" i="2" s="1"/>
  <c r="AF11" i="8"/>
  <c r="AG6" i="7"/>
  <c r="AH8" i="7"/>
  <c r="AI8" i="7" s="1"/>
  <c r="AG9" i="7"/>
  <c r="AB8" i="10"/>
  <c r="AD6" i="17"/>
  <c r="AB4" i="2" s="1"/>
  <c r="AD8" i="17"/>
  <c r="B207" i="1"/>
  <c r="B209" i="1" s="1"/>
  <c r="B211" i="1" s="1"/>
  <c r="B212" i="1"/>
  <c r="B206" i="1"/>
  <c r="B208" i="1" s="1"/>
  <c r="B210" i="1" s="1"/>
  <c r="BP25" i="17" l="1"/>
  <c r="BO30" i="17"/>
  <c r="BO39" i="17" s="1"/>
  <c r="BT7" i="10"/>
  <c r="BS8" i="10"/>
  <c r="BS6" i="10"/>
  <c r="BQ3" i="2" s="1"/>
  <c r="BP6" i="6"/>
  <c r="BN2" i="2" s="1"/>
  <c r="BQ7" i="6"/>
  <c r="BP8" i="6"/>
  <c r="AE7" i="10"/>
  <c r="AQ6" i="9"/>
  <c r="AR8" i="9"/>
  <c r="AS8" i="9" s="1"/>
  <c r="AQ9" i="9"/>
  <c r="AD6" i="10"/>
  <c r="AB3" i="2" s="1"/>
  <c r="AF9" i="10"/>
  <c r="AE26" i="10"/>
  <c r="AI8" i="6"/>
  <c r="AI6" i="6"/>
  <c r="AG2" i="2" s="1"/>
  <c r="AI6" i="7"/>
  <c r="AJ8" i="7"/>
  <c r="AI9" i="7"/>
  <c r="AC6" i="10"/>
  <c r="AA3" i="2" s="1"/>
  <c r="AH6" i="8"/>
  <c r="AD5" i="2" s="1"/>
  <c r="AI10" i="8"/>
  <c r="AJ10" i="8" s="1"/>
  <c r="AH11" i="8"/>
  <c r="AF6" i="17"/>
  <c r="AD4" i="2" s="1"/>
  <c r="AG7" i="17"/>
  <c r="AH7" i="17" s="1"/>
  <c r="AI7" i="17" s="1"/>
  <c r="AF8" i="17"/>
  <c r="AC8" i="10"/>
  <c r="AH6" i="7"/>
  <c r="AH9" i="7"/>
  <c r="B213" i="1"/>
  <c r="B215" i="1" s="1"/>
  <c r="B217" i="1" s="1"/>
  <c r="B214" i="1"/>
  <c r="B216" i="1" s="1"/>
  <c r="B218" i="1" s="1"/>
  <c r="B219" i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BQ25" i="17" l="1"/>
  <c r="BP30" i="17"/>
  <c r="BP39" i="17" s="1"/>
  <c r="BT6" i="10"/>
  <c r="BR3" i="2" s="1"/>
  <c r="BU7" i="10"/>
  <c r="BT8" i="10"/>
  <c r="BR7" i="6"/>
  <c r="BQ6" i="6"/>
  <c r="BO2" i="2" s="1"/>
  <c r="BQ8" i="6"/>
  <c r="AT8" i="9"/>
  <c r="AS6" i="9"/>
  <c r="AS9" i="9"/>
  <c r="AF7" i="10"/>
  <c r="AR6" i="9"/>
  <c r="AR9" i="9"/>
  <c r="AD8" i="10"/>
  <c r="AE6" i="10"/>
  <c r="AC3" i="2" s="1"/>
  <c r="AE8" i="10"/>
  <c r="AG9" i="10"/>
  <c r="AF26" i="10"/>
  <c r="AK6" i="6"/>
  <c r="AI2" i="2" s="1"/>
  <c r="AK8" i="6"/>
  <c r="AJ7" i="17"/>
  <c r="AK7" i="17" s="1"/>
  <c r="AI8" i="17"/>
  <c r="AI6" i="17"/>
  <c r="AG4" i="2" s="1"/>
  <c r="AJ8" i="6"/>
  <c r="AJ6" i="6"/>
  <c r="AH2" i="2" s="1"/>
  <c r="AJ11" i="8"/>
  <c r="AJ6" i="8"/>
  <c r="AF5" i="2" s="1"/>
  <c r="AK10" i="8"/>
  <c r="AJ6" i="7"/>
  <c r="AK8" i="7"/>
  <c r="AL8" i="7" s="1"/>
  <c r="AJ9" i="7"/>
  <c r="AH8" i="17"/>
  <c r="AH6" i="17"/>
  <c r="AF4" i="2" s="1"/>
  <c r="AI6" i="8"/>
  <c r="AE5" i="2" s="1"/>
  <c r="AI11" i="8"/>
  <c r="AG6" i="17"/>
  <c r="AE4" i="2" s="1"/>
  <c r="AG8" i="17"/>
  <c r="B221" i="1"/>
  <c r="B223" i="1" s="1"/>
  <c r="B225" i="1" s="1"/>
  <c r="B226" i="1"/>
  <c r="B220" i="1"/>
  <c r="B222" i="1" s="1"/>
  <c r="B224" i="1" s="1"/>
  <c r="BR25" i="17" l="1"/>
  <c r="BQ30" i="17"/>
  <c r="BQ39" i="17" s="1"/>
  <c r="BU6" i="10"/>
  <c r="BS3" i="2" s="1"/>
  <c r="BV7" i="10"/>
  <c r="BU8" i="10"/>
  <c r="BS7" i="6"/>
  <c r="BR6" i="6"/>
  <c r="BP2" i="2" s="1"/>
  <c r="BR8" i="6"/>
  <c r="AU8" i="9"/>
  <c r="AT9" i="9"/>
  <c r="AT6" i="9"/>
  <c r="AG7" i="10"/>
  <c r="AK6" i="17"/>
  <c r="AI4" i="2" s="1"/>
  <c r="AL7" i="17"/>
  <c r="AK8" i="17"/>
  <c r="AF6" i="10"/>
  <c r="AD3" i="2" s="1"/>
  <c r="AF8" i="10"/>
  <c r="AH9" i="10"/>
  <c r="AG26" i="10"/>
  <c r="AL6" i="6"/>
  <c r="AJ2" i="2" s="1"/>
  <c r="AL8" i="6"/>
  <c r="AM8" i="7"/>
  <c r="AL6" i="7"/>
  <c r="AL9" i="7"/>
  <c r="AJ8" i="17"/>
  <c r="AJ6" i="17"/>
  <c r="AH4" i="2" s="1"/>
  <c r="AK6" i="8"/>
  <c r="AG5" i="2" s="1"/>
  <c r="AL10" i="8"/>
  <c r="AM10" i="8" s="1"/>
  <c r="AK11" i="8"/>
  <c r="AK9" i="7"/>
  <c r="AK6" i="7"/>
  <c r="B233" i="1"/>
  <c r="B227" i="1"/>
  <c r="B229" i="1" s="1"/>
  <c r="B231" i="1" s="1"/>
  <c r="B228" i="1"/>
  <c r="B230" i="1" s="1"/>
  <c r="B232" i="1" s="1"/>
  <c r="C220" i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BS25" i="17" l="1"/>
  <c r="BR30" i="17"/>
  <c r="BR39" i="17" s="1"/>
  <c r="BV6" i="10"/>
  <c r="BT3" i="2" s="1"/>
  <c r="BW7" i="10"/>
  <c r="BV8" i="10"/>
  <c r="BT7" i="6"/>
  <c r="BS6" i="6"/>
  <c r="BQ2" i="2" s="1"/>
  <c r="BS8" i="6"/>
  <c r="AV8" i="9"/>
  <c r="AU6" i="9"/>
  <c r="AU9" i="9"/>
  <c r="AL6" i="17"/>
  <c r="AJ4" i="2" s="1"/>
  <c r="AM7" i="17"/>
  <c r="AN7" i="17" s="1"/>
  <c r="AL8" i="17"/>
  <c r="AG8" i="10"/>
  <c r="AG6" i="10"/>
  <c r="AE3" i="2" s="1"/>
  <c r="AI9" i="10"/>
  <c r="AH26" i="10"/>
  <c r="AH7" i="10" s="1"/>
  <c r="AM6" i="6"/>
  <c r="AK2" i="2" s="1"/>
  <c r="AM8" i="6"/>
  <c r="AM9" i="7"/>
  <c r="AN8" i="7"/>
  <c r="AO8" i="7" s="1"/>
  <c r="AM6" i="7"/>
  <c r="AM6" i="8"/>
  <c r="AI5" i="2" s="1"/>
  <c r="AN10" i="8"/>
  <c r="AM11" i="8"/>
  <c r="AL6" i="8"/>
  <c r="AH5" i="2" s="1"/>
  <c r="AL11" i="8"/>
  <c r="B234" i="1"/>
  <c r="B236" i="1" s="1"/>
  <c r="B238" i="1" s="1"/>
  <c r="B235" i="1"/>
  <c r="B237" i="1" s="1"/>
  <c r="B239" i="1" s="1"/>
  <c r="B240" i="1"/>
  <c r="BT25" i="17" l="1"/>
  <c r="BS30" i="17"/>
  <c r="BS39" i="17"/>
  <c r="BX7" i="10"/>
  <c r="BW6" i="10"/>
  <c r="BU3" i="2" s="1"/>
  <c r="BW8" i="10"/>
  <c r="BU7" i="6"/>
  <c r="BT6" i="6"/>
  <c r="BR2" i="2" s="1"/>
  <c r="BT8" i="6"/>
  <c r="AW8" i="9"/>
  <c r="AV9" i="9"/>
  <c r="AV6" i="9"/>
  <c r="AO6" i="7"/>
  <c r="AP8" i="7"/>
  <c r="AO9" i="7"/>
  <c r="AO7" i="17"/>
  <c r="AN6" i="17"/>
  <c r="AL4" i="2" s="1"/>
  <c r="AN8" i="17"/>
  <c r="AM6" i="17"/>
  <c r="AK4" i="2" s="1"/>
  <c r="AM8" i="17"/>
  <c r="AH6" i="10"/>
  <c r="AF3" i="2" s="1"/>
  <c r="AH8" i="10"/>
  <c r="AJ9" i="10"/>
  <c r="AI26" i="10"/>
  <c r="AI7" i="10" s="1"/>
  <c r="AN6" i="7"/>
  <c r="AN9" i="7"/>
  <c r="AN6" i="8"/>
  <c r="AJ5" i="2" s="1"/>
  <c r="AN11" i="8"/>
  <c r="AO10" i="8"/>
  <c r="AP10" i="8" s="1"/>
  <c r="B247" i="1"/>
  <c r="B242" i="1"/>
  <c r="B244" i="1" s="1"/>
  <c r="B246" i="1" s="1"/>
  <c r="B241" i="1"/>
  <c r="B243" i="1" s="1"/>
  <c r="B245" i="1" s="1"/>
  <c r="C234" i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BU25" i="17" l="1"/>
  <c r="BT30" i="17"/>
  <c r="BT39" i="17" s="1"/>
  <c r="BX6" i="10"/>
  <c r="BV3" i="2" s="1"/>
  <c r="BY7" i="10"/>
  <c r="BX8" i="10"/>
  <c r="BV7" i="6"/>
  <c r="BU6" i="6"/>
  <c r="BS2" i="2" s="1"/>
  <c r="BU8" i="6"/>
  <c r="AX8" i="9"/>
  <c r="AW6" i="9"/>
  <c r="AW9" i="9"/>
  <c r="AP6" i="7"/>
  <c r="AQ8" i="7"/>
  <c r="AP9" i="7"/>
  <c r="AO6" i="17"/>
  <c r="AM4" i="2" s="1"/>
  <c r="AO8" i="17"/>
  <c r="AP7" i="17"/>
  <c r="AJ7" i="10"/>
  <c r="AQ10" i="8"/>
  <c r="AP11" i="8"/>
  <c r="AP6" i="8"/>
  <c r="AL5" i="2" s="1"/>
  <c r="AI6" i="10"/>
  <c r="AG3" i="2" s="1"/>
  <c r="AI8" i="10"/>
  <c r="AK9" i="10"/>
  <c r="AJ26" i="10"/>
  <c r="AO6" i="8"/>
  <c r="AK5" i="2" s="1"/>
  <c r="AO11" i="8"/>
  <c r="B254" i="1"/>
  <c r="B248" i="1"/>
  <c r="B250" i="1" s="1"/>
  <c r="B252" i="1" s="1"/>
  <c r="B249" i="1"/>
  <c r="B251" i="1" s="1"/>
  <c r="B253" i="1" s="1"/>
  <c r="BV25" i="17" l="1"/>
  <c r="BU30" i="17"/>
  <c r="BU39" i="17" s="1"/>
  <c r="BY6" i="10"/>
  <c r="BW3" i="2" s="1"/>
  <c r="BZ7" i="10"/>
  <c r="CA7" i="10" s="1"/>
  <c r="BY8" i="10"/>
  <c r="BW7" i="6"/>
  <c r="BV6" i="6"/>
  <c r="BT2" i="2" s="1"/>
  <c r="BV8" i="6"/>
  <c r="AY8" i="9"/>
  <c r="AX6" i="9"/>
  <c r="AX9" i="9"/>
  <c r="AR8" i="7"/>
  <c r="AQ6" i="7"/>
  <c r="AQ9" i="7"/>
  <c r="AQ7" i="17"/>
  <c r="AP6" i="17"/>
  <c r="AN4" i="2" s="1"/>
  <c r="AP8" i="17"/>
  <c r="AR10" i="8"/>
  <c r="AS10" i="8" s="1"/>
  <c r="AQ11" i="8"/>
  <c r="AQ6" i="8"/>
  <c r="AM5" i="2" s="1"/>
  <c r="AJ6" i="10"/>
  <c r="AH3" i="2" s="1"/>
  <c r="AJ8" i="10"/>
  <c r="AK26" i="10"/>
  <c r="AK7" i="10" s="1"/>
  <c r="AL9" i="10"/>
  <c r="B261" i="1"/>
  <c r="B255" i="1"/>
  <c r="B257" i="1" s="1"/>
  <c r="B259" i="1" s="1"/>
  <c r="B256" i="1"/>
  <c r="B258" i="1" s="1"/>
  <c r="B260" i="1" s="1"/>
  <c r="C248" i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BX7" i="6" l="1"/>
  <c r="BX6" i="6" s="1"/>
  <c r="BW6" i="6"/>
  <c r="CB7" i="10"/>
  <c r="CA8" i="10"/>
  <c r="CA6" i="10"/>
  <c r="BY3" i="2" s="1"/>
  <c r="BW25" i="17"/>
  <c r="BV30" i="17"/>
  <c r="BV39" i="17" s="1"/>
  <c r="BZ6" i="10"/>
  <c r="BX3" i="2" s="1"/>
  <c r="BZ8" i="10"/>
  <c r="BV2" i="2"/>
  <c r="BY7" i="6"/>
  <c r="BY6" i="6" s="1"/>
  <c r="BX8" i="6"/>
  <c r="BU2" i="2"/>
  <c r="BW8" i="6"/>
  <c r="AS6" i="8"/>
  <c r="AO5" i="2" s="1"/>
  <c r="AS11" i="8"/>
  <c r="AT10" i="8"/>
  <c r="AY6" i="9"/>
  <c r="AY9" i="9"/>
  <c r="AZ8" i="9"/>
  <c r="AR6" i="7"/>
  <c r="AS8" i="7"/>
  <c r="AR9" i="7"/>
  <c r="AQ6" i="17"/>
  <c r="AO4" i="2" s="1"/>
  <c r="AQ8" i="17"/>
  <c r="AR7" i="17"/>
  <c r="AR6" i="8"/>
  <c r="AN5" i="2" s="1"/>
  <c r="AR11" i="8"/>
  <c r="AK6" i="10"/>
  <c r="AI3" i="2" s="1"/>
  <c r="AK8" i="10"/>
  <c r="AM9" i="10"/>
  <c r="AL26" i="10"/>
  <c r="AL7" i="10" s="1"/>
  <c r="CB6" i="10" l="1"/>
  <c r="BZ3" i="2" s="1"/>
  <c r="CC7" i="10"/>
  <c r="CB8" i="10"/>
  <c r="BX25" i="17"/>
  <c r="BW30" i="17"/>
  <c r="BW39" i="17"/>
  <c r="BW2" i="2"/>
  <c r="BZ7" i="6"/>
  <c r="BY8" i="6"/>
  <c r="AT6" i="8"/>
  <c r="AP5" i="2" s="1"/>
  <c r="AT11" i="8"/>
  <c r="AU10" i="8"/>
  <c r="AZ6" i="9"/>
  <c r="BA8" i="9"/>
  <c r="AZ9" i="9"/>
  <c r="AT8" i="7"/>
  <c r="AU8" i="7" s="1"/>
  <c r="AS9" i="7"/>
  <c r="AS6" i="7"/>
  <c r="AR6" i="17"/>
  <c r="AP4" i="2" s="1"/>
  <c r="AR8" i="17"/>
  <c r="AS7" i="17"/>
  <c r="AM26" i="10"/>
  <c r="AM7" i="10" s="1"/>
  <c r="AN9" i="10"/>
  <c r="AL6" i="10"/>
  <c r="AJ3" i="2" s="1"/>
  <c r="AL8" i="10"/>
  <c r="CA7" i="6" l="1"/>
  <c r="CA6" i="6" s="1"/>
  <c r="BY2" i="2" s="1"/>
  <c r="BZ6" i="6"/>
  <c r="BX2" i="2" s="1"/>
  <c r="CC8" i="10"/>
  <c r="CC6" i="10"/>
  <c r="CA3" i="2" s="1"/>
  <c r="CB7" i="6"/>
  <c r="CB6" i="6" s="1"/>
  <c r="BZ2" i="2" s="1"/>
  <c r="CA8" i="6"/>
  <c r="BY25" i="17"/>
  <c r="BX30" i="17"/>
  <c r="BX39" i="17"/>
  <c r="BZ8" i="6"/>
  <c r="AU6" i="8"/>
  <c r="AQ5" i="2" s="1"/>
  <c r="AU11" i="8"/>
  <c r="AV10" i="8"/>
  <c r="AU9" i="7"/>
  <c r="AU6" i="7"/>
  <c r="AV8" i="7"/>
  <c r="BB8" i="9"/>
  <c r="BA6" i="9"/>
  <c r="BA9" i="9"/>
  <c r="AT6" i="7"/>
  <c r="AT9" i="7"/>
  <c r="AS6" i="17"/>
  <c r="AQ4" i="2" s="1"/>
  <c r="AS8" i="17"/>
  <c r="AT7" i="17"/>
  <c r="AN26" i="10"/>
  <c r="AN7" i="10" s="1"/>
  <c r="AO9" i="10"/>
  <c r="AM6" i="10"/>
  <c r="AK3" i="2" s="1"/>
  <c r="AM8" i="10"/>
  <c r="CC7" i="6" l="1"/>
  <c r="CC6" i="6" s="1"/>
  <c r="CA2" i="2" s="1"/>
  <c r="CB8" i="6"/>
  <c r="BZ25" i="17"/>
  <c r="BY30" i="17"/>
  <c r="BY39" i="17"/>
  <c r="AV6" i="8"/>
  <c r="AR5" i="2" s="1"/>
  <c r="AV11" i="8"/>
  <c r="AW10" i="8"/>
  <c r="AV6" i="7"/>
  <c r="AV9" i="7"/>
  <c r="AW8" i="7"/>
  <c r="BC8" i="9"/>
  <c r="BB6" i="9"/>
  <c r="BB9" i="9"/>
  <c r="AT6" i="17"/>
  <c r="AR4" i="2" s="1"/>
  <c r="AT8" i="17"/>
  <c r="AU7" i="17"/>
  <c r="AN6" i="10"/>
  <c r="AL3" i="2" s="1"/>
  <c r="AN8" i="10"/>
  <c r="AP9" i="10"/>
  <c r="AP26" i="10" s="1"/>
  <c r="AO26" i="10"/>
  <c r="AO7" i="10" s="1"/>
  <c r="CC8" i="6" l="1"/>
  <c r="CA25" i="17"/>
  <c r="B25" i="17"/>
  <c r="BZ30" i="17"/>
  <c r="B29" i="17" s="1"/>
  <c r="BZ39" i="17"/>
  <c r="AW6" i="8"/>
  <c r="AS5" i="2" s="1"/>
  <c r="AW11" i="8"/>
  <c r="AX10" i="8"/>
  <c r="AW6" i="7"/>
  <c r="AX8" i="7"/>
  <c r="AW9" i="7"/>
  <c r="BD8" i="9"/>
  <c r="BC6" i="9"/>
  <c r="BC9" i="9"/>
  <c r="AU6" i="17"/>
  <c r="AS4" i="2" s="1"/>
  <c r="AU8" i="17"/>
  <c r="AV7" i="17"/>
  <c r="AP7" i="10"/>
  <c r="AO8" i="10"/>
  <c r="AO6" i="10"/>
  <c r="AM3" i="2" s="1"/>
  <c r="A6" i="6" l="1"/>
  <c r="A5" i="6"/>
  <c r="CB25" i="17"/>
  <c r="CA39" i="17"/>
  <c r="AX6" i="8"/>
  <c r="AT5" i="2" s="1"/>
  <c r="AX11" i="8"/>
  <c r="AY10" i="8"/>
  <c r="AX9" i="7"/>
  <c r="AX6" i="7"/>
  <c r="AY8" i="7"/>
  <c r="BD6" i="9"/>
  <c r="BE8" i="9"/>
  <c r="BD9" i="9"/>
  <c r="AV6" i="17"/>
  <c r="AT4" i="2" s="1"/>
  <c r="AV8" i="17"/>
  <c r="AW7" i="17"/>
  <c r="AP8" i="10"/>
  <c r="AP6" i="10"/>
  <c r="AN3" i="2" s="1"/>
  <c r="CC25" i="17" l="1"/>
  <c r="CB30" i="17"/>
  <c r="CB39" i="17" s="1"/>
  <c r="AY6" i="8"/>
  <c r="AU5" i="2" s="1"/>
  <c r="AZ10" i="8"/>
  <c r="AY11" i="8"/>
  <c r="AY9" i="7"/>
  <c r="AY6" i="7"/>
  <c r="AZ8" i="7"/>
  <c r="BF8" i="9"/>
  <c r="BE6" i="9"/>
  <c r="BE9" i="9"/>
  <c r="AX7" i="17"/>
  <c r="AW6" i="17"/>
  <c r="AU4" i="2" s="1"/>
  <c r="AW8" i="17"/>
  <c r="CC30" i="17" l="1"/>
  <c r="CC39" i="17"/>
  <c r="AZ6" i="8"/>
  <c r="AV5" i="2" s="1"/>
  <c r="BA10" i="8"/>
  <c r="AZ11" i="8"/>
  <c r="AZ9" i="7"/>
  <c r="AZ6" i="7"/>
  <c r="BA8" i="7"/>
  <c r="BG8" i="9"/>
  <c r="BF6" i="9"/>
  <c r="BF9" i="9"/>
  <c r="AY7" i="17"/>
  <c r="AX6" i="17"/>
  <c r="AV4" i="2" s="1"/>
  <c r="AX8" i="17"/>
  <c r="BB10" i="8" l="1"/>
  <c r="BA6" i="8"/>
  <c r="AW5" i="2" s="1"/>
  <c r="BA11" i="8"/>
  <c r="BA9" i="7"/>
  <c r="BA6" i="7"/>
  <c r="BB8" i="7"/>
  <c r="BH8" i="9"/>
  <c r="BG6" i="9"/>
  <c r="BG9" i="9"/>
  <c r="AZ7" i="17"/>
  <c r="AY6" i="17"/>
  <c r="AW4" i="2" s="1"/>
  <c r="AY8" i="17"/>
  <c r="BC10" i="8" l="1"/>
  <c r="BB6" i="8"/>
  <c r="AX5" i="2" s="1"/>
  <c r="BB11" i="8"/>
  <c r="BB9" i="7"/>
  <c r="BB6" i="7"/>
  <c r="BC8" i="7"/>
  <c r="BH6" i="9"/>
  <c r="BH9" i="9"/>
  <c r="BI8" i="9"/>
  <c r="BA7" i="17"/>
  <c r="AZ8" i="17"/>
  <c r="AZ6" i="17"/>
  <c r="AX4" i="2" s="1"/>
  <c r="BD10" i="8" l="1"/>
  <c r="BC11" i="8"/>
  <c r="BC6" i="8"/>
  <c r="AY5" i="2" s="1"/>
  <c r="BC9" i="7"/>
  <c r="BD8" i="7"/>
  <c r="BC6" i="7"/>
  <c r="BJ8" i="9"/>
  <c r="BI6" i="9"/>
  <c r="BI9" i="9"/>
  <c r="BB7" i="17"/>
  <c r="BA8" i="17"/>
  <c r="BA6" i="17"/>
  <c r="AY4" i="2" s="1"/>
  <c r="BE10" i="8" l="1"/>
  <c r="BD11" i="8"/>
  <c r="BD6" i="8"/>
  <c r="AZ5" i="2" s="1"/>
  <c r="BD9" i="7"/>
  <c r="BD6" i="7"/>
  <c r="BE8" i="7"/>
  <c r="BK8" i="9"/>
  <c r="BJ6" i="9"/>
  <c r="BJ9" i="9"/>
  <c r="BC7" i="17"/>
  <c r="BB6" i="17"/>
  <c r="AZ4" i="2" s="1"/>
  <c r="BB8" i="17"/>
  <c r="BF10" i="8" l="1"/>
  <c r="BE11" i="8"/>
  <c r="BE6" i="8"/>
  <c r="BA5" i="2" s="1"/>
  <c r="BF8" i="7"/>
  <c r="BE9" i="7"/>
  <c r="BE6" i="7"/>
  <c r="BK9" i="9"/>
  <c r="BL8" i="9"/>
  <c r="BK6" i="9"/>
  <c r="BD7" i="17"/>
  <c r="BC6" i="17"/>
  <c r="BA4" i="2" s="1"/>
  <c r="BC8" i="17"/>
  <c r="BG10" i="8" l="1"/>
  <c r="BF11" i="8"/>
  <c r="BF6" i="8"/>
  <c r="BB5" i="2" s="1"/>
  <c r="BG8" i="7"/>
  <c r="BF9" i="7"/>
  <c r="BF6" i="7"/>
  <c r="BL9" i="9"/>
  <c r="BM8" i="9"/>
  <c r="BL6" i="9"/>
  <c r="BE7" i="17"/>
  <c r="BD6" i="17"/>
  <c r="BB4" i="2" s="1"/>
  <c r="BD8" i="17"/>
  <c r="BH10" i="8" l="1"/>
  <c r="BG11" i="8"/>
  <c r="BG6" i="8"/>
  <c r="BC5" i="2" s="1"/>
  <c r="BH8" i="7"/>
  <c r="BG6" i="7"/>
  <c r="BG9" i="7"/>
  <c r="BM6" i="9"/>
  <c r="BN8" i="9"/>
  <c r="BM9" i="9"/>
  <c r="BE8" i="17"/>
  <c r="BF7" i="17"/>
  <c r="BE6" i="17"/>
  <c r="BC4" i="2" s="1"/>
  <c r="BI10" i="8" l="1"/>
  <c r="BH11" i="8"/>
  <c r="BH6" i="8"/>
  <c r="BD5" i="2" s="1"/>
  <c r="BI8" i="7"/>
  <c r="BH6" i="7"/>
  <c r="BH9" i="7"/>
  <c r="BN9" i="9"/>
  <c r="BO8" i="9"/>
  <c r="BN6" i="9"/>
  <c r="BF8" i="17"/>
  <c r="BF6" i="17"/>
  <c r="BD4" i="2" s="1"/>
  <c r="BG7" i="17"/>
  <c r="BJ10" i="8" l="1"/>
  <c r="BI11" i="8"/>
  <c r="BI6" i="8"/>
  <c r="BE5" i="2" s="1"/>
  <c r="BJ8" i="7"/>
  <c r="BI6" i="7"/>
  <c r="BI9" i="7"/>
  <c r="BO6" i="9"/>
  <c r="BP8" i="9"/>
  <c r="BO9" i="9"/>
  <c r="BG8" i="17"/>
  <c r="BG6" i="17"/>
  <c r="BE4" i="2" s="1"/>
  <c r="BH7" i="17"/>
  <c r="BK10" i="8" l="1"/>
  <c r="BJ11" i="8"/>
  <c r="BJ6" i="8"/>
  <c r="BF5" i="2" s="1"/>
  <c r="BK8" i="7"/>
  <c r="BJ6" i="7"/>
  <c r="BJ9" i="7"/>
  <c r="BP6" i="9"/>
  <c r="BP9" i="9"/>
  <c r="BQ8" i="9"/>
  <c r="BH8" i="17"/>
  <c r="BI7" i="17"/>
  <c r="BH6" i="17"/>
  <c r="BF4" i="2" s="1"/>
  <c r="BK11" i="8" l="1"/>
  <c r="BL10" i="8"/>
  <c r="BK6" i="8"/>
  <c r="BG5" i="2" s="1"/>
  <c r="BL8" i="7"/>
  <c r="BK6" i="7"/>
  <c r="BK9" i="7"/>
  <c r="BQ6" i="9"/>
  <c r="BR8" i="9"/>
  <c r="BQ9" i="9"/>
  <c r="BI8" i="17"/>
  <c r="BJ7" i="17"/>
  <c r="BI6" i="17"/>
  <c r="BG4" i="2" s="1"/>
  <c r="BL11" i="8" l="1"/>
  <c r="BM10" i="8"/>
  <c r="BL6" i="8"/>
  <c r="BH5" i="2" s="1"/>
  <c r="BL6" i="7"/>
  <c r="BM8" i="7"/>
  <c r="BL9" i="7"/>
  <c r="BR6" i="9"/>
  <c r="BS8" i="9"/>
  <c r="BR9" i="9"/>
  <c r="BJ8" i="17"/>
  <c r="BK7" i="17"/>
  <c r="BJ6" i="17"/>
  <c r="BH4" i="2" s="1"/>
  <c r="BM6" i="8" l="1"/>
  <c r="BI5" i="2" s="1"/>
  <c r="BM11" i="8"/>
  <c r="BN10" i="8"/>
  <c r="BN8" i="7"/>
  <c r="BM6" i="7"/>
  <c r="BM9" i="7"/>
  <c r="BS6" i="9"/>
  <c r="BS9" i="9"/>
  <c r="BT8" i="9"/>
  <c r="BK6" i="17"/>
  <c r="BI4" i="2" s="1"/>
  <c r="BK8" i="17"/>
  <c r="BL7" i="17"/>
  <c r="BN6" i="8" l="1"/>
  <c r="BJ5" i="2" s="1"/>
  <c r="BN11" i="8"/>
  <c r="BO10" i="8"/>
  <c r="BO8" i="7"/>
  <c r="BN9" i="7"/>
  <c r="BN6" i="7"/>
  <c r="BU8" i="9"/>
  <c r="BT6" i="9"/>
  <c r="BT9" i="9"/>
  <c r="BL6" i="17"/>
  <c r="BJ4" i="2" s="1"/>
  <c r="BM7" i="17"/>
  <c r="BL8" i="17"/>
  <c r="BO6" i="8" l="1"/>
  <c r="BK5" i="2" s="1"/>
  <c r="BO11" i="8"/>
  <c r="BP10" i="8"/>
  <c r="BO6" i="7"/>
  <c r="BO9" i="7"/>
  <c r="BP8" i="7"/>
  <c r="BV8" i="9"/>
  <c r="BU6" i="9"/>
  <c r="BU9" i="9"/>
  <c r="BM6" i="17"/>
  <c r="BK4" i="2" s="1"/>
  <c r="BN7" i="17"/>
  <c r="BM8" i="17"/>
  <c r="BP6" i="8" l="1"/>
  <c r="BL5" i="2" s="1"/>
  <c r="BP11" i="8"/>
  <c r="BQ10" i="8"/>
  <c r="BP6" i="7"/>
  <c r="BP9" i="7"/>
  <c r="BQ8" i="7"/>
  <c r="BV9" i="9"/>
  <c r="BW8" i="9"/>
  <c r="BV6" i="9"/>
  <c r="BN6" i="17"/>
  <c r="BL4" i="2" s="1"/>
  <c r="BN8" i="17"/>
  <c r="BO7" i="17"/>
  <c r="BQ6" i="8" l="1"/>
  <c r="BM5" i="2" s="1"/>
  <c r="BQ11" i="8"/>
  <c r="BR10" i="8"/>
  <c r="BQ6" i="7"/>
  <c r="BQ9" i="7"/>
  <c r="BR8" i="7"/>
  <c r="BX8" i="9"/>
  <c r="BW6" i="9"/>
  <c r="BW9" i="9"/>
  <c r="BO6" i="17"/>
  <c r="BM4" i="2" s="1"/>
  <c r="BO8" i="17"/>
  <c r="BP7" i="17"/>
  <c r="BR6" i="8" l="1"/>
  <c r="BN5" i="2" s="1"/>
  <c r="BR11" i="8"/>
  <c r="BS10" i="8"/>
  <c r="BR6" i="7"/>
  <c r="BS8" i="7"/>
  <c r="BR9" i="7"/>
  <c r="BX9" i="9"/>
  <c r="BY8" i="9"/>
  <c r="BZ8" i="9" s="1"/>
  <c r="BX6" i="9"/>
  <c r="BP6" i="17"/>
  <c r="BN4" i="2" s="1"/>
  <c r="BP8" i="17"/>
  <c r="BQ7" i="17"/>
  <c r="BZ9" i="9" l="1"/>
  <c r="CA8" i="9"/>
  <c r="BZ6" i="9"/>
  <c r="BS6" i="8"/>
  <c r="BO5" i="2" s="1"/>
  <c r="BT10" i="8"/>
  <c r="BS11" i="8"/>
  <c r="BS6" i="7"/>
  <c r="BS9" i="7"/>
  <c r="BT8" i="7"/>
  <c r="BY9" i="9"/>
  <c r="BY6" i="9"/>
  <c r="BR7" i="17"/>
  <c r="BQ6" i="17"/>
  <c r="BO4" i="2" s="1"/>
  <c r="BQ8" i="17"/>
  <c r="CA9" i="9" l="1"/>
  <c r="CB8" i="9"/>
  <c r="CA6" i="9"/>
  <c r="BT6" i="8"/>
  <c r="BP5" i="2" s="1"/>
  <c r="BU10" i="8"/>
  <c r="BT11" i="8"/>
  <c r="BT9" i="7"/>
  <c r="BT6" i="7"/>
  <c r="BU8" i="7"/>
  <c r="BS7" i="17"/>
  <c r="BR6" i="17"/>
  <c r="BP4" i="2" s="1"/>
  <c r="BR8" i="17"/>
  <c r="CB9" i="9" l="1"/>
  <c r="BV10" i="8"/>
  <c r="BU11" i="8"/>
  <c r="BU6" i="8"/>
  <c r="BQ5" i="2" s="1"/>
  <c r="BU6" i="7"/>
  <c r="BV8" i="7"/>
  <c r="BU9" i="7"/>
  <c r="BT7" i="17"/>
  <c r="BS6" i="17"/>
  <c r="BQ4" i="2" s="1"/>
  <c r="BS8" i="17"/>
  <c r="BW10" i="8" l="1"/>
  <c r="BV11" i="8"/>
  <c r="BV6" i="8"/>
  <c r="BR5" i="2" s="1"/>
  <c r="BV9" i="7"/>
  <c r="BV6" i="7"/>
  <c r="BW8" i="7"/>
  <c r="BU7" i="17"/>
  <c r="BT8" i="17"/>
  <c r="BT6" i="17"/>
  <c r="BR4" i="2" s="1"/>
  <c r="BX10" i="8" l="1"/>
  <c r="BW11" i="8"/>
  <c r="BW6" i="8"/>
  <c r="BS5" i="2" s="1"/>
  <c r="BX8" i="7"/>
  <c r="BW6" i="7"/>
  <c r="BW9" i="7"/>
  <c r="BV7" i="17"/>
  <c r="BU6" i="17"/>
  <c r="BS4" i="2" s="1"/>
  <c r="BU8" i="17"/>
  <c r="BX6" i="8" l="1"/>
  <c r="BT5" i="2" s="1"/>
  <c r="BY10" i="8"/>
  <c r="BZ10" i="8" s="1"/>
  <c r="BX11" i="8"/>
  <c r="BX6" i="7"/>
  <c r="BY8" i="7"/>
  <c r="BX9" i="7"/>
  <c r="BW7" i="17"/>
  <c r="BX7" i="17" s="1"/>
  <c r="BV6" i="17"/>
  <c r="BT4" i="2" s="1"/>
  <c r="BV8" i="17"/>
  <c r="BZ11" i="8" l="1"/>
  <c r="CA10" i="8"/>
  <c r="BZ6" i="8"/>
  <c r="BV5" i="2" s="1"/>
  <c r="BX6" i="17"/>
  <c r="BV4" i="2" s="1"/>
  <c r="BY7" i="17"/>
  <c r="BX8" i="17"/>
  <c r="BY6" i="8"/>
  <c r="BU5" i="2" s="1"/>
  <c r="BY11" i="8"/>
  <c r="BZ8" i="7"/>
  <c r="BY9" i="7"/>
  <c r="BY6" i="7"/>
  <c r="BW6" i="17"/>
  <c r="BU4" i="2" s="1"/>
  <c r="BW8" i="17"/>
  <c r="CA6" i="8" l="1"/>
  <c r="BW5" i="2" s="1"/>
  <c r="CA11" i="8"/>
  <c r="CB10" i="8"/>
  <c r="CC10" i="8" s="1"/>
  <c r="BY6" i="17"/>
  <c r="BW4" i="2" s="1"/>
  <c r="BZ7" i="17"/>
  <c r="CA7" i="17" s="1"/>
  <c r="BY8" i="17"/>
  <c r="BZ6" i="7"/>
  <c r="CA8" i="7"/>
  <c r="CB8" i="7" s="1"/>
  <c r="BZ9" i="7"/>
  <c r="CC6" i="8" l="1"/>
  <c r="BY5" i="2" s="1"/>
  <c r="CD10" i="8"/>
  <c r="CC11" i="8"/>
  <c r="CA6" i="17"/>
  <c r="CB7" i="17"/>
  <c r="CA8" i="17"/>
  <c r="CB6" i="8"/>
  <c r="BX5" i="2" s="1"/>
  <c r="CB11" i="8"/>
  <c r="BZ6" i="17"/>
  <c r="BX4" i="2" s="1"/>
  <c r="BZ8" i="17"/>
  <c r="CB6" i="7"/>
  <c r="CC8" i="7"/>
  <c r="CB9" i="7"/>
  <c r="CA6" i="7"/>
  <c r="CA9" i="7"/>
  <c r="CB6" i="9"/>
  <c r="CE10" i="8" l="1"/>
  <c r="CD11" i="8"/>
  <c r="CD6" i="8"/>
  <c r="BZ5" i="2" s="1"/>
  <c r="CC7" i="17"/>
  <c r="CB8" i="17"/>
  <c r="CB6" i="17"/>
  <c r="CC6" i="7"/>
  <c r="CD8" i="7"/>
  <c r="CE8" i="7" s="1"/>
  <c r="CC9" i="7"/>
  <c r="CE6" i="7" l="1"/>
  <c r="CE9" i="7"/>
  <c r="CF8" i="7"/>
  <c r="CE6" i="8"/>
  <c r="CA5" i="2" s="1"/>
  <c r="CE11" i="8"/>
  <c r="CC6" i="17"/>
  <c r="CC8" i="17"/>
  <c r="CD6" i="7"/>
  <c r="CD9" i="7"/>
  <c r="CF6" i="7" l="1"/>
  <c r="CG8" i="7"/>
  <c r="CF9" i="7"/>
  <c r="CG6" i="7" l="1"/>
  <c r="CG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<sst xmlns="http://schemas.openxmlformats.org/spreadsheetml/2006/main" count="1245" uniqueCount="450">
  <si>
    <t>IRL</t>
  </si>
  <si>
    <t>Anno</t>
  </si>
  <si>
    <t>data in-game</t>
  </si>
  <si>
    <t>Time-skip</t>
  </si>
  <si>
    <t>Pescatore</t>
  </si>
  <si>
    <t>a1</t>
  </si>
  <si>
    <t>a2</t>
  </si>
  <si>
    <t>b1</t>
  </si>
  <si>
    <t>b2</t>
  </si>
  <si>
    <t>p2</t>
  </si>
  <si>
    <t>p1</t>
  </si>
  <si>
    <t>Kawa / contadino</t>
  </si>
  <si>
    <t>yield campo [Ryoo/Kawa]</t>
  </si>
  <si>
    <t>salari</t>
  </si>
  <si>
    <t>area terreno [Kawa]</t>
  </si>
  <si>
    <t>tempo produzione [mesi]</t>
  </si>
  <si>
    <t>profitto ciclo</t>
  </si>
  <si>
    <t>Cash-flow Sake</t>
  </si>
  <si>
    <t>voce</t>
  </si>
  <si>
    <t>valore</t>
  </si>
  <si>
    <t>riso [Ryoo]</t>
  </si>
  <si>
    <t>produzione [Ryoo]</t>
  </si>
  <si>
    <t>rateo sake/riso</t>
  </si>
  <si>
    <t>[Ryoo/bottiglia]</t>
  </si>
  <si>
    <t>capienza [unità]</t>
  </si>
  <si>
    <t>spesa</t>
  </si>
  <si>
    <t>utile</t>
  </si>
  <si>
    <t>utile [€]</t>
  </si>
  <si>
    <t>spese tasse</t>
  </si>
  <si>
    <t>numero di tratte mensili</t>
  </si>
  <si>
    <t>volume mensile</t>
  </si>
  <si>
    <t>profitto mensile</t>
  </si>
  <si>
    <t>Arbitraggio Mercantile</t>
  </si>
  <si>
    <t>Coltivazione Alghe</t>
  </si>
  <si>
    <t>tassa carovana [$/mese]</t>
  </si>
  <si>
    <t>prezzo di vendita [$/unità]</t>
  </si>
  <si>
    <t>prezzo di vendita [$/acquisto]</t>
  </si>
  <si>
    <t>costo bottiglie [$]</t>
  </si>
  <si>
    <t>vendita bottiglie [$]</t>
  </si>
  <si>
    <t>utile sake [$]</t>
  </si>
  <si>
    <t>affitto [$]</t>
  </si>
  <si>
    <t>costo riso [$]</t>
  </si>
  <si>
    <t>prezzo semi riso [$/Ryoo]</t>
  </si>
  <si>
    <t>prezzo bottiglia [$/pezzo]</t>
  </si>
  <si>
    <t>Prezzo sake [$/bottiglia]</t>
  </si>
  <si>
    <t>prezzo sake [$/Ryoo]</t>
  </si>
  <si>
    <t>affitto [$/mese]</t>
  </si>
  <si>
    <t>tasse terreno [$]</t>
  </si>
  <si>
    <t>costo semi [$]</t>
  </si>
  <si>
    <t>semi riso [$/Kawa]</t>
  </si>
  <si>
    <t>prezzo riso [$/Ryoo]</t>
  </si>
  <si>
    <t>prezzo semi [$/Ryoo]</t>
  </si>
  <si>
    <t>tassa terreno [$/Kawa]</t>
  </si>
  <si>
    <t>prezzo alga essiccata [$/Ryoo]</t>
  </si>
  <si>
    <t>prezzo alga [$/Ryoo]</t>
  </si>
  <si>
    <t>yield [Ryoo/Kawa/mese]</t>
  </si>
  <si>
    <t>superficie [Kawa]</t>
  </si>
  <si>
    <t>personale</t>
  </si>
  <si>
    <t>salario pert-time [$/mese]</t>
  </si>
  <si>
    <t>utile mensile [$]</t>
  </si>
  <si>
    <t>copertura [Kawa/persona]</t>
  </si>
  <si>
    <t>Ryoo/Kawa</t>
  </si>
  <si>
    <t>q/ha</t>
  </si>
  <si>
    <t xml:space="preserve">patate </t>
  </si>
  <si>
    <t>riso</t>
  </si>
  <si>
    <t>fagioli</t>
  </si>
  <si>
    <t>bambù</t>
  </si>
  <si>
    <t>foglie di tè</t>
  </si>
  <si>
    <t>legna</t>
  </si>
  <si>
    <t>alghe</t>
  </si>
  <si>
    <t>kg/m^2</t>
  </si>
  <si>
    <t>pesca</t>
  </si>
  <si>
    <t>superficie 
[Kawa]</t>
  </si>
  <si>
    <t>produzione 
[Ryoo/Kawa]</t>
  </si>
  <si>
    <t>Produzione 
[Ryoo/anno]</t>
  </si>
  <si>
    <t>Prezzo 
[$/Ryoo]</t>
  </si>
  <si>
    <t>--</t>
  </si>
  <si>
    <t>Guadagni annui a persona</t>
  </si>
  <si>
    <t>cocco</t>
  </si>
  <si>
    <t>Pirata</t>
  </si>
  <si>
    <t>Costo [$/Kawa]</t>
  </si>
  <si>
    <t>Legno [$/Ryoo]</t>
  </si>
  <si>
    <t>€/m^2</t>
  </si>
  <si>
    <t>$/kawa</t>
  </si>
  <si>
    <t>ha</t>
  </si>
  <si>
    <t>Kawa</t>
  </si>
  <si>
    <t>primavera
[mesi]</t>
  </si>
  <si>
    <t>estate
[mesi]</t>
  </si>
  <si>
    <t>autunno
[mesi]</t>
  </si>
  <si>
    <t>Guadagno 
[ $/mese]</t>
  </si>
  <si>
    <t>Cameriere</t>
  </si>
  <si>
    <t>paga [Kawa/mese]</t>
  </si>
  <si>
    <t xml:space="preserve">vitto </t>
  </si>
  <si>
    <t>alloggio</t>
  </si>
  <si>
    <t>Mese in-game</t>
  </si>
  <si>
    <t>Cibo</t>
  </si>
  <si>
    <t>Affitto</t>
  </si>
  <si>
    <t>Salario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</si>
  <si>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</si>
  <si>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</si>
  <si>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</si>
  <si>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</si>
  <si>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</si>
  <si>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</si>
  <si>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</si>
  <si>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</si>
  <si>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</si>
  <si>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</si>
  <si>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</si>
  <si>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Marzo</t>
  </si>
  <si>
    <t>spada</t>
  </si>
  <si>
    <t>2 reti da pesca</t>
  </si>
  <si>
    <t>100 Kawa di terreno boschivo 
non-edificabile</t>
  </si>
  <si>
    <t>bonifica 
bosco</t>
  </si>
  <si>
    <t>pergamena</t>
  </si>
  <si>
    <t>Ryoo</t>
  </si>
  <si>
    <t>bottiglie</t>
  </si>
  <si>
    <t>silver</t>
  </si>
  <si>
    <t>ricerca info</t>
  </si>
  <si>
    <t>Bottino di 
partenza</t>
  </si>
  <si>
    <t>terreno edificabile 
a ovest [Kawa]</t>
  </si>
  <si>
    <t>Liquidi</t>
  </si>
  <si>
    <t>Profitto netto</t>
  </si>
  <si>
    <t>Nic</t>
  </si>
  <si>
    <t>Cris</t>
  </si>
  <si>
    <t>Peter</t>
  </si>
  <si>
    <t>Kleit</t>
  </si>
  <si>
    <t>Zilla</t>
  </si>
  <si>
    <t>Vito</t>
  </si>
  <si>
    <t>bribe info</t>
  </si>
  <si>
    <t>popolazione</t>
  </si>
  <si>
    <t>prezzo riso</t>
  </si>
  <si>
    <t>consumo mensile (silver)</t>
  </si>
  <si>
    <t>consumo mesile (ryoo)</t>
  </si>
  <si>
    <t>consumo totale</t>
  </si>
  <si>
    <t>salario dipendente</t>
  </si>
  <si>
    <t>Assistente</t>
  </si>
  <si>
    <t>salario</t>
  </si>
  <si>
    <t>Mercante (Zilla)</t>
  </si>
  <si>
    <t>Apprendista mercante</t>
  </si>
  <si>
    <t>apprendista multiplier</t>
  </si>
  <si>
    <t>salario dipendente part-time</t>
  </si>
  <si>
    <t>range profitti</t>
  </si>
  <si>
    <t>Carro, cavallo, barili</t>
  </si>
  <si>
    <t>ricerca in biblioteca</t>
  </si>
  <si>
    <t>🔒</t>
  </si>
  <si>
    <t>👤</t>
  </si>
  <si>
    <t>⭐️</t>
  </si>
  <si>
    <t>Cameriera (terminato)</t>
  </si>
  <si>
    <t>Studi monacali</t>
  </si>
  <si>
    <t>Salario da monaco + offerte</t>
  </si>
  <si>
    <t>range salario monaco</t>
  </si>
  <si>
    <t>range sake</t>
  </si>
  <si>
    <t>Taglialegna</t>
  </si>
  <si>
    <t>Pesca</t>
  </si>
  <si>
    <t>Permesso tagliare legna</t>
  </si>
  <si>
    <t>Tassa porto</t>
  </si>
  <si>
    <t>Tassa bancarella</t>
  </si>
  <si>
    <t>Bancarella</t>
  </si>
  <si>
    <t>Barca da pesca</t>
  </si>
  <si>
    <t>ascia, machete</t>
  </si>
  <si>
    <t>artigiano per costruire la casetta</t>
  </si>
  <si>
    <t xml:space="preserve">Terreni </t>
  </si>
  <si>
    <t>range mercante</t>
  </si>
  <si>
    <t>Boost vendite</t>
  </si>
  <si>
    <t>salario impiegato magazzino</t>
  </si>
  <si>
    <t>salario apprendista mercante</t>
  </si>
  <si>
    <t>Mantenimento</t>
  </si>
  <si>
    <t>Prezzo magazzino</t>
  </si>
  <si>
    <t>Tratta 1 (K-H-T)</t>
  </si>
  <si>
    <t>Tratta 2  (U-H-K)</t>
  </si>
  <si>
    <t>Artigiano del sake</t>
  </si>
  <si>
    <t>Attrezzi per il sake</t>
  </si>
  <si>
    <t>Tratta 2 (U-H-T)</t>
  </si>
  <si>
    <t>Attrezzi per il tè</t>
  </si>
  <si>
    <t>Impiego</t>
  </si>
  <si>
    <t>Tassa terreno edificabile</t>
  </si>
  <si>
    <t>Altre tasse</t>
  </si>
  <si>
    <t>tassa terreno edificabile $/kawa</t>
  </si>
  <si>
    <t>Tiro con l'arco</t>
  </si>
  <si>
    <t>Vendita al tempio</t>
  </si>
  <si>
    <t>Tassa bancarella Kanemura</t>
  </si>
  <si>
    <t>Tassa bancarella Takamura</t>
  </si>
  <si>
    <t>Tassa bancarella Umihana</t>
  </si>
  <si>
    <t>📜</t>
  </si>
  <si>
    <t>Permessi</t>
  </si>
  <si>
    <t>Nota: il tempio si occupa dei permessi di vendita</t>
  </si>
  <si>
    <t>tassa bancarella</t>
  </si>
  <si>
    <t>Tassa rotta commerciale</t>
  </si>
  <si>
    <t>Bancarella a Umihana</t>
  </si>
  <si>
    <t>consegna casse</t>
  </si>
  <si>
    <t>Tasse bancarelle</t>
  </si>
  <si>
    <t>Tratta 3  (T-H-K)</t>
  </si>
  <si>
    <t>Tratta 3 (K-H-U)</t>
  </si>
  <si>
    <t>giro in montagna</t>
  </si>
  <si>
    <t>Katana  
Mayakashi 163</t>
  </si>
  <si>
    <t>Katane
Mayakashi 205, 208</t>
  </si>
  <si>
    <t>vendite extra al festival</t>
  </si>
  <si>
    <t>mensile</t>
  </si>
  <si>
    <t>Cash-flow Piantagione di Riso (1 contadino)</t>
  </si>
  <si>
    <t>portafortuna</t>
  </si>
  <si>
    <t>prestito</t>
  </si>
  <si>
    <t>todo buff taverna</t>
  </si>
  <si>
    <t>Set da tè</t>
  </si>
  <si>
    <t>Riso Masanori</t>
  </si>
  <si>
    <t>vende perle, spezie cinesi, e porcellana</t>
  </si>
  <si>
    <t>vestito nero di seta, 
con tasche nascoste</t>
  </si>
  <si>
    <t>vendita 
portafortuna</t>
  </si>
  <si>
    <t>Costo magazzino</t>
  </si>
  <si>
    <t>prezzo magazzino piccolo</t>
  </si>
  <si>
    <t>bonus magazzino piccolo</t>
  </si>
  <si>
    <t>Monete Cinesi d'oro</t>
  </si>
  <si>
    <t>tè con marchio e 
sigillo imperiale cinese</t>
  </si>
  <si>
    <t>scatolina di legno 
di olii profumati</t>
  </si>
  <si>
    <t>vendita 
spezie cinesi</t>
  </si>
  <si>
    <t>decide di vendere fagioli azuki in perdita</t>
  </si>
  <si>
    <t>drip cerimonia</t>
  </si>
  <si>
    <t>samurai</t>
  </si>
  <si>
    <t>vende perle</t>
  </si>
  <si>
    <t>pavimenti magazzino</t>
  </si>
  <si>
    <t>Tratta 1 (T-H-U)</t>
  </si>
  <si>
    <t>donazioni templi Umihana Takamura</t>
  </si>
  <si>
    <t>salario dipendente full-time</t>
  </si>
  <si>
    <t>Tratta 1  (U-K)</t>
  </si>
  <si>
    <t>apprendista full-time multiplier</t>
  </si>
  <si>
    <t>paga marinaio+mercante</t>
  </si>
  <si>
    <t>Marinaio, Apprendista mercante</t>
  </si>
  <si>
    <t>Collana in oro con perle, regalata ai Nagatomo</t>
  </si>
  <si>
    <t xml:space="preserve">vestito </t>
  </si>
  <si>
    <t>orecchini e fermaglio</t>
  </si>
  <si>
    <t>cash</t>
  </si>
  <si>
    <t>Google</t>
  </si>
  <si>
    <t>tasse</t>
  </si>
  <si>
    <t>minusvalenze
da compensare</t>
  </si>
  <si>
    <t>compro 1G</t>
  </si>
  <si>
    <t>vendo 1G</t>
  </si>
  <si>
    <t>A</t>
  </si>
  <si>
    <t>B</t>
  </si>
  <si>
    <t>Google
 stock</t>
  </si>
  <si>
    <t>guadagno 
lordo</t>
  </si>
  <si>
    <t>(compenso minusval.)</t>
  </si>
  <si>
    <t>boost produzione sake</t>
  </si>
  <si>
    <t>Katane Mayakashi</t>
  </si>
  <si>
    <t>torneo arco</t>
  </si>
  <si>
    <t>mu</t>
  </si>
  <si>
    <t>sample</t>
  </si>
  <si>
    <t>sigma^2</t>
  </si>
  <si>
    <t>gp</t>
  </si>
  <si>
    <t>AV</t>
  </si>
  <si>
    <t>Apprendista 1 - prod. tè full-time bancarella</t>
  </si>
  <si>
    <t>Apprendista 2 - prod. tè full-time bancarella</t>
  </si>
  <si>
    <t>Taverna</t>
  </si>
  <si>
    <t>Kleit - Cuoco e bartender Taverna</t>
  </si>
  <si>
    <t xml:space="preserve">Kleit - Maestro del tè </t>
  </si>
  <si>
    <t>Mercanti bancarelle</t>
  </si>
  <si>
    <t>NAV</t>
  </si>
  <si>
    <t>anello della nobildonna 
della missione</t>
  </si>
  <si>
    <t>apprendista mercante multiplier</t>
  </si>
  <si>
    <t>salario dipendente taverna full-time</t>
  </si>
  <si>
    <t>rotta marittima</t>
  </si>
  <si>
    <t>Tassa Taverna</t>
  </si>
  <si>
    <t>prod. Dipendente taverna</t>
  </si>
  <si>
    <t>Bancarelle</t>
  </si>
  <si>
    <t>Tip per Masanori</t>
  </si>
  <si>
    <t>multiplier tratta busy</t>
  </si>
  <si>
    <t>1 piccolo shrine</t>
  </si>
  <si>
    <t>1 casuccia</t>
  </si>
  <si>
    <t>Barche (unità)</t>
  </si>
  <si>
    <t>bonifica bosco</t>
  </si>
  <si>
    <t>terreno</t>
  </si>
  <si>
    <t>Spada</t>
  </si>
  <si>
    <t>barca</t>
  </si>
  <si>
    <t>Pescatore (barca piccola)</t>
  </si>
  <si>
    <t>Pescatore (barca media)</t>
  </si>
  <si>
    <t>Pescatore (barca grande)</t>
  </si>
  <si>
    <t>Barche</t>
  </si>
  <si>
    <t>barca media</t>
  </si>
  <si>
    <t>barca piccola</t>
  </si>
  <si>
    <t>guadagno affitto barca piccola</t>
  </si>
  <si>
    <t>guadagno affitto barca grande</t>
  </si>
  <si>
    <t>guadagno affitto barca media</t>
  </si>
  <si>
    <t>barca grande</t>
  </si>
  <si>
    <t>Taverna Umihana</t>
  </si>
  <si>
    <t>costo barca piccola</t>
  </si>
  <si>
    <t>costo barca media</t>
  </si>
  <si>
    <t>costo barca grande</t>
  </si>
  <si>
    <t>arco</t>
  </si>
  <si>
    <t>Assicurazione</t>
  </si>
  <si>
    <t>Pesca con l'arco</t>
  </si>
  <si>
    <t>consulenza</t>
  </si>
  <si>
    <t>Tratta 4 Marittima  (T-H-K)</t>
  </si>
  <si>
    <t>Rotta marittima</t>
  </si>
  <si>
    <t>concorrenza</t>
  </si>
  <si>
    <t>Apprendista 3 - prod. tè full-time bancarella</t>
  </si>
  <si>
    <t>Tratta 2  (U-T)</t>
  </si>
  <si>
    <t>donazione associazione pescatori Takamura</t>
  </si>
  <si>
    <t>Barca media</t>
  </si>
  <si>
    <t>Magazzino medio a Hakusui (rotte 1, 2, 3)</t>
  </si>
  <si>
    <t>boost vendite magazzino</t>
  </si>
  <si>
    <t>boost vendite magazzino (taverna)</t>
  </si>
  <si>
    <t>Magazzino Umihana</t>
  </si>
  <si>
    <t>amuletini</t>
  </si>
  <si>
    <t>Guardia</t>
  </si>
  <si>
    <t>consiglio legale relitto</t>
  </si>
  <si>
    <t>Casa a Hakusui</t>
  </si>
  <si>
    <t>"security"</t>
  </si>
  <si>
    <t>Shimanami</t>
  </si>
  <si>
    <t>word count</t>
  </si>
  <si>
    <t>NPC</t>
  </si>
  <si>
    <t>PC</t>
  </si>
  <si>
    <t>Github</t>
  </si>
  <si>
    <t>Other</t>
  </si>
  <si>
    <t>specchio da viaggio finemente decorato</t>
  </si>
  <si>
    <t>Maschera da Cerimonia bianca finemente decorata</t>
  </si>
  <si>
    <t>piccolo lingotto d'oro</t>
  </si>
  <si>
    <t>era 69 gold</t>
  </si>
  <si>
    <t>magazzino grande</t>
  </si>
  <si>
    <t>vendita magazzino piccolo Umihana</t>
  </si>
  <si>
    <t>Magazzini (rotte 1, 2, 3)</t>
  </si>
  <si>
    <t>magazzino grande Umihana</t>
  </si>
  <si>
    <t>Tratta 1 (U-H-T)</t>
  </si>
  <si>
    <t>bonus magazzino grande</t>
  </si>
  <si>
    <t>Kimono per Saori</t>
  </si>
  <si>
    <t>Kimono per se stesso (3+1)</t>
  </si>
  <si>
    <t>Assicurazione  Gilda del Gusto</t>
  </si>
  <si>
    <t>Assicurazione mensile mercanti</t>
  </si>
  <si>
    <t>Tassa assicurazione mercanti</t>
  </si>
  <si>
    <t>Beneficenza tempio Takamura</t>
  </si>
  <si>
    <t>Barca e attrezzi</t>
  </si>
  <si>
    <t>Servizio Postale a Cavallo</t>
  </si>
  <si>
    <t>dipendente Kanemura</t>
  </si>
  <si>
    <t>dipendente Takamura</t>
  </si>
  <si>
    <t>dipendente Umihana</t>
  </si>
  <si>
    <t>vendite</t>
  </si>
  <si>
    <t>Armatura da samurai</t>
  </si>
  <si>
    <t>2 completi vestiti</t>
  </si>
  <si>
    <t>Casa a nord-est</t>
  </si>
  <si>
    <t>stuck at library and cave</t>
  </si>
  <si>
    <t>todo increase income</t>
  </si>
  <si>
    <t>Tassa rotta commerciale (barca media)</t>
  </si>
  <si>
    <t>Masanori</t>
  </si>
  <si>
    <t>tip dalle amiche</t>
  </si>
  <si>
    <t>donazione tempio Umihana</t>
  </si>
  <si>
    <t>Associazione Tsuki no Tsuyu (Rugiada di Luna)</t>
  </si>
  <si>
    <t>/13</t>
  </si>
  <si>
    <t>Medico</t>
  </si>
  <si>
    <t>Capitano</t>
  </si>
  <si>
    <t>Barca Enorme</t>
  </si>
  <si>
    <t>Allestimento</t>
  </si>
  <si>
    <t>todo update</t>
  </si>
  <si>
    <t>Vendita tè e cibo</t>
  </si>
  <si>
    <t>servizio medico</t>
  </si>
  <si>
    <t>katana 931</t>
  </si>
  <si>
    <t>scatola del relitto</t>
  </si>
  <si>
    <t>piccolo lingotto</t>
  </si>
  <si>
    <t>mancia di netsuki</t>
  </si>
  <si>
    <t>4 barche piccole</t>
  </si>
  <si>
    <t>1 barca grande</t>
  </si>
  <si>
    <t>Affitto barche</t>
  </si>
  <si>
    <t>Associazione Pescatori</t>
  </si>
  <si>
    <t>Offerte</t>
  </si>
  <si>
    <t>Sussidio Daimyo</t>
  </si>
  <si>
    <t>cibo</t>
  </si>
  <si>
    <t>bisognosi</t>
  </si>
  <si>
    <t>rapina</t>
  </si>
  <si>
    <t>cavallo</t>
  </si>
  <si>
    <t>festa</t>
  </si>
  <si>
    <t>vendita tè</t>
  </si>
  <si>
    <t>katana</t>
  </si>
  <si>
    <t>info</t>
  </si>
  <si>
    <t>Pesca al largo (con volontari)</t>
  </si>
  <si>
    <t>Monaco (impiego)</t>
  </si>
  <si>
    <t>Hobbies</t>
  </si>
  <si>
    <t>Produzione di sake 
artigianale (business)</t>
  </si>
  <si>
    <t>Magazzino piccolo a Hakusui 
(rotte 1, 2, 3)</t>
  </si>
  <si>
    <t>prelievo Nic</t>
  </si>
  <si>
    <t>Daimyoo supporto momentaneo</t>
  </si>
  <si>
    <t>Spese e Movimenti</t>
  </si>
  <si>
    <t>Impiegati Barca Grande</t>
  </si>
  <si>
    <t>Nostromo (samurai)</t>
  </si>
  <si>
    <t>Navigatore</t>
  </si>
  <si>
    <t>Movimenti</t>
  </si>
  <si>
    <t>Profitti vendite</t>
  </si>
  <si>
    <t>attrezzi sake</t>
  </si>
  <si>
    <t>katane</t>
  </si>
  <si>
    <t>casetta per 
associazione pescatori</t>
  </si>
  <si>
    <t>molo Takamura</t>
  </si>
  <si>
    <t>premio</t>
  </si>
  <si>
    <t>Molo</t>
  </si>
  <si>
    <t>Barca grande e molo (costi e introiti)</t>
  </si>
  <si>
    <t>totale</t>
  </si>
  <si>
    <t>prelievo associazione</t>
  </si>
  <si>
    <t>guardia allevamento 
Granchi Kanemura</t>
  </si>
  <si>
    <t>Storia e Arte</t>
  </si>
  <si>
    <t>Modi di fare</t>
  </si>
  <si>
    <t>todo boost profitti Hirata</t>
  </si>
  <si>
    <t>set da tè</t>
  </si>
  <si>
    <t>Tempio Takamura</t>
  </si>
  <si>
    <t>Paga Takizawa</t>
  </si>
  <si>
    <t>missione</t>
  </si>
  <si>
    <t>ritorno prestito</t>
  </si>
  <si>
    <t>aiuto zilla</t>
  </si>
  <si>
    <t>todo vendita pesce</t>
  </si>
  <si>
    <t>todo tè Kleit</t>
  </si>
  <si>
    <t>todo prestito 10 gold</t>
  </si>
  <si>
    <t>info covo pirati</t>
  </si>
  <si>
    <t>miglioramento business (1 bianco +300)</t>
  </si>
  <si>
    <t>magazzino  piccolo (venduto)</t>
  </si>
  <si>
    <t>investimento sorella</t>
  </si>
  <si>
    <t>bonus</t>
  </si>
  <si>
    <t>arco setup tiro con l'arco</t>
  </si>
  <si>
    <t>vendita sake</t>
  </si>
  <si>
    <t>todo boost vendite ristorante</t>
  </si>
  <si>
    <t>Cuoco</t>
  </si>
  <si>
    <t>todo ristorante</t>
  </si>
  <si>
    <t>Casa Umihana</t>
  </si>
  <si>
    <t>Permesso mercantile</t>
  </si>
  <si>
    <t>Quadro "Le Tre Figlie di Shirakumo" (dall'associazione)</t>
  </si>
  <si>
    <t>katana 941</t>
  </si>
  <si>
    <t>/ 13 Permessi</t>
  </si>
  <si>
    <t>Tratta 4 (K-H-U)</t>
  </si>
  <si>
    <t>+2</t>
  </si>
  <si>
    <t>+3</t>
  </si>
  <si>
    <t>Funzionario locale</t>
  </si>
  <si>
    <t>Associazione</t>
  </si>
  <si>
    <t>danni tsunami</t>
  </si>
  <si>
    <t>spese disastro</t>
  </si>
  <si>
    <t>materiale?</t>
  </si>
  <si>
    <t>set-back vendite?</t>
  </si>
  <si>
    <t>danni ai campi</t>
  </si>
  <si>
    <t>vendita a doppio prezzo</t>
  </si>
  <si>
    <t>casa Umihana</t>
  </si>
  <si>
    <t>riparazioni casa</t>
  </si>
  <si>
    <t>casa Takamura</t>
  </si>
  <si>
    <t>vende a Daichi</t>
  </si>
  <si>
    <t>riparazioni tsunami</t>
  </si>
  <si>
    <t>arco buono</t>
  </si>
  <si>
    <t>Burocrate</t>
  </si>
  <si>
    <t>upgrade magazzino</t>
  </si>
  <si>
    <t>premio Daimyo</t>
  </si>
  <si>
    <t>muro città</t>
  </si>
  <si>
    <t>baracche guardia civile</t>
  </si>
  <si>
    <t>ass. pesca</t>
  </si>
  <si>
    <t>pompa</t>
  </si>
  <si>
    <t>1 scuola a Kanemura</t>
  </si>
  <si>
    <t>campi per i poveri</t>
  </si>
  <si>
    <t>sistema di irrigazione</t>
  </si>
  <si>
    <t>sake</t>
  </si>
  <si>
    <t>magazzino pubblico</t>
  </si>
  <si>
    <t>Team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</si>
</sst>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[$$-1009]#,##0.00;[Red]\-[$$-1009]#,##0.00"/>
    <numFmt numFmtId="166" formatCode="[$$-409]#,##0.00_ ;[Red]\-[$$-409]#,##0.00\ "/>
    <numFmt numFmtId="167" formatCode="[$$-2809]#,##0.00;[Red]\-[$$-2809]#,##0.00"/>
    <numFmt numFmtId="168" formatCode="[Green]\$#,##0.00_);[Red]\-\$#,##0.00;[White]\$0.00;[White]@"/>
    <numFmt numFmtId="169" formatCode="#,##0.0_ ;[Red]\-#,##0.0\ "/>
    <numFmt numFmtId="170" formatCode="[$$-C09]#,##0.00"/>
    <numFmt numFmtId="171" formatCode="[$$-409]#,##0.00"/>
    <numFmt numFmtId="172" formatCode="#,##0.00\ &quot;€&quot;"/>
    <numFmt numFmtId="173" formatCode="0.0"/>
    <numFmt numFmtId="174" formatCode="#,##0.00_ ;[Red]\-#,##0.00\ "/>
    <numFmt numFmtId="175" formatCode="#,##0_ ;[Red]\-#,##0\ "/>
  </numFmts>
  <fonts count="25" x14ac:knownFonts="1">
    <font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8"/>
      <name val="Aptos Narrow"/>
      <family val="2"/>
      <scheme val="minor"/>
    </font>
    <font>
      <sz val="18"/>
      <color rgb="FF00B0F0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  <font>
      <b/>
      <sz val="16"/>
      <color theme="0" tint="-0.1499984740745262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A80000"/>
        <bgColor indexed="64"/>
      </patternFill>
    </fill>
    <fill>
      <patternFill patternType="solid">
        <fgColor rgb="FF6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double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thin">
        <color theme="0"/>
      </right>
      <top style="double">
        <color theme="0"/>
      </top>
      <bottom style="double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2" borderId="0" xfId="0" applyFont="1" applyFill="1"/>
    <xf numFmtId="16" fontId="1" fillId="2" borderId="0" xfId="0" applyNumberFormat="1" applyFont="1" applyFill="1"/>
    <xf numFmtId="0" fontId="1" fillId="3" borderId="0" xfId="0" applyFont="1" applyFill="1"/>
    <xf numFmtId="16" fontId="1" fillId="3" borderId="0" xfId="0" applyNumberFormat="1" applyFont="1" applyFill="1"/>
    <xf numFmtId="16" fontId="2" fillId="2" borderId="0" xfId="0" applyNumberFormat="1" applyFont="1" applyFill="1"/>
    <xf numFmtId="0" fontId="3" fillId="2" borderId="0" xfId="0" applyFont="1" applyFill="1"/>
    <xf numFmtId="10" fontId="3" fillId="2" borderId="0" xfId="0" applyNumberFormat="1" applyFont="1" applyFill="1"/>
    <xf numFmtId="164" fontId="3" fillId="2" borderId="0" xfId="0" applyNumberFormat="1" applyFont="1" applyFill="1"/>
    <xf numFmtId="2" fontId="3" fillId="2" borderId="0" xfId="0" applyNumberFormat="1" applyFont="1" applyFill="1"/>
    <xf numFmtId="2" fontId="4" fillId="2" borderId="0" xfId="0" applyNumberFormat="1" applyFont="1" applyFill="1"/>
    <xf numFmtId="0" fontId="4" fillId="2" borderId="0" xfId="0" applyFont="1" applyFill="1"/>
    <xf numFmtId="0" fontId="3" fillId="2" borderId="1" xfId="0" applyFont="1" applyFill="1" applyBorder="1"/>
    <xf numFmtId="0" fontId="4" fillId="2" borderId="1" xfId="0" applyFont="1" applyFill="1" applyBorder="1"/>
    <xf numFmtId="165" fontId="3" fillId="2" borderId="1" xfId="0" applyNumberFormat="1" applyFont="1" applyFill="1" applyBorder="1"/>
    <xf numFmtId="165" fontId="4" fillId="2" borderId="1" xfId="0" applyNumberFormat="1" applyFont="1" applyFill="1" applyBorder="1"/>
    <xf numFmtId="166" fontId="3" fillId="2" borderId="1" xfId="0" applyNumberFormat="1" applyFont="1" applyFill="1" applyBorder="1"/>
    <xf numFmtId="0" fontId="6" fillId="2" borderId="0" xfId="0" applyFont="1" applyFill="1"/>
    <xf numFmtId="167" fontId="3" fillId="2" borderId="0" xfId="0" applyNumberFormat="1" applyFont="1" applyFill="1"/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right"/>
    </xf>
    <xf numFmtId="0" fontId="7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8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 wrapText="1"/>
    </xf>
    <xf numFmtId="169" fontId="3" fillId="2" borderId="0" xfId="0" applyNumberFormat="1" applyFont="1" applyFill="1" applyAlignment="1">
      <alignment horizontal="center"/>
    </xf>
    <xf numFmtId="168" fontId="3" fillId="2" borderId="3" xfId="0" applyNumberFormat="1" applyFont="1" applyFill="1" applyBorder="1" applyAlignment="1">
      <alignment horizontal="center"/>
    </xf>
    <xf numFmtId="168" fontId="3" fillId="2" borderId="4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2" fillId="4" borderId="1" xfId="0" applyFont="1" applyFill="1" applyBorder="1"/>
    <xf numFmtId="168" fontId="3" fillId="2" borderId="6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2" xfId="0" applyFont="1" applyFill="1" applyBorder="1" applyAlignment="1">
      <alignment horizontal="center"/>
    </xf>
    <xf numFmtId="1" fontId="3" fillId="3" borderId="0" xfId="0" applyNumberFormat="1" applyFont="1" applyFill="1" applyAlignment="1">
      <alignment horizontal="right"/>
    </xf>
    <xf numFmtId="9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168" fontId="3" fillId="3" borderId="0" xfId="0" applyNumberFormat="1" applyFont="1" applyFill="1" applyAlignment="1">
      <alignment horizontal="center"/>
    </xf>
    <xf numFmtId="170" fontId="4" fillId="3" borderId="0" xfId="0" applyNumberFormat="1" applyFont="1" applyFill="1" applyAlignment="1">
      <alignment horizontal="center"/>
    </xf>
    <xf numFmtId="171" fontId="3" fillId="3" borderId="0" xfId="0" applyNumberFormat="1" applyFont="1" applyFill="1" applyAlignment="1">
      <alignment horizontal="center"/>
    </xf>
    <xf numFmtId="168" fontId="3" fillId="2" borderId="2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left"/>
    </xf>
    <xf numFmtId="0" fontId="4" fillId="5" borderId="4" xfId="0" applyFont="1" applyFill="1" applyBorder="1" applyAlignment="1">
      <alignment horizontal="right"/>
    </xf>
    <xf numFmtId="0" fontId="3" fillId="7" borderId="0" xfId="0" applyFont="1" applyFill="1" applyAlignment="1">
      <alignment horizontal="right"/>
    </xf>
    <xf numFmtId="0" fontId="3" fillId="7" borderId="3" xfId="0" applyFont="1" applyFill="1" applyBorder="1" applyAlignment="1">
      <alignment horizontal="right" wrapText="1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9" fontId="3" fillId="3" borderId="0" xfId="0" applyNumberFormat="1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right"/>
    </xf>
    <xf numFmtId="170" fontId="4" fillId="3" borderId="9" xfId="0" applyNumberFormat="1" applyFont="1" applyFill="1" applyBorder="1" applyAlignment="1">
      <alignment horizontal="center"/>
    </xf>
    <xf numFmtId="171" fontId="3" fillId="3" borderId="9" xfId="0" applyNumberFormat="1" applyFont="1" applyFill="1" applyBorder="1" applyAlignment="1">
      <alignment horizontal="center"/>
    </xf>
    <xf numFmtId="168" fontId="3" fillId="3" borderId="9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0" fontId="4" fillId="3" borderId="8" xfId="0" applyFont="1" applyFill="1" applyBorder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" fontId="3" fillId="2" borderId="0" xfId="0" applyNumberFormat="1" applyFont="1" applyFill="1"/>
    <xf numFmtId="0" fontId="3" fillId="3" borderId="3" xfId="0" applyFont="1" applyFill="1" applyBorder="1" applyAlignment="1">
      <alignment horizontal="right"/>
    </xf>
    <xf numFmtId="169" fontId="3" fillId="2" borderId="3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right"/>
    </xf>
    <xf numFmtId="0" fontId="3" fillId="7" borderId="13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7" borderId="0" xfId="0" applyFont="1" applyFill="1" applyAlignment="1">
      <alignment horizontal="left"/>
    </xf>
    <xf numFmtId="0" fontId="3" fillId="7" borderId="3" xfId="0" applyFont="1" applyFill="1" applyBorder="1" applyAlignment="1">
      <alignment horizontal="left" wrapText="1"/>
    </xf>
    <xf numFmtId="166" fontId="3" fillId="2" borderId="0" xfId="0" applyNumberFormat="1" applyFont="1" applyFill="1"/>
    <xf numFmtId="0" fontId="11" fillId="17" borderId="0" xfId="0" applyFont="1" applyFill="1" applyAlignment="1">
      <alignment horizontal="center"/>
    </xf>
    <xf numFmtId="0" fontId="11" fillId="17" borderId="0" xfId="0" applyFont="1" applyFill="1" applyAlignment="1">
      <alignment horizontal="left"/>
    </xf>
    <xf numFmtId="0" fontId="11" fillId="17" borderId="0" xfId="0" applyFont="1" applyFill="1" applyAlignment="1">
      <alignment horizontal="right"/>
    </xf>
    <xf numFmtId="0" fontId="11" fillId="17" borderId="3" xfId="0" applyFont="1" applyFill="1" applyBorder="1" applyAlignment="1">
      <alignment horizontal="center"/>
    </xf>
    <xf numFmtId="0" fontId="11" fillId="17" borderId="3" xfId="0" applyFont="1" applyFill="1" applyBorder="1" applyAlignment="1">
      <alignment horizontal="left"/>
    </xf>
    <xf numFmtId="0" fontId="11" fillId="17" borderId="3" xfId="0" applyFont="1" applyFill="1" applyBorder="1" applyAlignment="1">
      <alignment horizontal="right"/>
    </xf>
    <xf numFmtId="0" fontId="11" fillId="17" borderId="11" xfId="0" applyFont="1" applyFill="1" applyBorder="1" applyAlignment="1">
      <alignment horizontal="center"/>
    </xf>
    <xf numFmtId="168" fontId="3" fillId="4" borderId="3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72" fontId="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64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15" xfId="0" applyFont="1" applyFill="1" applyBorder="1"/>
    <xf numFmtId="0" fontId="1" fillId="2" borderId="16" xfId="0" applyFont="1" applyFill="1" applyBorder="1"/>
    <xf numFmtId="173" fontId="14" fillId="2" borderId="14" xfId="0" applyNumberFormat="1" applyFont="1" applyFill="1" applyBorder="1"/>
    <xf numFmtId="171" fontId="3" fillId="3" borderId="0" xfId="0" applyNumberFormat="1" applyFont="1" applyFill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17" fillId="3" borderId="2" xfId="0" applyFont="1" applyFill="1" applyBorder="1" applyAlignment="1">
      <alignment horizontal="center"/>
    </xf>
    <xf numFmtId="0" fontId="18" fillId="18" borderId="3" xfId="0" applyFont="1" applyFill="1" applyBorder="1" applyAlignment="1">
      <alignment horizontal="left" wrapText="1"/>
    </xf>
    <xf numFmtId="0" fontId="16" fillId="19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174" fontId="3" fillId="3" borderId="0" xfId="0" applyNumberFormat="1" applyFont="1" applyFill="1" applyAlignment="1">
      <alignment horizontal="center"/>
    </xf>
    <xf numFmtId="0" fontId="19" fillId="6" borderId="0" xfId="0" applyFont="1" applyFill="1" applyAlignment="1">
      <alignment horizontal="left"/>
    </xf>
    <xf numFmtId="0" fontId="21" fillId="5" borderId="4" xfId="0" applyFont="1" applyFill="1" applyBorder="1" applyAlignment="1">
      <alignment horizontal="left"/>
    </xf>
    <xf numFmtId="168" fontId="3" fillId="4" borderId="0" xfId="0" applyNumberFormat="1" applyFont="1" applyFill="1" applyAlignment="1">
      <alignment horizontal="center"/>
    </xf>
    <xf numFmtId="0" fontId="4" fillId="21" borderId="3" xfId="0" applyFont="1" applyFill="1" applyBorder="1" applyAlignment="1">
      <alignment horizontal="left" wrapText="1"/>
    </xf>
    <xf numFmtId="0" fontId="3" fillId="21" borderId="3" xfId="0" applyFont="1" applyFill="1" applyBorder="1" applyAlignment="1">
      <alignment horizontal="center" wrapText="1"/>
    </xf>
    <xf numFmtId="0" fontId="3" fillId="21" borderId="3" xfId="0" applyFont="1" applyFill="1" applyBorder="1" applyAlignment="1">
      <alignment horizontal="left" wrapText="1"/>
    </xf>
    <xf numFmtId="0" fontId="20" fillId="21" borderId="3" xfId="0" applyFont="1" applyFill="1" applyBorder="1" applyAlignment="1">
      <alignment horizontal="left" wrapText="1"/>
    </xf>
    <xf numFmtId="0" fontId="3" fillId="2" borderId="0" xfId="0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  <xf numFmtId="168" fontId="3" fillId="2" borderId="17" xfId="0" applyNumberFormat="1" applyFont="1" applyFill="1" applyBorder="1" applyAlignment="1">
      <alignment horizontal="center"/>
    </xf>
    <xf numFmtId="168" fontId="3" fillId="3" borderId="0" xfId="0" applyNumberFormat="1" applyFont="1" applyFill="1" applyAlignment="1">
      <alignment horizontal="right"/>
    </xf>
    <xf numFmtId="168" fontId="3" fillId="3" borderId="3" xfId="0" applyNumberFormat="1" applyFont="1" applyFill="1" applyBorder="1" applyAlignment="1">
      <alignment horizontal="center"/>
    </xf>
    <xf numFmtId="168" fontId="3" fillId="2" borderId="18" xfId="0" applyNumberFormat="1" applyFont="1" applyFill="1" applyBorder="1" applyAlignment="1">
      <alignment horizontal="center"/>
    </xf>
    <xf numFmtId="0" fontId="11" fillId="17" borderId="12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left"/>
    </xf>
    <xf numFmtId="168" fontId="3" fillId="2" borderId="3" xfId="0" applyNumberFormat="1" applyFont="1" applyFill="1" applyBorder="1" applyAlignment="1">
      <alignment horizontal="right"/>
    </xf>
    <xf numFmtId="0" fontId="3" fillId="3" borderId="0" xfId="0" quotePrefix="1" applyFont="1" applyFill="1" applyAlignment="1">
      <alignment horizontal="left"/>
    </xf>
    <xf numFmtId="0" fontId="3" fillId="7" borderId="0" xfId="0" applyFont="1" applyFill="1" applyAlignment="1">
      <alignment horizontal="right" wrapText="1"/>
    </xf>
    <xf numFmtId="174" fontId="3" fillId="3" borderId="0" xfId="0" applyNumberFormat="1" applyFont="1" applyFill="1" applyAlignment="1">
      <alignment horizontal="left"/>
    </xf>
    <xf numFmtId="0" fontId="3" fillId="3" borderId="17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left"/>
    </xf>
    <xf numFmtId="0" fontId="11" fillId="17" borderId="17" xfId="0" applyFont="1" applyFill="1" applyBorder="1" applyAlignment="1">
      <alignment horizontal="right"/>
    </xf>
    <xf numFmtId="0" fontId="3" fillId="7" borderId="17" xfId="0" applyFont="1" applyFill="1" applyBorder="1" applyAlignment="1">
      <alignment horizontal="right"/>
    </xf>
    <xf numFmtId="0" fontId="9" fillId="8" borderId="0" xfId="0" applyFont="1" applyFill="1" applyAlignment="1">
      <alignment horizontal="right"/>
    </xf>
    <xf numFmtId="0" fontId="8" fillId="6" borderId="3" xfId="0" applyFont="1" applyFill="1" applyBorder="1" applyAlignment="1">
      <alignment horizontal="left"/>
    </xf>
    <xf numFmtId="0" fontId="15" fillId="18" borderId="19" xfId="0" applyFont="1" applyFill="1" applyBorder="1" applyAlignment="1">
      <alignment horizontal="right"/>
    </xf>
    <xf numFmtId="175" fontId="3" fillId="3" borderId="0" xfId="0" applyNumberFormat="1" applyFont="1" applyFill="1" applyAlignment="1">
      <alignment horizontal="center"/>
    </xf>
    <xf numFmtId="173" fontId="3" fillId="2" borderId="0" xfId="0" applyNumberFormat="1" applyFont="1" applyFill="1"/>
    <xf numFmtId="0" fontId="17" fillId="3" borderId="20" xfId="0" applyFont="1" applyFill="1" applyBorder="1" applyAlignment="1">
      <alignment horizontal="center"/>
    </xf>
    <xf numFmtId="0" fontId="16" fillId="19" borderId="20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20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/>
    </xf>
    <xf numFmtId="174" fontId="3" fillId="3" borderId="9" xfId="0" applyNumberFormat="1" applyFont="1" applyFill="1" applyBorder="1" applyAlignment="1">
      <alignment horizontal="center"/>
    </xf>
    <xf numFmtId="170" fontId="4" fillId="2" borderId="9" xfId="0" applyNumberFormat="1" applyFont="1" applyFill="1" applyBorder="1" applyAlignment="1">
      <alignment horizontal="center"/>
    </xf>
    <xf numFmtId="171" fontId="3" fillId="2" borderId="9" xfId="0" applyNumberFormat="1" applyFont="1" applyFill="1" applyBorder="1" applyAlignment="1">
      <alignment horizontal="center"/>
    </xf>
    <xf numFmtId="168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71" fontId="3" fillId="3" borderId="21" xfId="0" applyNumberFormat="1" applyFont="1" applyFill="1" applyBorder="1" applyAlignment="1">
      <alignment horizontal="right"/>
    </xf>
    <xf numFmtId="0" fontId="3" fillId="3" borderId="22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171" fontId="3" fillId="2" borderId="21" xfId="0" applyNumberFormat="1" applyFont="1" applyFill="1" applyBorder="1" applyAlignment="1">
      <alignment horizontal="right"/>
    </xf>
    <xf numFmtId="171" fontId="3" fillId="2" borderId="22" xfId="0" applyNumberFormat="1" applyFont="1" applyFill="1" applyBorder="1" applyAlignment="1">
      <alignment horizontal="right"/>
    </xf>
    <xf numFmtId="0" fontId="4" fillId="3" borderId="21" xfId="0" applyFont="1" applyFill="1" applyBorder="1" applyAlignment="1">
      <alignment horizontal="right"/>
    </xf>
    <xf numFmtId="0" fontId="4" fillId="3" borderId="22" xfId="0" applyFont="1" applyFill="1" applyBorder="1" applyAlignment="1">
      <alignment horizontal="right"/>
    </xf>
    <xf numFmtId="0" fontId="3" fillId="3" borderId="21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right"/>
    </xf>
    <xf numFmtId="0" fontId="3" fillId="3" borderId="2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right"/>
    </xf>
    <xf numFmtId="0" fontId="3" fillId="15" borderId="26" xfId="0" applyFont="1" applyFill="1" applyBorder="1" applyAlignment="1">
      <alignment horizontal="right"/>
    </xf>
    <xf numFmtId="0" fontId="3" fillId="15" borderId="27" xfId="0" applyFont="1" applyFill="1" applyBorder="1" applyAlignment="1">
      <alignment horizontal="right"/>
    </xf>
    <xf numFmtId="0" fontId="3" fillId="15" borderId="28" xfId="0" applyFont="1" applyFill="1" applyBorder="1" applyAlignment="1">
      <alignment horizontal="right"/>
    </xf>
    <xf numFmtId="0" fontId="10" fillId="16" borderId="27" xfId="0" applyFont="1" applyFill="1" applyBorder="1" applyAlignment="1">
      <alignment horizontal="right"/>
    </xf>
    <xf numFmtId="0" fontId="3" fillId="12" borderId="26" xfId="0" applyFont="1" applyFill="1" applyBorder="1" applyAlignment="1">
      <alignment horizontal="right"/>
    </xf>
    <xf numFmtId="0" fontId="3" fillId="12" borderId="27" xfId="0" applyFont="1" applyFill="1" applyBorder="1" applyAlignment="1">
      <alignment horizontal="right"/>
    </xf>
    <xf numFmtId="0" fontId="3" fillId="12" borderId="28" xfId="0" applyFont="1" applyFill="1" applyBorder="1" applyAlignment="1">
      <alignment horizontal="right"/>
    </xf>
    <xf numFmtId="168" fontId="3" fillId="2" borderId="25" xfId="0" applyNumberFormat="1" applyFont="1" applyFill="1" applyBorder="1" applyAlignment="1">
      <alignment horizontal="center"/>
    </xf>
    <xf numFmtId="170" fontId="4" fillId="2" borderId="25" xfId="0" applyNumberFormat="1" applyFont="1" applyFill="1" applyBorder="1" applyAlignment="1">
      <alignment horizontal="center"/>
    </xf>
    <xf numFmtId="0" fontId="21" fillId="11" borderId="24" xfId="0" applyFont="1" applyFill="1" applyBorder="1" applyAlignment="1">
      <alignment horizontal="left"/>
    </xf>
    <xf numFmtId="0" fontId="21" fillId="11" borderId="29" xfId="0" applyFont="1" applyFill="1" applyBorder="1" applyAlignment="1">
      <alignment horizontal="left"/>
    </xf>
    <xf numFmtId="168" fontId="3" fillId="4" borderId="9" xfId="0" applyNumberFormat="1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16" fillId="19" borderId="9" xfId="0" applyFont="1" applyFill="1" applyBorder="1" applyAlignment="1">
      <alignment horizontal="center" vertical="center"/>
    </xf>
    <xf numFmtId="0" fontId="16" fillId="14" borderId="9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16" fillId="20" borderId="9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right"/>
    </xf>
    <xf numFmtId="0" fontId="3" fillId="10" borderId="22" xfId="0" applyFont="1" applyFill="1" applyBorder="1" applyAlignment="1">
      <alignment horizontal="right"/>
    </xf>
    <xf numFmtId="168" fontId="3" fillId="3" borderId="21" xfId="0" applyNumberFormat="1" applyFont="1" applyFill="1" applyBorder="1" applyAlignment="1">
      <alignment horizontal="right"/>
    </xf>
    <xf numFmtId="0" fontId="3" fillId="2" borderId="9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right"/>
    </xf>
    <xf numFmtId="0" fontId="21" fillId="9" borderId="24" xfId="0" applyFont="1" applyFill="1" applyBorder="1" applyAlignment="1">
      <alignment horizontal="left" wrapText="1"/>
    </xf>
    <xf numFmtId="0" fontId="21" fillId="9" borderId="29" xfId="0" applyFont="1" applyFill="1" applyBorder="1" applyAlignment="1">
      <alignment horizontal="left" wrapText="1"/>
    </xf>
    <xf numFmtId="0" fontId="3" fillId="2" borderId="22" xfId="0" applyFont="1" applyFill="1" applyBorder="1" applyAlignment="1">
      <alignment horizontal="right"/>
    </xf>
    <xf numFmtId="0" fontId="4" fillId="2" borderId="22" xfId="0" applyFont="1" applyFill="1" applyBorder="1" applyAlignment="1">
      <alignment horizontal="right"/>
    </xf>
    <xf numFmtId="16" fontId="3" fillId="2" borderId="0" xfId="0" applyNumberFormat="1" applyFont="1" applyFill="1"/>
    <xf numFmtId="0" fontId="3" fillId="3" borderId="10" xfId="0" applyFont="1" applyFill="1" applyBorder="1" applyAlignment="1">
      <alignment horizontal="right"/>
    </xf>
    <xf numFmtId="0" fontId="20" fillId="11" borderId="26" xfId="0" applyFont="1" applyFill="1" applyBorder="1" applyAlignment="1">
      <alignment horizontal="right"/>
    </xf>
    <xf numFmtId="0" fontId="20" fillId="11" borderId="27" xfId="0" applyFont="1" applyFill="1" applyBorder="1" applyAlignment="1">
      <alignment horizontal="right"/>
    </xf>
    <xf numFmtId="0" fontId="20" fillId="11" borderId="28" xfId="0" applyFont="1" applyFill="1" applyBorder="1" applyAlignment="1">
      <alignment horizontal="right"/>
    </xf>
    <xf numFmtId="0" fontId="20" fillId="11" borderId="26" xfId="0" applyFont="1" applyFill="1" applyBorder="1" applyAlignment="1">
      <alignment horizontal="right" wrapText="1"/>
    </xf>
    <xf numFmtId="0" fontId="20" fillId="11" borderId="30" xfId="0" applyFont="1" applyFill="1" applyBorder="1" applyAlignment="1">
      <alignment horizontal="right"/>
    </xf>
    <xf numFmtId="0" fontId="20" fillId="9" borderId="0" xfId="0" applyFont="1" applyFill="1" applyAlignment="1">
      <alignment horizontal="right" wrapText="1"/>
    </xf>
    <xf numFmtId="0" fontId="3" fillId="9" borderId="0" xfId="0" applyFont="1" applyFill="1" applyAlignment="1">
      <alignment horizontal="right"/>
    </xf>
    <xf numFmtId="0" fontId="3" fillId="9" borderId="9" xfId="0" applyFont="1" applyFill="1" applyBorder="1" applyAlignment="1">
      <alignment horizontal="right"/>
    </xf>
    <xf numFmtId="0" fontId="20" fillId="9" borderId="9" xfId="0" applyFont="1" applyFill="1" applyBorder="1" applyAlignment="1">
      <alignment horizontal="right" wrapText="1"/>
    </xf>
    <xf numFmtId="0" fontId="20" fillId="9" borderId="0" xfId="0" applyFont="1" applyFill="1" applyAlignment="1">
      <alignment horizontal="right" vertical="top" wrapText="1"/>
    </xf>
    <xf numFmtId="0" fontId="24" fillId="22" borderId="9" xfId="0" applyFont="1" applyFill="1" applyBorder="1" applyAlignment="1">
      <alignment horizontal="right" wrapText="1"/>
    </xf>
    <xf numFmtId="0" fontId="20" fillId="9" borderId="30" xfId="0" applyFont="1" applyFill="1" applyBorder="1" applyAlignment="1">
      <alignment horizontal="right" wrapText="1"/>
    </xf>
    <xf numFmtId="0" fontId="15" fillId="16" borderId="26" xfId="0" applyFont="1" applyFill="1" applyBorder="1" applyAlignment="1">
      <alignment horizontal="right"/>
    </xf>
    <xf numFmtId="0" fontId="15" fillId="16" borderId="27" xfId="0" applyFont="1" applyFill="1" applyBorder="1" applyAlignment="1">
      <alignment horizontal="right"/>
    </xf>
    <xf numFmtId="0" fontId="15" fillId="16" borderId="28" xfId="0" applyFont="1" applyFill="1" applyBorder="1" applyAlignment="1">
      <alignment horizontal="right"/>
    </xf>
    <xf numFmtId="0" fontId="3" fillId="3" borderId="31" xfId="0" applyFont="1" applyFill="1" applyBorder="1" applyAlignment="1">
      <alignment horizontal="center"/>
    </xf>
    <xf numFmtId="168" fontId="3" fillId="3" borderId="31" xfId="0" applyNumberFormat="1" applyFont="1" applyFill="1" applyBorder="1" applyAlignment="1">
      <alignment horizontal="center"/>
    </xf>
    <xf numFmtId="0" fontId="3" fillId="3" borderId="32" xfId="0" applyFont="1" applyFill="1" applyBorder="1" applyAlignment="1">
      <alignment horizontal="right"/>
    </xf>
    <xf numFmtId="168" fontId="3" fillId="2" borderId="31" xfId="0" applyNumberFormat="1" applyFont="1" applyFill="1" applyBorder="1" applyAlignment="1">
      <alignment horizontal="center"/>
    </xf>
    <xf numFmtId="0" fontId="4" fillId="12" borderId="27" xfId="0" applyFont="1" applyFill="1" applyBorder="1" applyAlignment="1">
      <alignment horizontal="right"/>
    </xf>
    <xf numFmtId="0" fontId="10" fillId="16" borderId="0" xfId="0" applyFont="1" applyFill="1" applyAlignment="1">
      <alignment horizontal="right"/>
    </xf>
    <xf numFmtId="0" fontId="10" fillId="3" borderId="33" xfId="0" applyFont="1" applyFill="1" applyBorder="1" applyAlignment="1">
      <alignment horizontal="right"/>
    </xf>
    <xf numFmtId="0" fontId="3" fillId="3" borderId="34" xfId="0" applyFont="1" applyFill="1" applyBorder="1" applyAlignment="1">
      <alignment horizontal="right"/>
    </xf>
    <xf numFmtId="0" fontId="3" fillId="3" borderId="33" xfId="0" applyFont="1" applyFill="1" applyBorder="1" applyAlignment="1">
      <alignment horizontal="center"/>
    </xf>
    <xf numFmtId="168" fontId="3" fillId="3" borderId="33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wrapText="1"/>
    </xf>
    <xf numFmtId="0" fontId="10" fillId="16" borderId="31" xfId="0" applyFont="1" applyFill="1" applyBorder="1" applyAlignment="1">
      <alignment horizontal="right"/>
    </xf>
    <xf numFmtId="0" fontId="3" fillId="15" borderId="32" xfId="0" applyFont="1" applyFill="1" applyBorder="1" applyAlignment="1">
      <alignment horizontal="right"/>
    </xf>
    <xf numFmtId="174" fontId="3" fillId="3" borderId="31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right"/>
    </xf>
    <xf numFmtId="168" fontId="3" fillId="2" borderId="0" xfId="0" quotePrefix="1" applyNumberFormat="1" applyFont="1" applyFill="1" applyAlignment="1">
      <alignment horizontal="center" wrapText="1"/>
    </xf>
    <xf numFmtId="0" fontId="10" fillId="16" borderId="9" xfId="0" applyFont="1" applyFill="1" applyBorder="1" applyAlignment="1">
      <alignment horizontal="right"/>
    </xf>
    <xf numFmtId="0" fontId="23" fillId="14" borderId="22" xfId="0" applyFont="1" applyFill="1" applyBorder="1" applyAlignment="1">
      <alignment horizontal="left"/>
    </xf>
    <xf numFmtId="0" fontId="3" fillId="15" borderId="22" xfId="0" applyFont="1" applyFill="1" applyBorder="1" applyAlignment="1">
      <alignment horizontal="right"/>
    </xf>
    <xf numFmtId="0" fontId="0" fillId="13" borderId="21" xfId="0" applyFill="1" applyBorder="1" applyAlignment="1">
      <alignment horizontal="right"/>
    </xf>
    <xf numFmtId="0" fontId="0" fillId="13" borderId="22" xfId="0" applyFill="1" applyBorder="1" applyAlignment="1">
      <alignment horizontal="right"/>
    </xf>
    <xf numFmtId="0" fontId="10" fillId="16" borderId="29" xfId="0" applyFont="1" applyFill="1" applyBorder="1" applyAlignment="1">
      <alignment horizontal="right"/>
    </xf>
    <xf numFmtId="0" fontId="3" fillId="15" borderId="29" xfId="0" applyFont="1" applyFill="1" applyBorder="1" applyAlignment="1">
      <alignment horizontal="right"/>
    </xf>
    <xf numFmtId="168" fontId="3" fillId="2" borderId="35" xfId="0" applyNumberFormat="1" applyFont="1" applyFill="1" applyBorder="1" applyAlignment="1">
      <alignment horizontal="center"/>
    </xf>
    <xf numFmtId="0" fontId="0" fillId="13" borderId="21" xfId="0" applyFill="1" applyBorder="1" applyAlignment="1">
      <alignment horizontal="right" wrapText="1"/>
    </xf>
    <xf numFmtId="0" fontId="3" fillId="15" borderId="21" xfId="0" applyFont="1" applyFill="1" applyBorder="1" applyAlignment="1">
      <alignment horizontal="right" wrapText="1"/>
    </xf>
    <xf numFmtId="0" fontId="22" fillId="14" borderId="0" xfId="0" applyFont="1" applyFill="1" applyAlignment="1">
      <alignment horizontal="right"/>
    </xf>
    <xf numFmtId="0" fontId="9" fillId="3" borderId="9" xfId="0" applyFont="1" applyFill="1" applyBorder="1" applyAlignment="1">
      <alignment horizontal="right"/>
    </xf>
    <xf numFmtId="0" fontId="9" fillId="2" borderId="0" xfId="0" applyFont="1" applyFill="1" applyAlignment="1">
      <alignment horizontal="right"/>
    </xf>
    <xf numFmtId="0" fontId="22" fillId="14" borderId="9" xfId="0" applyFont="1" applyFill="1" applyBorder="1" applyAlignment="1">
      <alignment horizontal="right"/>
    </xf>
    <xf numFmtId="0" fontId="9" fillId="3" borderId="31" xfId="0" applyFont="1" applyFill="1" applyBorder="1" applyAlignment="1">
      <alignment horizontal="right"/>
    </xf>
    <xf numFmtId="0" fontId="22" fillId="14" borderId="30" xfId="0" applyFont="1" applyFill="1" applyBorder="1" applyAlignment="1">
      <alignment horizontal="right"/>
    </xf>
    <xf numFmtId="168" fontId="3" fillId="2" borderId="3" xfId="0" quotePrefix="1" applyNumberFormat="1" applyFont="1" applyFill="1" applyBorder="1" applyAlignment="1">
      <alignment horizontal="center"/>
    </xf>
    <xf numFmtId="0" fontId="24" fillId="22" borderId="0" xfId="0" applyFont="1" applyFill="1" applyAlignment="1">
      <alignment horizontal="right" wrapText="1"/>
    </xf>
    <xf numFmtId="168" fontId="3" fillId="10" borderId="21" xfId="0" applyNumberFormat="1" applyFont="1" applyFill="1" applyBorder="1" applyAlignment="1">
      <alignment horizontal="right"/>
    </xf>
    <xf numFmtId="9" fontId="4" fillId="3" borderId="0" xfId="0" applyNumberFormat="1" applyFont="1" applyFill="1" applyAlignment="1">
      <alignment horizontal="right"/>
    </xf>
    <xf numFmtId="171" fontId="3" fillId="2" borderId="0" xfId="0" applyNumberFormat="1" applyFont="1" applyFill="1" applyAlignment="1">
      <alignment horizontal="left"/>
    </xf>
    <xf numFmtId="171" fontId="3" fillId="2" borderId="9" xfId="0" applyNumberFormat="1" applyFont="1" applyFill="1" applyBorder="1" applyAlignment="1">
      <alignment horizontal="left"/>
    </xf>
    <xf numFmtId="171" fontId="3" fillId="2" borderId="0" xfId="0" applyNumberFormat="1" applyFont="1" applyFill="1" applyAlignment="1">
      <alignment horizontal="center"/>
    </xf>
    <xf numFmtId="171" fontId="3" fillId="2" borderId="9" xfId="0" quotePrefix="1" applyNumberFormat="1" applyFont="1" applyFill="1" applyBorder="1" applyAlignment="1">
      <alignment horizontal="center"/>
    </xf>
    <xf numFmtId="171" fontId="9" fillId="2" borderId="9" xfId="0" applyNumberFormat="1" applyFont="1" applyFill="1" applyBorder="1" applyAlignment="1">
      <alignment horizontal="right"/>
    </xf>
    <xf numFmtId="171" fontId="9" fillId="2" borderId="0" xfId="0" applyNumberFormat="1" applyFont="1" applyFill="1" applyAlignment="1">
      <alignment horizontal="right"/>
    </xf>
    <xf numFmtId="171" fontId="3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D25F"/>
      <color rgb="FF0D97FF"/>
      <color rgb="FFFFCC00"/>
      <color rgb="FF6F0000"/>
      <color rgb="FF7E0000"/>
      <color rgb="FFA80000"/>
      <color rgb="FF460000"/>
      <color rgb="FF4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NAV [Gp]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Economia!$A$2</c:f>
              <c:strCache>
                <c:ptCount val="1"/>
                <c:pt idx="0">
                  <c:v>Nic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Economia!$B$2:$CA$2</c:f>
              <c:numCache>
                <c:formatCode>0.00</c:formatCode>
                <c:ptCount val="78"/>
                <c:pt idx="0">
                  <c:v>51.8</c:v>
                </c:pt>
                <c:pt idx="1">
                  <c:v>54.5</c:v>
                </c:pt>
                <c:pt idx="2">
                  <c:v>57.2</c:v>
                </c:pt>
                <c:pt idx="3">
                  <c:v>59.9</c:v>
                </c:pt>
                <c:pt idx="4">
                  <c:v>62.6</c:v>
                </c:pt>
                <c:pt idx="5">
                  <c:v>65.3</c:v>
                </c:pt>
                <c:pt idx="6">
                  <c:v>68</c:v>
                </c:pt>
                <c:pt idx="7">
                  <c:v>70.7</c:v>
                </c:pt>
                <c:pt idx="8">
                  <c:v>73.400000000000006</c:v>
                </c:pt>
                <c:pt idx="9">
                  <c:v>76.099999999999994</c:v>
                </c:pt>
                <c:pt idx="10">
                  <c:v>78.8</c:v>
                </c:pt>
                <c:pt idx="11">
                  <c:v>81.5</c:v>
                </c:pt>
                <c:pt idx="12">
                  <c:v>84.2</c:v>
                </c:pt>
                <c:pt idx="13">
                  <c:v>86.9</c:v>
                </c:pt>
                <c:pt idx="14">
                  <c:v>89.6</c:v>
                </c:pt>
                <c:pt idx="15">
                  <c:v>96.8</c:v>
                </c:pt>
                <c:pt idx="16">
                  <c:v>99.5</c:v>
                </c:pt>
                <c:pt idx="17">
                  <c:v>102.2</c:v>
                </c:pt>
                <c:pt idx="18">
                  <c:v>105.4</c:v>
                </c:pt>
                <c:pt idx="19">
                  <c:v>108.1</c:v>
                </c:pt>
                <c:pt idx="20">
                  <c:v>110.8</c:v>
                </c:pt>
                <c:pt idx="21">
                  <c:v>113.4</c:v>
                </c:pt>
                <c:pt idx="22">
                  <c:v>116.1</c:v>
                </c:pt>
                <c:pt idx="23">
                  <c:v>118.8</c:v>
                </c:pt>
                <c:pt idx="24">
                  <c:v>121.5</c:v>
                </c:pt>
                <c:pt idx="25">
                  <c:v>124.2</c:v>
                </c:pt>
                <c:pt idx="26">
                  <c:v>126.9</c:v>
                </c:pt>
                <c:pt idx="27">
                  <c:v>133.6</c:v>
                </c:pt>
                <c:pt idx="28">
                  <c:v>136.30000000000001</c:v>
                </c:pt>
                <c:pt idx="29">
                  <c:v>139</c:v>
                </c:pt>
                <c:pt idx="30">
                  <c:v>180.8</c:v>
                </c:pt>
                <c:pt idx="31">
                  <c:v>182.6</c:v>
                </c:pt>
                <c:pt idx="32">
                  <c:v>184.4</c:v>
                </c:pt>
                <c:pt idx="33">
                  <c:v>180.6</c:v>
                </c:pt>
                <c:pt idx="34">
                  <c:v>216.8</c:v>
                </c:pt>
                <c:pt idx="35">
                  <c:v>228</c:v>
                </c:pt>
                <c:pt idx="36">
                  <c:v>239.2</c:v>
                </c:pt>
                <c:pt idx="37">
                  <c:v>249.5</c:v>
                </c:pt>
                <c:pt idx="38">
                  <c:v>259.58999999999997</c:v>
                </c:pt>
                <c:pt idx="39">
                  <c:v>270.3</c:v>
                </c:pt>
                <c:pt idx="40">
                  <c:v>280.8</c:v>
                </c:pt>
                <c:pt idx="41">
                  <c:v>291.3</c:v>
                </c:pt>
                <c:pt idx="42">
                  <c:v>301.8</c:v>
                </c:pt>
                <c:pt idx="43">
                  <c:v>312.3</c:v>
                </c:pt>
                <c:pt idx="44">
                  <c:v>322.8</c:v>
                </c:pt>
                <c:pt idx="45">
                  <c:v>333.3</c:v>
                </c:pt>
                <c:pt idx="46">
                  <c:v>343.8</c:v>
                </c:pt>
                <c:pt idx="47">
                  <c:v>354.3</c:v>
                </c:pt>
                <c:pt idx="48">
                  <c:v>364.8</c:v>
                </c:pt>
                <c:pt idx="49">
                  <c:v>375.3</c:v>
                </c:pt>
                <c:pt idx="50">
                  <c:v>385.8</c:v>
                </c:pt>
                <c:pt idx="51">
                  <c:v>396.3</c:v>
                </c:pt>
                <c:pt idx="52">
                  <c:v>406.8</c:v>
                </c:pt>
                <c:pt idx="53">
                  <c:v>417.3</c:v>
                </c:pt>
                <c:pt idx="54">
                  <c:v>427.8</c:v>
                </c:pt>
                <c:pt idx="55">
                  <c:v>438.3</c:v>
                </c:pt>
                <c:pt idx="56">
                  <c:v>448.8</c:v>
                </c:pt>
                <c:pt idx="57">
                  <c:v>459.3</c:v>
                </c:pt>
                <c:pt idx="58">
                  <c:v>469.8</c:v>
                </c:pt>
                <c:pt idx="59">
                  <c:v>480.3</c:v>
                </c:pt>
                <c:pt idx="60">
                  <c:v>490.8</c:v>
                </c:pt>
                <c:pt idx="61">
                  <c:v>501.3</c:v>
                </c:pt>
                <c:pt idx="62">
                  <c:v>511.8</c:v>
                </c:pt>
                <c:pt idx="63">
                  <c:v>522.29999999999995</c:v>
                </c:pt>
                <c:pt idx="64">
                  <c:v>532.79999999999995</c:v>
                </c:pt>
                <c:pt idx="65">
                  <c:v>543.29999999999995</c:v>
                </c:pt>
                <c:pt idx="66">
                  <c:v>553.79999999999995</c:v>
                </c:pt>
                <c:pt idx="67">
                  <c:v>564.29999999999995</c:v>
                </c:pt>
                <c:pt idx="68">
                  <c:v>574.79999999999995</c:v>
                </c:pt>
                <c:pt idx="69">
                  <c:v>585.29999999999995</c:v>
                </c:pt>
                <c:pt idx="70">
                  <c:v>595.79999999999995</c:v>
                </c:pt>
                <c:pt idx="71">
                  <c:v>606.29999999999995</c:v>
                </c:pt>
                <c:pt idx="72">
                  <c:v>624.79999999999995</c:v>
                </c:pt>
                <c:pt idx="73">
                  <c:v>632.29999999999995</c:v>
                </c:pt>
                <c:pt idx="74">
                  <c:v>600.79999999999995</c:v>
                </c:pt>
                <c:pt idx="75">
                  <c:v>619.29999999999995</c:v>
                </c:pt>
                <c:pt idx="76">
                  <c:v>637.79999999999995</c:v>
                </c:pt>
                <c:pt idx="77">
                  <c:v>648.21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0-4051-9D37-0C30409902A4}"/>
            </c:ext>
          </c:extLst>
        </c:ser>
        <c:ser>
          <c:idx val="1"/>
          <c:order val="1"/>
          <c:tx>
            <c:strRef>
              <c:f>Economia!$A$3</c:f>
              <c:strCache>
                <c:ptCount val="1"/>
                <c:pt idx="0">
                  <c:v>Cris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Economia!$B$3:$CA$3</c:f>
              <c:numCache>
                <c:formatCode>0.00</c:formatCode>
                <c:ptCount val="78"/>
                <c:pt idx="0">
                  <c:v>42.35</c:v>
                </c:pt>
                <c:pt idx="1">
                  <c:v>45.14</c:v>
                </c:pt>
                <c:pt idx="2">
                  <c:v>48.03</c:v>
                </c:pt>
                <c:pt idx="3">
                  <c:v>51.56</c:v>
                </c:pt>
                <c:pt idx="4">
                  <c:v>54.92</c:v>
                </c:pt>
                <c:pt idx="5">
                  <c:v>58.33</c:v>
                </c:pt>
                <c:pt idx="6">
                  <c:v>61.47</c:v>
                </c:pt>
                <c:pt idx="7">
                  <c:v>64.650000000000006</c:v>
                </c:pt>
                <c:pt idx="8">
                  <c:v>67.819999999999993</c:v>
                </c:pt>
                <c:pt idx="9">
                  <c:v>70.12</c:v>
                </c:pt>
                <c:pt idx="10">
                  <c:v>72.42</c:v>
                </c:pt>
                <c:pt idx="11">
                  <c:v>107.72</c:v>
                </c:pt>
                <c:pt idx="12">
                  <c:v>110.02</c:v>
                </c:pt>
                <c:pt idx="13">
                  <c:v>112.32</c:v>
                </c:pt>
                <c:pt idx="14">
                  <c:v>114.62</c:v>
                </c:pt>
                <c:pt idx="15">
                  <c:v>116.92</c:v>
                </c:pt>
                <c:pt idx="16">
                  <c:v>119.22</c:v>
                </c:pt>
                <c:pt idx="17">
                  <c:v>121.52</c:v>
                </c:pt>
                <c:pt idx="18">
                  <c:v>123.82</c:v>
                </c:pt>
                <c:pt idx="19">
                  <c:v>126.12</c:v>
                </c:pt>
                <c:pt idx="20">
                  <c:v>128.41999999999999</c:v>
                </c:pt>
                <c:pt idx="21">
                  <c:v>134.22</c:v>
                </c:pt>
                <c:pt idx="22">
                  <c:v>140.02000000000001</c:v>
                </c:pt>
                <c:pt idx="23">
                  <c:v>145.82</c:v>
                </c:pt>
                <c:pt idx="24">
                  <c:v>151.62</c:v>
                </c:pt>
                <c:pt idx="25">
                  <c:v>157.41999999999999</c:v>
                </c:pt>
                <c:pt idx="26">
                  <c:v>163.22</c:v>
                </c:pt>
                <c:pt idx="27">
                  <c:v>209.32</c:v>
                </c:pt>
                <c:pt idx="28">
                  <c:v>217.12</c:v>
                </c:pt>
                <c:pt idx="29">
                  <c:v>224.92</c:v>
                </c:pt>
                <c:pt idx="30">
                  <c:v>232.72</c:v>
                </c:pt>
                <c:pt idx="31">
                  <c:v>240.52</c:v>
                </c:pt>
                <c:pt idx="32">
                  <c:v>248.32</c:v>
                </c:pt>
                <c:pt idx="33">
                  <c:v>257.62</c:v>
                </c:pt>
                <c:pt idx="34">
                  <c:v>265.42</c:v>
                </c:pt>
                <c:pt idx="35">
                  <c:v>273.22000000000003</c:v>
                </c:pt>
                <c:pt idx="36">
                  <c:v>281.02</c:v>
                </c:pt>
                <c:pt idx="37">
                  <c:v>288.82</c:v>
                </c:pt>
                <c:pt idx="38">
                  <c:v>296.62</c:v>
                </c:pt>
                <c:pt idx="39">
                  <c:v>304.42</c:v>
                </c:pt>
                <c:pt idx="40">
                  <c:v>312.22000000000003</c:v>
                </c:pt>
                <c:pt idx="41">
                  <c:v>320.02</c:v>
                </c:pt>
                <c:pt idx="42">
                  <c:v>327.82</c:v>
                </c:pt>
                <c:pt idx="43">
                  <c:v>335.62</c:v>
                </c:pt>
                <c:pt idx="44">
                  <c:v>343.42</c:v>
                </c:pt>
                <c:pt idx="45">
                  <c:v>351.22</c:v>
                </c:pt>
                <c:pt idx="46">
                  <c:v>359.02</c:v>
                </c:pt>
                <c:pt idx="47">
                  <c:v>366.82</c:v>
                </c:pt>
                <c:pt idx="48">
                  <c:v>374.62</c:v>
                </c:pt>
                <c:pt idx="49">
                  <c:v>382.42</c:v>
                </c:pt>
                <c:pt idx="50">
                  <c:v>390.22</c:v>
                </c:pt>
                <c:pt idx="51">
                  <c:v>398.02</c:v>
                </c:pt>
                <c:pt idx="52">
                  <c:v>405.82</c:v>
                </c:pt>
                <c:pt idx="53">
                  <c:v>413.62</c:v>
                </c:pt>
                <c:pt idx="54">
                  <c:v>421.42</c:v>
                </c:pt>
                <c:pt idx="55">
                  <c:v>429.22</c:v>
                </c:pt>
                <c:pt idx="56">
                  <c:v>437.02</c:v>
                </c:pt>
                <c:pt idx="57">
                  <c:v>446.82</c:v>
                </c:pt>
                <c:pt idx="58">
                  <c:v>456.62</c:v>
                </c:pt>
                <c:pt idx="59">
                  <c:v>466.42</c:v>
                </c:pt>
                <c:pt idx="60">
                  <c:v>476.22</c:v>
                </c:pt>
                <c:pt idx="61">
                  <c:v>486.02</c:v>
                </c:pt>
                <c:pt idx="62">
                  <c:v>495.82</c:v>
                </c:pt>
                <c:pt idx="63">
                  <c:v>505.62</c:v>
                </c:pt>
                <c:pt idx="64">
                  <c:v>515.41999999999996</c:v>
                </c:pt>
                <c:pt idx="65">
                  <c:v>525.22</c:v>
                </c:pt>
                <c:pt idx="66">
                  <c:v>535.02</c:v>
                </c:pt>
                <c:pt idx="67">
                  <c:v>544.82000000000005</c:v>
                </c:pt>
                <c:pt idx="68">
                  <c:v>554.62</c:v>
                </c:pt>
                <c:pt idx="69">
                  <c:v>564.41999999999996</c:v>
                </c:pt>
                <c:pt idx="70">
                  <c:v>577.22</c:v>
                </c:pt>
                <c:pt idx="71">
                  <c:v>587.02</c:v>
                </c:pt>
                <c:pt idx="72">
                  <c:v>596.82000000000005</c:v>
                </c:pt>
                <c:pt idx="73">
                  <c:v>606.62</c:v>
                </c:pt>
                <c:pt idx="74">
                  <c:v>616.41999999999996</c:v>
                </c:pt>
                <c:pt idx="75">
                  <c:v>626.23</c:v>
                </c:pt>
                <c:pt idx="76">
                  <c:v>636.04999999999995</c:v>
                </c:pt>
                <c:pt idx="77">
                  <c:v>670.88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0-4051-9D37-0C30409902A4}"/>
            </c:ext>
          </c:extLst>
        </c:ser>
        <c:ser>
          <c:idx val="2"/>
          <c:order val="2"/>
          <c:tx>
            <c:strRef>
              <c:f>Economia!$A$4</c:f>
              <c:strCache>
                <c:ptCount val="1"/>
                <c:pt idx="0">
                  <c:v>Peter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Economia!$B$4:$CA$4</c:f>
              <c:numCache>
                <c:formatCode>0.00</c:formatCode>
                <c:ptCount val="78"/>
                <c:pt idx="0">
                  <c:v>54.27</c:v>
                </c:pt>
                <c:pt idx="1">
                  <c:v>59.14</c:v>
                </c:pt>
                <c:pt idx="2">
                  <c:v>64.010000000000005</c:v>
                </c:pt>
                <c:pt idx="3">
                  <c:v>71.331999999999994</c:v>
                </c:pt>
                <c:pt idx="4">
                  <c:v>78.653999999999996</c:v>
                </c:pt>
                <c:pt idx="5">
                  <c:v>85.975999999999985</c:v>
                </c:pt>
                <c:pt idx="6">
                  <c:v>96</c:v>
                </c:pt>
                <c:pt idx="7">
                  <c:v>116.024</c:v>
                </c:pt>
                <c:pt idx="8">
                  <c:v>122.04799999999999</c:v>
                </c:pt>
                <c:pt idx="9">
                  <c:v>136.26679999999999</c:v>
                </c:pt>
                <c:pt idx="10">
                  <c:v>147.48560000000001</c:v>
                </c:pt>
                <c:pt idx="11">
                  <c:v>158.70439999999999</c:v>
                </c:pt>
                <c:pt idx="12">
                  <c:v>168.92320000000001</c:v>
                </c:pt>
                <c:pt idx="13">
                  <c:v>180.142</c:v>
                </c:pt>
                <c:pt idx="14">
                  <c:v>191.36080000000001</c:v>
                </c:pt>
                <c:pt idx="15">
                  <c:v>201.28160000000003</c:v>
                </c:pt>
                <c:pt idx="16">
                  <c:v>216.20240000000001</c:v>
                </c:pt>
                <c:pt idx="17">
                  <c:v>231.1232</c:v>
                </c:pt>
                <c:pt idx="18">
                  <c:v>241.04400000000001</c:v>
                </c:pt>
                <c:pt idx="19">
                  <c:v>255.96480000000003</c:v>
                </c:pt>
                <c:pt idx="20">
                  <c:v>270.88560000000007</c:v>
                </c:pt>
                <c:pt idx="21">
                  <c:v>249.39884444444448</c:v>
                </c:pt>
                <c:pt idx="22">
                  <c:v>229.91208888888895</c:v>
                </c:pt>
                <c:pt idx="23">
                  <c:v>210.42533333333341</c:v>
                </c:pt>
                <c:pt idx="24">
                  <c:v>198.23857777777783</c:v>
                </c:pt>
                <c:pt idx="25">
                  <c:v>187.05182222222226</c:v>
                </c:pt>
                <c:pt idx="26">
                  <c:v>175.86506666666671</c:v>
                </c:pt>
                <c:pt idx="27">
                  <c:v>160.79311111111116</c:v>
                </c:pt>
                <c:pt idx="28">
                  <c:v>142.72115555555558</c:v>
                </c:pt>
                <c:pt idx="29">
                  <c:v>401.31320000000005</c:v>
                </c:pt>
                <c:pt idx="30">
                  <c:v>413.21080000000001</c:v>
                </c:pt>
                <c:pt idx="31">
                  <c:v>419.25840000000005</c:v>
                </c:pt>
                <c:pt idx="32">
                  <c:v>428.00600000000009</c:v>
                </c:pt>
                <c:pt idx="33">
                  <c:v>437.25360000000006</c:v>
                </c:pt>
                <c:pt idx="34">
                  <c:v>446.50120000000004</c:v>
                </c:pt>
                <c:pt idx="35">
                  <c:v>456.24880000000007</c:v>
                </c:pt>
                <c:pt idx="36">
                  <c:v>465.99640000000005</c:v>
                </c:pt>
                <c:pt idx="37">
                  <c:v>476.24400000000009</c:v>
                </c:pt>
                <c:pt idx="38">
                  <c:v>486.49160000000006</c:v>
                </c:pt>
                <c:pt idx="39">
                  <c:v>446.73920000000004</c:v>
                </c:pt>
                <c:pt idx="40">
                  <c:v>456.98680000000007</c:v>
                </c:pt>
                <c:pt idx="41">
                  <c:v>467.23440000000005</c:v>
                </c:pt>
                <c:pt idx="42">
                  <c:v>477.48200000000003</c:v>
                </c:pt>
                <c:pt idx="43">
                  <c:v>487.72960000000006</c:v>
                </c:pt>
                <c:pt idx="44">
                  <c:v>497.9772000000001</c:v>
                </c:pt>
                <c:pt idx="45">
                  <c:v>508.22480000000013</c:v>
                </c:pt>
                <c:pt idx="46">
                  <c:v>518.47240000000011</c:v>
                </c:pt>
                <c:pt idx="47">
                  <c:v>528.72</c:v>
                </c:pt>
                <c:pt idx="48">
                  <c:v>538.96760000000006</c:v>
                </c:pt>
                <c:pt idx="49">
                  <c:v>549.2152000000001</c:v>
                </c:pt>
                <c:pt idx="50">
                  <c:v>559.46280000000002</c:v>
                </c:pt>
                <c:pt idx="51">
                  <c:v>569.71040000000005</c:v>
                </c:pt>
                <c:pt idx="52">
                  <c:v>579.95800000000008</c:v>
                </c:pt>
                <c:pt idx="53">
                  <c:v>590.2056</c:v>
                </c:pt>
                <c:pt idx="54">
                  <c:v>600.45320000000004</c:v>
                </c:pt>
                <c:pt idx="55">
                  <c:v>610.70080000000007</c:v>
                </c:pt>
                <c:pt idx="56">
                  <c:v>620.94839999999999</c:v>
                </c:pt>
                <c:pt idx="57">
                  <c:v>631.19599999999991</c:v>
                </c:pt>
                <c:pt idx="58">
                  <c:v>641.44359999999995</c:v>
                </c:pt>
                <c:pt idx="59">
                  <c:v>651.69119999999998</c:v>
                </c:pt>
                <c:pt idx="60">
                  <c:v>661.9387999999999</c:v>
                </c:pt>
                <c:pt idx="61">
                  <c:v>672.18639999999982</c:v>
                </c:pt>
                <c:pt idx="62">
                  <c:v>682.43399999999997</c:v>
                </c:pt>
                <c:pt idx="63">
                  <c:v>692.68159999999989</c:v>
                </c:pt>
                <c:pt idx="64">
                  <c:v>702.92919999999981</c:v>
                </c:pt>
                <c:pt idx="65">
                  <c:v>713.17679999999973</c:v>
                </c:pt>
                <c:pt idx="66">
                  <c:v>723.42439999999976</c:v>
                </c:pt>
                <c:pt idx="67">
                  <c:v>733.6719999999998</c:v>
                </c:pt>
                <c:pt idx="68">
                  <c:v>743.91959999999995</c:v>
                </c:pt>
                <c:pt idx="69">
                  <c:v>754.16719999999987</c:v>
                </c:pt>
                <c:pt idx="70">
                  <c:v>764.41479999999979</c:v>
                </c:pt>
                <c:pt idx="71">
                  <c:v>774.66239999999993</c:v>
                </c:pt>
                <c:pt idx="72">
                  <c:v>746.91</c:v>
                </c:pt>
                <c:pt idx="73">
                  <c:v>757.1576</c:v>
                </c:pt>
                <c:pt idx="74">
                  <c:v>773.90519999999992</c:v>
                </c:pt>
                <c:pt idx="75">
                  <c:v>802.33339999999998</c:v>
                </c:pt>
                <c:pt idx="76">
                  <c:v>824.37899999999991</c:v>
                </c:pt>
                <c:pt idx="77">
                  <c:v>846.42459999999994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0-4051-9D37-0C30409902A4}"/>
            </c:ext>
          </c:extLst>
        </c:ser>
        <c:ser>
          <c:idx val="3"/>
          <c:order val="3"/>
          <c:tx>
            <c:strRef>
              <c:f>Economia!$A$6</c:f>
              <c:strCache>
                <c:ptCount val="1"/>
                <c:pt idx="0">
                  <c:v>Zilla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Economia!$B$6:$CA$6</c:f>
              <c:numCache>
                <c:formatCode>0.00</c:formatCode>
                <c:ptCount val="78"/>
                <c:pt idx="0">
                  <c:v>56.02</c:v>
                </c:pt>
                <c:pt idx="1">
                  <c:v>62.04</c:v>
                </c:pt>
                <c:pt idx="2">
                  <c:v>67.326666666666668</c:v>
                </c:pt>
                <c:pt idx="3">
                  <c:v>75.498666666666665</c:v>
                </c:pt>
                <c:pt idx="4">
                  <c:v>83.304000000000016</c:v>
                </c:pt>
                <c:pt idx="5">
                  <c:v>91.475999999999999</c:v>
                </c:pt>
                <c:pt idx="6">
                  <c:v>101.8</c:v>
                </c:pt>
                <c:pt idx="7">
                  <c:v>112.124</c:v>
                </c:pt>
                <c:pt idx="8">
                  <c:v>122.44799999999999</c:v>
                </c:pt>
                <c:pt idx="9">
                  <c:v>134.96680000000001</c:v>
                </c:pt>
                <c:pt idx="10">
                  <c:v>145.98560000000001</c:v>
                </c:pt>
                <c:pt idx="11">
                  <c:v>157.50440000000003</c:v>
                </c:pt>
                <c:pt idx="12">
                  <c:v>169.02320000000003</c:v>
                </c:pt>
                <c:pt idx="13">
                  <c:v>180.54200000000003</c:v>
                </c:pt>
                <c:pt idx="14">
                  <c:v>192.06080000000006</c:v>
                </c:pt>
                <c:pt idx="15">
                  <c:v>203.57960000000006</c:v>
                </c:pt>
                <c:pt idx="16">
                  <c:v>215.09840000000008</c:v>
                </c:pt>
                <c:pt idx="17">
                  <c:v>226.61720000000008</c:v>
                </c:pt>
                <c:pt idx="18">
                  <c:v>241.2819200000001</c:v>
                </c:pt>
                <c:pt idx="19">
                  <c:v>255.94664000000012</c:v>
                </c:pt>
                <c:pt idx="20">
                  <c:v>270.6113600000001</c:v>
                </c:pt>
                <c:pt idx="21">
                  <c:v>284.60322285714295</c:v>
                </c:pt>
                <c:pt idx="22">
                  <c:v>298.60508571428579</c:v>
                </c:pt>
                <c:pt idx="23">
                  <c:v>312.61694857142868</c:v>
                </c:pt>
                <c:pt idx="24">
                  <c:v>317.31749142857154</c:v>
                </c:pt>
                <c:pt idx="25">
                  <c:v>336.41803428571438</c:v>
                </c:pt>
                <c:pt idx="26">
                  <c:v>355.51857714285723</c:v>
                </c:pt>
                <c:pt idx="27">
                  <c:v>371.61912000000012</c:v>
                </c:pt>
                <c:pt idx="28">
                  <c:v>387.71966285714296</c:v>
                </c:pt>
                <c:pt idx="29">
                  <c:v>403.82020571428586</c:v>
                </c:pt>
                <c:pt idx="30">
                  <c:v>419.9207485714287</c:v>
                </c:pt>
                <c:pt idx="31">
                  <c:v>436.02129142857154</c:v>
                </c:pt>
                <c:pt idx="32">
                  <c:v>452.12183428571444</c:v>
                </c:pt>
                <c:pt idx="33">
                  <c:v>468.22237714285728</c:v>
                </c:pt>
                <c:pt idx="34">
                  <c:v>484.32292000000018</c:v>
                </c:pt>
                <c:pt idx="35">
                  <c:v>500.42346285714302</c:v>
                </c:pt>
                <c:pt idx="36">
                  <c:v>516.52400571428586</c:v>
                </c:pt>
                <c:pt idx="37">
                  <c:v>532.6245485714287</c:v>
                </c:pt>
                <c:pt idx="38">
                  <c:v>467.7250914285716</c:v>
                </c:pt>
                <c:pt idx="39">
                  <c:v>488.52863428571453</c:v>
                </c:pt>
                <c:pt idx="40">
                  <c:v>506.13117714285733</c:v>
                </c:pt>
                <c:pt idx="41">
                  <c:v>523.73372000000018</c:v>
                </c:pt>
                <c:pt idx="42">
                  <c:v>541.33626285714297</c:v>
                </c:pt>
                <c:pt idx="43">
                  <c:v>558.93880571428588</c:v>
                </c:pt>
                <c:pt idx="44">
                  <c:v>576.54134857142878</c:v>
                </c:pt>
                <c:pt idx="45">
                  <c:v>594.14389142857158</c:v>
                </c:pt>
                <c:pt idx="46">
                  <c:v>611.74643428571449</c:v>
                </c:pt>
                <c:pt idx="47">
                  <c:v>629.34897714285728</c:v>
                </c:pt>
                <c:pt idx="48">
                  <c:v>646.95152000000019</c:v>
                </c:pt>
                <c:pt idx="49">
                  <c:v>664.55406285714298</c:v>
                </c:pt>
                <c:pt idx="50">
                  <c:v>460.29830285714297</c:v>
                </c:pt>
                <c:pt idx="51">
                  <c:v>474.89957428571438</c:v>
                </c:pt>
                <c:pt idx="52">
                  <c:v>489.50084571428584</c:v>
                </c:pt>
                <c:pt idx="53">
                  <c:v>504.10211714285725</c:v>
                </c:pt>
                <c:pt idx="54">
                  <c:v>518.7033885714286</c:v>
                </c:pt>
                <c:pt idx="55">
                  <c:v>533.30466000000013</c:v>
                </c:pt>
                <c:pt idx="56">
                  <c:v>547.90593142857153</c:v>
                </c:pt>
                <c:pt idx="57">
                  <c:v>562.50720285714306</c:v>
                </c:pt>
                <c:pt idx="58">
                  <c:v>577.10847428571446</c:v>
                </c:pt>
                <c:pt idx="59">
                  <c:v>591.70974571428576</c:v>
                </c:pt>
                <c:pt idx="60">
                  <c:v>606.31101714285728</c:v>
                </c:pt>
                <c:pt idx="61">
                  <c:v>620.91228857142869</c:v>
                </c:pt>
                <c:pt idx="62">
                  <c:v>635.5135600000001</c:v>
                </c:pt>
                <c:pt idx="63">
                  <c:v>650.11483142857151</c:v>
                </c:pt>
                <c:pt idx="64">
                  <c:v>664.71610285714291</c:v>
                </c:pt>
                <c:pt idx="65">
                  <c:v>679.31737428571432</c:v>
                </c:pt>
                <c:pt idx="66">
                  <c:v>693.91864571428584</c:v>
                </c:pt>
                <c:pt idx="67">
                  <c:v>708.51991714285714</c:v>
                </c:pt>
                <c:pt idx="68">
                  <c:v>723.12618857142866</c:v>
                </c:pt>
                <c:pt idx="69">
                  <c:v>737.73745999999994</c:v>
                </c:pt>
                <c:pt idx="70">
                  <c:v>752.35373142857156</c:v>
                </c:pt>
                <c:pt idx="71">
                  <c:v>766.97500285714284</c:v>
                </c:pt>
                <c:pt idx="72">
                  <c:v>738.61127428571433</c:v>
                </c:pt>
                <c:pt idx="73">
                  <c:v>755.2425457142856</c:v>
                </c:pt>
                <c:pt idx="74">
                  <c:v>771.87881714285709</c:v>
                </c:pt>
                <c:pt idx="75">
                  <c:v>788.52008857142846</c:v>
                </c:pt>
                <c:pt idx="76">
                  <c:v>805.16635999999994</c:v>
                </c:pt>
                <c:pt idx="77">
                  <c:v>846.8176314285713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90-4051-9D37-0C30409902A4}"/>
            </c:ext>
          </c:extLst>
        </c:ser>
        <c:ser>
          <c:idx val="4"/>
          <c:order val="4"/>
          <c:tx>
            <c:strRef>
              <c:f>Economia!$A$7</c:f>
              <c:strCache>
                <c:ptCount val="1"/>
                <c:pt idx="0">
                  <c:v>Vito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Economia!$B$7:$CA$7</c:f>
              <c:numCache>
                <c:formatCode>0.00</c:formatCode>
                <c:ptCount val="78"/>
                <c:pt idx="0">
                  <c:v>52.23</c:v>
                </c:pt>
                <c:pt idx="1">
                  <c:v>54.79</c:v>
                </c:pt>
                <c:pt idx="2">
                  <c:v>57.74</c:v>
                </c:pt>
                <c:pt idx="3">
                  <c:v>60.24</c:v>
                </c:pt>
                <c:pt idx="4">
                  <c:v>63.04</c:v>
                </c:pt>
                <c:pt idx="5">
                  <c:v>65.84</c:v>
                </c:pt>
                <c:pt idx="6">
                  <c:v>68.64</c:v>
                </c:pt>
                <c:pt idx="7">
                  <c:v>71.44</c:v>
                </c:pt>
                <c:pt idx="8">
                  <c:v>74.239999999999995</c:v>
                </c:pt>
                <c:pt idx="9">
                  <c:v>80.540000000000006</c:v>
                </c:pt>
                <c:pt idx="10">
                  <c:v>83.34</c:v>
                </c:pt>
                <c:pt idx="11">
                  <c:v>85.64</c:v>
                </c:pt>
                <c:pt idx="12">
                  <c:v>88.44</c:v>
                </c:pt>
                <c:pt idx="13">
                  <c:v>91.24</c:v>
                </c:pt>
                <c:pt idx="14">
                  <c:v>94.04</c:v>
                </c:pt>
                <c:pt idx="15">
                  <c:v>96.84</c:v>
                </c:pt>
                <c:pt idx="16">
                  <c:v>99.64</c:v>
                </c:pt>
                <c:pt idx="17">
                  <c:v>102.44</c:v>
                </c:pt>
                <c:pt idx="18">
                  <c:v>105.24</c:v>
                </c:pt>
                <c:pt idx="19">
                  <c:v>108.04</c:v>
                </c:pt>
                <c:pt idx="20">
                  <c:v>110.84</c:v>
                </c:pt>
                <c:pt idx="21">
                  <c:v>113.64</c:v>
                </c:pt>
                <c:pt idx="22">
                  <c:v>116.44</c:v>
                </c:pt>
                <c:pt idx="23">
                  <c:v>119.24</c:v>
                </c:pt>
                <c:pt idx="24">
                  <c:v>114.14</c:v>
                </c:pt>
                <c:pt idx="25">
                  <c:v>109.04</c:v>
                </c:pt>
                <c:pt idx="26">
                  <c:v>103.94</c:v>
                </c:pt>
                <c:pt idx="27">
                  <c:v>97.14</c:v>
                </c:pt>
                <c:pt idx="28">
                  <c:v>92.04</c:v>
                </c:pt>
                <c:pt idx="29">
                  <c:v>86.94</c:v>
                </c:pt>
                <c:pt idx="30">
                  <c:v>83.04</c:v>
                </c:pt>
                <c:pt idx="31">
                  <c:v>79.94</c:v>
                </c:pt>
                <c:pt idx="32">
                  <c:v>76.84</c:v>
                </c:pt>
                <c:pt idx="33">
                  <c:v>76.040000000000006</c:v>
                </c:pt>
                <c:pt idx="34">
                  <c:v>75.94</c:v>
                </c:pt>
                <c:pt idx="35">
                  <c:v>84.84</c:v>
                </c:pt>
                <c:pt idx="36">
                  <c:v>94.94</c:v>
                </c:pt>
                <c:pt idx="37">
                  <c:v>103.84</c:v>
                </c:pt>
                <c:pt idx="38">
                  <c:v>112.74</c:v>
                </c:pt>
                <c:pt idx="39">
                  <c:v>118.34</c:v>
                </c:pt>
                <c:pt idx="40">
                  <c:v>123.94</c:v>
                </c:pt>
                <c:pt idx="41">
                  <c:v>135.54</c:v>
                </c:pt>
                <c:pt idx="42">
                  <c:v>147.13999999999999</c:v>
                </c:pt>
                <c:pt idx="43">
                  <c:v>158.74</c:v>
                </c:pt>
                <c:pt idx="44">
                  <c:v>170.34</c:v>
                </c:pt>
                <c:pt idx="45">
                  <c:v>180.44</c:v>
                </c:pt>
                <c:pt idx="46">
                  <c:v>192.04</c:v>
                </c:pt>
                <c:pt idx="47">
                  <c:v>203.64</c:v>
                </c:pt>
                <c:pt idx="48">
                  <c:v>215.24</c:v>
                </c:pt>
                <c:pt idx="49">
                  <c:v>226.84</c:v>
                </c:pt>
                <c:pt idx="50">
                  <c:v>460.29830285714297</c:v>
                </c:pt>
                <c:pt idx="51">
                  <c:v>474.89957428571438</c:v>
                </c:pt>
                <c:pt idx="52">
                  <c:v>489.50084571428584</c:v>
                </c:pt>
                <c:pt idx="53">
                  <c:v>504.10211714285725</c:v>
                </c:pt>
                <c:pt idx="54">
                  <c:v>518.7033885714286</c:v>
                </c:pt>
                <c:pt idx="55">
                  <c:v>533.30466000000013</c:v>
                </c:pt>
                <c:pt idx="56">
                  <c:v>547.90593142857153</c:v>
                </c:pt>
                <c:pt idx="57">
                  <c:v>562.50720285714306</c:v>
                </c:pt>
                <c:pt idx="58">
                  <c:v>577.10847428571446</c:v>
                </c:pt>
                <c:pt idx="59">
                  <c:v>591.70974571428576</c:v>
                </c:pt>
                <c:pt idx="60">
                  <c:v>606.31101714285728</c:v>
                </c:pt>
                <c:pt idx="61">
                  <c:v>620.91228857142869</c:v>
                </c:pt>
                <c:pt idx="62">
                  <c:v>635.5135600000001</c:v>
                </c:pt>
                <c:pt idx="63">
                  <c:v>650.11483142857151</c:v>
                </c:pt>
                <c:pt idx="64">
                  <c:v>664.71610285714291</c:v>
                </c:pt>
                <c:pt idx="65">
                  <c:v>679.31737428571432</c:v>
                </c:pt>
                <c:pt idx="66">
                  <c:v>693.91864571428584</c:v>
                </c:pt>
                <c:pt idx="67">
                  <c:v>708.51991714285714</c:v>
                </c:pt>
                <c:pt idx="68">
                  <c:v>723.12618857142866</c:v>
                </c:pt>
                <c:pt idx="69">
                  <c:v>737.73745999999994</c:v>
                </c:pt>
                <c:pt idx="70">
                  <c:v>752.35373142857156</c:v>
                </c:pt>
                <c:pt idx="71">
                  <c:v>766.97500285714284</c:v>
                </c:pt>
                <c:pt idx="72">
                  <c:v>738.61127428571433</c:v>
                </c:pt>
                <c:pt idx="73">
                  <c:v>755.2425457142856</c:v>
                </c:pt>
                <c:pt idx="74">
                  <c:v>771.87881714285709</c:v>
                </c:pt>
                <c:pt idx="75">
                  <c:v>788.52008857142846</c:v>
                </c:pt>
                <c:pt idx="76">
                  <c:v>805.16635999999994</c:v>
                </c:pt>
                <c:pt idx="77">
                  <c:v>846.8176314285713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90-4051-9D37-0C30409902A4}"/>
            </c:ext>
          </c:extLst>
        </c:ser>
        <c:ser>
          <c:idx val="5"/>
          <c:order val="5"/>
          <c:tx>
            <c:strRef>
              <c:f>Economia!$A$5</c:f>
              <c:strCache>
                <c:ptCount val="1"/>
                <c:pt idx="0">
                  <c:v>Kleit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Economia!$B$5:$CA$5</c:f>
              <c:numCache>
                <c:formatCode>0.00</c:formatCode>
                <c:ptCount val="78"/>
                <c:pt idx="0">
                  <c:v>50.833999999999996</c:v>
                </c:pt>
                <c:pt idx="1">
                  <c:v>51.667999999999992</c:v>
                </c:pt>
                <c:pt idx="2">
                  <c:v>52.501999999999988</c:v>
                </c:pt>
                <c:pt idx="3">
                  <c:v>54.754999999999988</c:v>
                </c:pt>
                <c:pt idx="4">
                  <c:v>57.007999999999996</c:v>
                </c:pt>
                <c:pt idx="5">
                  <c:v>61.110999999999997</c:v>
                </c:pt>
                <c:pt idx="6">
                  <c:v>65.665999999999997</c:v>
                </c:pt>
                <c:pt idx="7">
                  <c:v>70.220999999999989</c:v>
                </c:pt>
                <c:pt idx="8">
                  <c:v>74.775999999999996</c:v>
                </c:pt>
                <c:pt idx="9">
                  <c:v>82.532999999999987</c:v>
                </c:pt>
                <c:pt idx="10">
                  <c:v>90.29</c:v>
                </c:pt>
                <c:pt idx="11">
                  <c:v>98.046999999999983</c:v>
                </c:pt>
                <c:pt idx="12">
                  <c:v>103.80399999999997</c:v>
                </c:pt>
                <c:pt idx="13">
                  <c:v>111.56099999999998</c:v>
                </c:pt>
                <c:pt idx="14">
                  <c:v>119.318</c:v>
                </c:pt>
                <c:pt idx="15">
                  <c:v>129.01499999999999</c:v>
                </c:pt>
                <c:pt idx="16">
                  <c:v>138.71199999999999</c:v>
                </c:pt>
                <c:pt idx="17">
                  <c:v>148.40899999999999</c:v>
                </c:pt>
                <c:pt idx="18">
                  <c:v>158.10599999999999</c:v>
                </c:pt>
                <c:pt idx="19">
                  <c:v>167.803</c:v>
                </c:pt>
                <c:pt idx="20">
                  <c:v>177.5</c:v>
                </c:pt>
                <c:pt idx="21">
                  <c:v>192.8646</c:v>
                </c:pt>
                <c:pt idx="22">
                  <c:v>208.22919999999999</c:v>
                </c:pt>
                <c:pt idx="23">
                  <c:v>223.59380000000002</c:v>
                </c:pt>
                <c:pt idx="24">
                  <c:v>237.10839999999999</c:v>
                </c:pt>
                <c:pt idx="25">
                  <c:v>251.47299999999998</c:v>
                </c:pt>
                <c:pt idx="26">
                  <c:v>265.83760000000001</c:v>
                </c:pt>
                <c:pt idx="27">
                  <c:v>170.7022</c:v>
                </c:pt>
                <c:pt idx="28">
                  <c:v>181.5668</c:v>
                </c:pt>
                <c:pt idx="29">
                  <c:v>193.13139999999999</c:v>
                </c:pt>
                <c:pt idx="30">
                  <c:v>301.29599999999999</c:v>
                </c:pt>
                <c:pt idx="31">
                  <c:v>307.4606</c:v>
                </c:pt>
                <c:pt idx="32">
                  <c:v>314.42520000000002</c:v>
                </c:pt>
                <c:pt idx="33">
                  <c:v>312.88979999999998</c:v>
                </c:pt>
                <c:pt idx="34">
                  <c:v>311.3544</c:v>
                </c:pt>
                <c:pt idx="35">
                  <c:v>309.81900000000002</c:v>
                </c:pt>
                <c:pt idx="36">
                  <c:v>308.28359999999998</c:v>
                </c:pt>
                <c:pt idx="37">
                  <c:v>306.7482</c:v>
                </c:pt>
                <c:pt idx="38">
                  <c:v>323.21280000000002</c:v>
                </c:pt>
                <c:pt idx="39">
                  <c:v>332.995</c:v>
                </c:pt>
                <c:pt idx="40">
                  <c:v>342.77719999999999</c:v>
                </c:pt>
                <c:pt idx="41">
                  <c:v>352.55940000000004</c:v>
                </c:pt>
                <c:pt idx="42">
                  <c:v>362.34160000000003</c:v>
                </c:pt>
                <c:pt idx="43">
                  <c:v>372.12379999999996</c:v>
                </c:pt>
                <c:pt idx="44">
                  <c:v>381.90600000000001</c:v>
                </c:pt>
                <c:pt idx="45">
                  <c:v>391.68819999999999</c:v>
                </c:pt>
                <c:pt idx="46">
                  <c:v>401.47039999999993</c:v>
                </c:pt>
                <c:pt idx="47">
                  <c:v>411.25259999999997</c:v>
                </c:pt>
                <c:pt idx="48">
                  <c:v>421.03479999999996</c:v>
                </c:pt>
                <c:pt idx="49">
                  <c:v>430.81699999999995</c:v>
                </c:pt>
                <c:pt idx="50">
                  <c:v>440.5992</c:v>
                </c:pt>
                <c:pt idx="51">
                  <c:v>450.38139999999999</c:v>
                </c:pt>
                <c:pt idx="52">
                  <c:v>460.16360000000003</c:v>
                </c:pt>
                <c:pt idx="53">
                  <c:v>469.94580000000002</c:v>
                </c:pt>
                <c:pt idx="54">
                  <c:v>479.72800000000001</c:v>
                </c:pt>
                <c:pt idx="55">
                  <c:v>489.51020000000005</c:v>
                </c:pt>
                <c:pt idx="56">
                  <c:v>499.29240000000004</c:v>
                </c:pt>
                <c:pt idx="57">
                  <c:v>509.07460000000009</c:v>
                </c:pt>
                <c:pt idx="58">
                  <c:v>518.85680000000002</c:v>
                </c:pt>
                <c:pt idx="59">
                  <c:v>528.63900000000012</c:v>
                </c:pt>
                <c:pt idx="60">
                  <c:v>538.42120000000011</c:v>
                </c:pt>
                <c:pt idx="61">
                  <c:v>548.2034000000001</c:v>
                </c:pt>
                <c:pt idx="62">
                  <c:v>557.98560000000009</c:v>
                </c:pt>
                <c:pt idx="63">
                  <c:v>567.76780000000008</c:v>
                </c:pt>
                <c:pt idx="64">
                  <c:v>577.55000000000018</c:v>
                </c:pt>
                <c:pt idx="65">
                  <c:v>587.33220000000017</c:v>
                </c:pt>
                <c:pt idx="66">
                  <c:v>597.11440000000016</c:v>
                </c:pt>
                <c:pt idx="67">
                  <c:v>606.89660000000015</c:v>
                </c:pt>
                <c:pt idx="68">
                  <c:v>616.67880000000014</c:v>
                </c:pt>
                <c:pt idx="69">
                  <c:v>626.46100000000013</c:v>
                </c:pt>
                <c:pt idx="70">
                  <c:v>636.24320000000012</c:v>
                </c:pt>
                <c:pt idx="71">
                  <c:v>646.0254000000001</c:v>
                </c:pt>
                <c:pt idx="72">
                  <c:v>553.82760000000019</c:v>
                </c:pt>
                <c:pt idx="73">
                  <c:v>559.64980000000014</c:v>
                </c:pt>
                <c:pt idx="74">
                  <c:v>563.49200000000019</c:v>
                </c:pt>
                <c:pt idx="75">
                  <c:v>565.35420000000022</c:v>
                </c:pt>
                <c:pt idx="76">
                  <c:v>565.23640000000023</c:v>
                </c:pt>
                <c:pt idx="77">
                  <c:v>563.13860000000022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90-4051-9D37-0C30409902A4}"/>
            </c:ext>
          </c:extLst>
        </c:ser>
        <c:ser>
          <c:idx val="6"/>
          <c:order val="6"/>
          <c:tx>
            <c:strRef>
              <c:f>Economia!$A$8</c:f>
              <c:strCache>
                <c:ptCount val="1"/>
                <c:pt idx="0">
                  <c:v>Team Villa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Economia!$B$1:$CA$1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</c:numCache>
            </c:numRef>
          </c:cat>
          <c:val>
            <c:numRef>
              <c:f>Economia!$B$8:$CA$8</c:f>
              <c:numCache>
                <c:formatCode>0.00</c:formatCode>
                <c:ptCount val="78"/>
                <c:pt idx="50">
                  <c:v>460.29830285714297</c:v>
                </c:pt>
                <c:pt idx="51">
                  <c:v>474.89957428571438</c:v>
                </c:pt>
                <c:pt idx="52">
                  <c:v>489.50084571428584</c:v>
                </c:pt>
                <c:pt idx="53">
                  <c:v>504.10211714285725</c:v>
                </c:pt>
                <c:pt idx="54">
                  <c:v>518.7033885714286</c:v>
                </c:pt>
                <c:pt idx="55">
                  <c:v>533.30466000000013</c:v>
                </c:pt>
                <c:pt idx="56">
                  <c:v>547.90593142857153</c:v>
                </c:pt>
                <c:pt idx="57">
                  <c:v>562.50720285714306</c:v>
                </c:pt>
                <c:pt idx="58">
                  <c:v>577.10847428571446</c:v>
                </c:pt>
                <c:pt idx="59">
                  <c:v>591.70974571428576</c:v>
                </c:pt>
                <c:pt idx="60">
                  <c:v>606.31101714285728</c:v>
                </c:pt>
                <c:pt idx="61">
                  <c:v>620.91228857142869</c:v>
                </c:pt>
                <c:pt idx="62">
                  <c:v>635.5135600000001</c:v>
                </c:pt>
                <c:pt idx="63">
                  <c:v>650.11483142857151</c:v>
                </c:pt>
                <c:pt idx="64">
                  <c:v>664.71610285714291</c:v>
                </c:pt>
                <c:pt idx="65">
                  <c:v>679.31737428571432</c:v>
                </c:pt>
                <c:pt idx="66">
                  <c:v>693.91864571428584</c:v>
                </c:pt>
                <c:pt idx="67">
                  <c:v>708.51991714285714</c:v>
                </c:pt>
                <c:pt idx="68">
                  <c:v>723.12618857142866</c:v>
                </c:pt>
                <c:pt idx="69">
                  <c:v>737.73745999999994</c:v>
                </c:pt>
                <c:pt idx="70">
                  <c:v>752.35373142857156</c:v>
                </c:pt>
                <c:pt idx="71">
                  <c:v>766.97500285714284</c:v>
                </c:pt>
                <c:pt idx="72">
                  <c:v>738.61127428571433</c:v>
                </c:pt>
                <c:pt idx="73">
                  <c:v>755.2425457142856</c:v>
                </c:pt>
                <c:pt idx="74">
                  <c:v>771.87881714285709</c:v>
                </c:pt>
                <c:pt idx="75">
                  <c:v>788.52008857142846</c:v>
                </c:pt>
                <c:pt idx="76">
                  <c:v>805.16635999999994</c:v>
                </c:pt>
                <c:pt idx="77">
                  <c:v>846.8176314285713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B-46B1-8623-6951384C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484255"/>
        <c:axId val="1844484735"/>
      </c:lineChart>
      <c:catAx>
        <c:axId val="184448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4484735"/>
        <c:crosses val="autoZero"/>
        <c:auto val="1"/>
        <c:lblAlgn val="ctr"/>
        <c:lblOffset val="100"/>
        <c:noMultiLvlLbl val="0"/>
      </c:catAx>
      <c:valAx>
        <c:axId val="18444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2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448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1">
                    <a:lumMod val="95000"/>
                  </a:schemeClr>
                </a:solidFill>
              </a:rPr>
              <a:t>Shimanami word count (65000)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Economia!$O$13</c:f>
              <c:strCache>
                <c:ptCount val="1"/>
                <c:pt idx="0">
                  <c:v>word count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E70-444B-9E9A-CCC1D77BC37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70-444B-9E9A-CCC1D77BC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70-444B-9E9A-CCC1D77BC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E70-444B-9E9A-CCC1D77BC37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Economia!$M$14:$M$17</c:f>
              <c:strCache>
                <c:ptCount val="4"/>
                <c:pt idx="0">
                  <c:v>NPC</c:v>
                </c:pt>
                <c:pt idx="1">
                  <c:v>PC</c:v>
                </c:pt>
                <c:pt idx="2">
                  <c:v>Github</c:v>
                </c:pt>
                <c:pt idx="3">
                  <c:v>Other</c:v>
                </c:pt>
              </c:strCache>
            </c:strRef>
          </c:cat>
          <c:val>
            <c:numRef>
              <c:f>Economia!$O$14:$O$17</c:f>
              <c:numCache>
                <c:formatCode>General</c:formatCode>
                <c:ptCount val="4"/>
                <c:pt idx="0">
                  <c:v>32000</c:v>
                </c:pt>
                <c:pt idx="1">
                  <c:v>21400</c:v>
                </c:pt>
                <c:pt idx="2">
                  <c:v>10300</c:v>
                </c:pt>
                <c:pt idx="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0-444B-9E9A-CCC1D77BC371}"/>
            </c:ext>
          </c:extLst>
        </c:ser>
        <c:ser>
          <c:idx val="1"/>
          <c:order val="1"/>
          <c:tx>
            <c:strRef>
              <c:f>Economia!$N$20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B8-42B3-9A00-BD7D2AE31A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EB8-42B3-9A00-BD7D2AE31A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EB8-42B3-9A00-BD7D2AE31A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EB8-42B3-9A00-BD7D2AE31A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Economia!$M$14:$M$17</c:f>
              <c:strCache>
                <c:ptCount val="4"/>
                <c:pt idx="0">
                  <c:v>NPC</c:v>
                </c:pt>
                <c:pt idx="1">
                  <c:v>PC</c:v>
                </c:pt>
                <c:pt idx="2">
                  <c:v>Github</c:v>
                </c:pt>
                <c:pt idx="3">
                  <c:v>Other</c:v>
                </c:pt>
              </c:strCache>
            </c:strRef>
          </c:cat>
          <c:val>
            <c:numRef>
              <c:f>Economia!$N$21:$N$24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E70-444B-9E9A-CCC1D77BC3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51229350514855"/>
          <c:y val="0.31830416373760445"/>
          <c:w val="0.14136560745715429"/>
          <c:h val="0.4416694845448314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66670</xdr:colOff>
      <xdr:row>10</xdr:row>
      <xdr:rowOff>28574</xdr:rowOff>
    </xdr:from>
    <xdr:to>
      <xdr:col>11</xdr:col>
      <xdr:colOff>376237</xdr:colOff>
      <xdr:row>34</xdr:row>
      <xdr:rowOff>100011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6D903-25BA-32F4-4E6E-54DE7ED2D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259555</xdr:colOff>
      <xdr:row>19</xdr:row>
      <xdr:rowOff>85726</xdr:rowOff>
    </xdr:from>
    <xdr:to>
      <xdr:col>18</xdr:col>
      <xdr:colOff>238126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04F7E-840C-C70B-B488-F34FB8331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3755-B35E-4F1F-BD30-5B33D077C25A}">
  <sheetPr>
    <tabColor rgb="FFFF0000"/>
  </sheetPr>
  <dimension ref="A1:CR71"/>
  <sheetViews>
    <sheetView topLeftCell="BP1" workbookViewId="0">
      <selection activeCell="CC6" sqref="CC6"/>
    </sheetView>
  </sheetViews>
  <sheetFormatPr defaultColWidth="11.1328125" defaultRowHeight="14.25" x14ac:dyDescent="0.45"/>
  <cols>
    <col min="1" max="1" width="27.19921875" style="36" customWidth="1"/>
    <col min="2" max="2" width="30.3984375" style="154" customWidth="1"/>
    <col min="3" max="16384" width="11.1328125" style="24"/>
  </cols>
  <sheetData>
    <row r="1" spans="1:96" s="140" customFormat="1" ht="21" x14ac:dyDescent="0.65">
      <c r="A1" s="166"/>
      <c r="B1" s="167" t="s">
        <v>123</v>
      </c>
      <c r="C1" s="135"/>
      <c r="D1" s="136" t="s">
        <v>98</v>
      </c>
      <c r="E1" s="136" t="s">
        <v>99</v>
      </c>
      <c r="F1" s="136" t="s">
        <v>100</v>
      </c>
      <c r="G1" s="137" t="s">
        <v>101</v>
      </c>
      <c r="H1" s="137" t="s">
        <v>102</v>
      </c>
      <c r="I1" s="137" t="s">
        <v>103</v>
      </c>
      <c r="J1" s="138" t="s">
        <v>104</v>
      </c>
      <c r="K1" s="138" t="s">
        <v>105</v>
      </c>
      <c r="L1" s="138" t="s">
        <v>106</v>
      </c>
      <c r="M1" s="139" t="s">
        <v>107</v>
      </c>
      <c r="N1" s="139" t="s">
        <v>108</v>
      </c>
      <c r="O1" s="139" t="s">
        <v>109</v>
      </c>
      <c r="P1" s="136" t="s">
        <v>98</v>
      </c>
      <c r="Q1" s="136" t="s">
        <v>99</v>
      </c>
      <c r="R1" s="136" t="s">
        <v>100</v>
      </c>
      <c r="S1" s="137" t="s">
        <v>101</v>
      </c>
      <c r="T1" s="137" t="s">
        <v>102</v>
      </c>
      <c r="U1" s="137" t="s">
        <v>103</v>
      </c>
      <c r="V1" s="138" t="s">
        <v>104</v>
      </c>
      <c r="W1" s="138" t="s">
        <v>105</v>
      </c>
      <c r="X1" s="138" t="s">
        <v>106</v>
      </c>
      <c r="Y1" s="139" t="s">
        <v>107</v>
      </c>
      <c r="Z1" s="139" t="s">
        <v>108</v>
      </c>
      <c r="AA1" s="139" t="s">
        <v>109</v>
      </c>
      <c r="AB1" s="136" t="s">
        <v>98</v>
      </c>
      <c r="AC1" s="136" t="s">
        <v>99</v>
      </c>
      <c r="AD1" s="136" t="s">
        <v>100</v>
      </c>
      <c r="AE1" s="137" t="s">
        <v>101</v>
      </c>
      <c r="AF1" s="137" t="s">
        <v>102</v>
      </c>
      <c r="AG1" s="137" t="s">
        <v>103</v>
      </c>
      <c r="AH1" s="138" t="s">
        <v>104</v>
      </c>
      <c r="AI1" s="138" t="s">
        <v>105</v>
      </c>
      <c r="AJ1" s="138" t="s">
        <v>106</v>
      </c>
      <c r="AK1" s="139" t="s">
        <v>107</v>
      </c>
      <c r="AL1" s="139" t="s">
        <v>108</v>
      </c>
      <c r="AM1" s="139" t="s">
        <v>109</v>
      </c>
      <c r="AN1" s="136" t="s">
        <v>98</v>
      </c>
      <c r="AO1" s="136" t="s">
        <v>99</v>
      </c>
      <c r="AP1" s="136" t="s">
        <v>100</v>
      </c>
      <c r="AQ1" s="137" t="s">
        <v>101</v>
      </c>
      <c r="AR1" s="137" t="s">
        <v>102</v>
      </c>
      <c r="AS1" s="137" t="s">
        <v>103</v>
      </c>
      <c r="AT1" s="138" t="s">
        <v>104</v>
      </c>
      <c r="AU1" s="138" t="s">
        <v>105</v>
      </c>
      <c r="AV1" s="138" t="s">
        <v>106</v>
      </c>
      <c r="AW1" s="139" t="s">
        <v>107</v>
      </c>
      <c r="AX1" s="139" t="s">
        <v>108</v>
      </c>
      <c r="AY1" s="139" t="s">
        <v>109</v>
      </c>
      <c r="AZ1" s="136" t="s">
        <v>98</v>
      </c>
      <c r="BA1" s="136" t="s">
        <v>99</v>
      </c>
      <c r="BB1" s="136" t="s">
        <v>100</v>
      </c>
      <c r="BC1" s="137" t="s">
        <v>101</v>
      </c>
      <c r="BD1" s="137" t="s">
        <v>102</v>
      </c>
      <c r="BE1" s="137" t="s">
        <v>103</v>
      </c>
      <c r="BF1" s="138" t="s">
        <v>104</v>
      </c>
      <c r="BG1" s="138" t="s">
        <v>105</v>
      </c>
      <c r="BH1" s="138" t="s">
        <v>106</v>
      </c>
      <c r="BI1" s="139" t="s">
        <v>107</v>
      </c>
      <c r="BJ1" s="139" t="s">
        <v>108</v>
      </c>
      <c r="BK1" s="139" t="s">
        <v>109</v>
      </c>
      <c r="BL1" s="136" t="s">
        <v>98</v>
      </c>
      <c r="BM1" s="136" t="s">
        <v>99</v>
      </c>
      <c r="BN1" s="136" t="s">
        <v>100</v>
      </c>
      <c r="BO1" s="137" t="s">
        <v>101</v>
      </c>
      <c r="BP1" s="137" t="s">
        <v>102</v>
      </c>
      <c r="BQ1" s="137" t="s">
        <v>103</v>
      </c>
      <c r="BR1" s="138" t="s">
        <v>104</v>
      </c>
      <c r="BS1" s="138" t="s">
        <v>105</v>
      </c>
      <c r="BT1" s="138" t="s">
        <v>106</v>
      </c>
      <c r="BU1" s="139" t="s">
        <v>107</v>
      </c>
      <c r="BV1" s="139" t="s">
        <v>108</v>
      </c>
      <c r="BW1" s="139" t="s">
        <v>109</v>
      </c>
      <c r="BX1" s="136" t="s">
        <v>98</v>
      </c>
      <c r="BY1" s="136" t="s">
        <v>99</v>
      </c>
      <c r="BZ1" s="136" t="s">
        <v>100</v>
      </c>
      <c r="CA1" s="137" t="s">
        <v>101</v>
      </c>
      <c r="CB1" s="137" t="s">
        <v>102</v>
      </c>
      <c r="CC1" s="137" t="s">
        <v>103</v>
      </c>
      <c r="CD1" s="138" t="s">
        <v>104</v>
      </c>
      <c r="CE1" s="138" t="s">
        <v>105</v>
      </c>
      <c r="CF1" s="138" t="s">
        <v>106</v>
      </c>
      <c r="CG1" s="139" t="s">
        <v>107</v>
      </c>
      <c r="CH1" s="139" t="s">
        <v>108</v>
      </c>
      <c r="CI1" s="139" t="s">
        <v>109</v>
      </c>
      <c r="CJ1" s="136" t="s">
        <v>98</v>
      </c>
      <c r="CK1" s="136" t="s">
        <v>99</v>
      </c>
      <c r="CL1" s="136" t="s">
        <v>100</v>
      </c>
      <c r="CM1" s="137" t="s">
        <v>101</v>
      </c>
      <c r="CN1" s="137" t="s">
        <v>102</v>
      </c>
      <c r="CO1" s="137" t="s">
        <v>103</v>
      </c>
      <c r="CP1" s="138" t="s">
        <v>104</v>
      </c>
      <c r="CQ1" s="138" t="s">
        <v>105</v>
      </c>
      <c r="CR1" s="138" t="s">
        <v>106</v>
      </c>
    </row>
    <row r="2" spans="1:96" s="83" customFormat="1" x14ac:dyDescent="0.45">
      <c r="A2" s="36"/>
      <c r="B2" s="146" t="s">
        <v>1</v>
      </c>
      <c r="D2" s="83">
        <v>1532</v>
      </c>
      <c r="E2" s="83">
        <f t="shared" ref="E2:AJ2" si="0">D2+IF(E1="Gennaio",1,0)</f>
        <v>1532</v>
      </c>
      <c r="F2" s="83">
        <f t="shared" si="0"/>
        <v>1532</v>
      </c>
      <c r="G2" s="83">
        <f t="shared" si="0"/>
        <v>1532</v>
      </c>
      <c r="H2" s="83">
        <f t="shared" si="0"/>
        <v>1532</v>
      </c>
      <c r="I2" s="83">
        <f t="shared" si="0"/>
        <v>1532</v>
      </c>
      <c r="J2" s="83">
        <f t="shared" si="0"/>
        <v>1532</v>
      </c>
      <c r="K2" s="83">
        <f t="shared" si="0"/>
        <v>1532</v>
      </c>
      <c r="L2" s="83">
        <f t="shared" si="0"/>
        <v>1532</v>
      </c>
      <c r="M2" s="83">
        <f t="shared" si="0"/>
        <v>1533</v>
      </c>
      <c r="N2" s="83">
        <f t="shared" si="0"/>
        <v>1533</v>
      </c>
      <c r="O2" s="83">
        <f t="shared" si="0"/>
        <v>1533</v>
      </c>
      <c r="P2" s="83">
        <f t="shared" si="0"/>
        <v>1533</v>
      </c>
      <c r="Q2" s="83">
        <f t="shared" si="0"/>
        <v>1533</v>
      </c>
      <c r="R2" s="83">
        <f t="shared" si="0"/>
        <v>1533</v>
      </c>
      <c r="S2" s="83">
        <f t="shared" si="0"/>
        <v>1533</v>
      </c>
      <c r="T2" s="83">
        <f t="shared" si="0"/>
        <v>1533</v>
      </c>
      <c r="U2" s="83">
        <f t="shared" si="0"/>
        <v>1533</v>
      </c>
      <c r="V2" s="83">
        <f t="shared" si="0"/>
        <v>1533</v>
      </c>
      <c r="W2" s="83">
        <f t="shared" si="0"/>
        <v>1533</v>
      </c>
      <c r="X2" s="83">
        <f t="shared" si="0"/>
        <v>1533</v>
      </c>
      <c r="Y2" s="83">
        <f t="shared" si="0"/>
        <v>1534</v>
      </c>
      <c r="Z2" s="83">
        <f t="shared" si="0"/>
        <v>1534</v>
      </c>
      <c r="AA2" s="83">
        <f t="shared" si="0"/>
        <v>1534</v>
      </c>
      <c r="AB2" s="83">
        <f t="shared" si="0"/>
        <v>1534</v>
      </c>
      <c r="AC2" s="83">
        <f t="shared" si="0"/>
        <v>1534</v>
      </c>
      <c r="AD2" s="83">
        <f t="shared" si="0"/>
        <v>1534</v>
      </c>
      <c r="AE2" s="83">
        <f t="shared" si="0"/>
        <v>1534</v>
      </c>
      <c r="AF2" s="83">
        <f t="shared" si="0"/>
        <v>1534</v>
      </c>
      <c r="AG2" s="83">
        <f t="shared" si="0"/>
        <v>1534</v>
      </c>
      <c r="AH2" s="83">
        <f t="shared" si="0"/>
        <v>1534</v>
      </c>
      <c r="AI2" s="83">
        <f t="shared" si="0"/>
        <v>1534</v>
      </c>
      <c r="AJ2" s="83">
        <f t="shared" si="0"/>
        <v>1534</v>
      </c>
      <c r="AK2" s="83">
        <f t="shared" ref="AK2:BP2" si="1">AJ2+IF(AK1="Gennaio",1,0)</f>
        <v>1535</v>
      </c>
      <c r="AL2" s="83">
        <f t="shared" si="1"/>
        <v>1535</v>
      </c>
      <c r="AM2" s="83">
        <f t="shared" si="1"/>
        <v>1535</v>
      </c>
      <c r="AN2" s="83">
        <f t="shared" si="1"/>
        <v>1535</v>
      </c>
      <c r="AO2" s="83">
        <f t="shared" si="1"/>
        <v>1535</v>
      </c>
      <c r="AP2" s="83">
        <f t="shared" si="1"/>
        <v>1535</v>
      </c>
      <c r="AQ2" s="83">
        <f t="shared" si="1"/>
        <v>1535</v>
      </c>
      <c r="AR2" s="83">
        <f t="shared" si="1"/>
        <v>1535</v>
      </c>
      <c r="AS2" s="83">
        <f t="shared" si="1"/>
        <v>1535</v>
      </c>
      <c r="AT2" s="83">
        <f t="shared" si="1"/>
        <v>1535</v>
      </c>
      <c r="AU2" s="83">
        <f t="shared" si="1"/>
        <v>1535</v>
      </c>
      <c r="AV2" s="83">
        <f t="shared" si="1"/>
        <v>1535</v>
      </c>
      <c r="AW2" s="83">
        <f t="shared" si="1"/>
        <v>1536</v>
      </c>
      <c r="AX2" s="83">
        <f t="shared" si="1"/>
        <v>1536</v>
      </c>
      <c r="AY2" s="83">
        <f t="shared" si="1"/>
        <v>1536</v>
      </c>
      <c r="AZ2" s="83">
        <f t="shared" si="1"/>
        <v>1536</v>
      </c>
      <c r="BA2" s="83">
        <f t="shared" si="1"/>
        <v>1536</v>
      </c>
      <c r="BB2" s="83">
        <f t="shared" si="1"/>
        <v>1536</v>
      </c>
      <c r="BC2" s="83">
        <f t="shared" si="1"/>
        <v>1536</v>
      </c>
      <c r="BD2" s="83">
        <f t="shared" si="1"/>
        <v>1536</v>
      </c>
      <c r="BE2" s="83">
        <f t="shared" si="1"/>
        <v>1536</v>
      </c>
      <c r="BF2" s="83">
        <f t="shared" si="1"/>
        <v>1536</v>
      </c>
      <c r="BG2" s="83">
        <f t="shared" si="1"/>
        <v>1536</v>
      </c>
      <c r="BH2" s="83">
        <f t="shared" si="1"/>
        <v>1536</v>
      </c>
      <c r="BI2" s="83">
        <f t="shared" si="1"/>
        <v>1537</v>
      </c>
      <c r="BJ2" s="83">
        <f t="shared" si="1"/>
        <v>1537</v>
      </c>
      <c r="BK2" s="83">
        <f t="shared" si="1"/>
        <v>1537</v>
      </c>
      <c r="BL2" s="83">
        <f t="shared" si="1"/>
        <v>1537</v>
      </c>
      <c r="BM2" s="83">
        <f t="shared" si="1"/>
        <v>1537</v>
      </c>
      <c r="BN2" s="83">
        <f t="shared" si="1"/>
        <v>1537</v>
      </c>
      <c r="BO2" s="83">
        <f t="shared" si="1"/>
        <v>1537</v>
      </c>
      <c r="BP2" s="83">
        <f t="shared" si="1"/>
        <v>1537</v>
      </c>
      <c r="BQ2" s="83">
        <f t="shared" ref="BQ2:CR2" si="2">BP2+IF(BQ1="Gennaio",1,0)</f>
        <v>1537</v>
      </c>
      <c r="BR2" s="83">
        <f t="shared" si="2"/>
        <v>1537</v>
      </c>
      <c r="BS2" s="83">
        <f t="shared" si="2"/>
        <v>1537</v>
      </c>
      <c r="BT2" s="83">
        <f t="shared" si="2"/>
        <v>1537</v>
      </c>
      <c r="BU2" s="83">
        <f t="shared" si="2"/>
        <v>1538</v>
      </c>
      <c r="BV2" s="83">
        <f t="shared" si="2"/>
        <v>1538</v>
      </c>
      <c r="BW2" s="83">
        <f t="shared" si="2"/>
        <v>1538</v>
      </c>
      <c r="BX2" s="83">
        <f t="shared" si="2"/>
        <v>1538</v>
      </c>
      <c r="BY2" s="83">
        <f t="shared" si="2"/>
        <v>1538</v>
      </c>
      <c r="BZ2" s="83">
        <f t="shared" si="2"/>
        <v>1538</v>
      </c>
      <c r="CA2" s="83">
        <f t="shared" si="2"/>
        <v>1538</v>
      </c>
      <c r="CB2" s="83">
        <f t="shared" si="2"/>
        <v>1538</v>
      </c>
      <c r="CC2" s="83">
        <f t="shared" si="2"/>
        <v>1538</v>
      </c>
      <c r="CD2" s="83">
        <f t="shared" si="2"/>
        <v>1538</v>
      </c>
      <c r="CE2" s="83">
        <f t="shared" si="2"/>
        <v>1538</v>
      </c>
      <c r="CF2" s="83">
        <f t="shared" si="2"/>
        <v>1538</v>
      </c>
      <c r="CG2" s="83">
        <f t="shared" si="2"/>
        <v>1539</v>
      </c>
      <c r="CH2" s="83">
        <f t="shared" si="2"/>
        <v>1539</v>
      </c>
      <c r="CI2" s="83">
        <f t="shared" si="2"/>
        <v>1539</v>
      </c>
      <c r="CJ2" s="83">
        <f t="shared" si="2"/>
        <v>1539</v>
      </c>
      <c r="CK2" s="83">
        <f t="shared" si="2"/>
        <v>1539</v>
      </c>
      <c r="CL2" s="83">
        <f t="shared" si="2"/>
        <v>1539</v>
      </c>
      <c r="CM2" s="83">
        <f t="shared" si="2"/>
        <v>1539</v>
      </c>
      <c r="CN2" s="83">
        <f t="shared" si="2"/>
        <v>1539</v>
      </c>
      <c r="CO2" s="83">
        <f t="shared" si="2"/>
        <v>1539</v>
      </c>
      <c r="CP2" s="83">
        <f t="shared" si="2"/>
        <v>1539</v>
      </c>
      <c r="CQ2" s="83">
        <f t="shared" si="2"/>
        <v>1539</v>
      </c>
      <c r="CR2" s="83">
        <f t="shared" si="2"/>
        <v>1539</v>
      </c>
    </row>
    <row r="3" spans="1:96" s="145" customFormat="1" x14ac:dyDescent="0.45">
      <c r="A3" s="48"/>
      <c r="B3" s="147" t="s">
        <v>94</v>
      </c>
      <c r="D3" s="145">
        <f>C3+1</f>
        <v>1</v>
      </c>
      <c r="E3" s="145">
        <f t="shared" ref="E3:BP3" si="3">D3+1</f>
        <v>2</v>
      </c>
      <c r="F3" s="145">
        <f t="shared" si="3"/>
        <v>3</v>
      </c>
      <c r="G3" s="145">
        <f t="shared" si="3"/>
        <v>4</v>
      </c>
      <c r="H3" s="145">
        <f t="shared" si="3"/>
        <v>5</v>
      </c>
      <c r="I3" s="145">
        <f t="shared" si="3"/>
        <v>6</v>
      </c>
      <c r="J3" s="145">
        <f t="shared" si="3"/>
        <v>7</v>
      </c>
      <c r="K3" s="145">
        <f t="shared" si="3"/>
        <v>8</v>
      </c>
      <c r="L3" s="145">
        <f t="shared" si="3"/>
        <v>9</v>
      </c>
      <c r="M3" s="145">
        <f t="shared" si="3"/>
        <v>10</v>
      </c>
      <c r="N3" s="145">
        <f t="shared" si="3"/>
        <v>11</v>
      </c>
      <c r="O3" s="145">
        <f t="shared" si="3"/>
        <v>12</v>
      </c>
      <c r="P3" s="145">
        <f t="shared" si="3"/>
        <v>13</v>
      </c>
      <c r="Q3" s="145">
        <f t="shared" si="3"/>
        <v>14</v>
      </c>
      <c r="R3" s="145">
        <f t="shared" si="3"/>
        <v>15</v>
      </c>
      <c r="S3" s="145">
        <f t="shared" si="3"/>
        <v>16</v>
      </c>
      <c r="T3" s="145">
        <f t="shared" si="3"/>
        <v>17</v>
      </c>
      <c r="U3" s="145">
        <f t="shared" si="3"/>
        <v>18</v>
      </c>
      <c r="V3" s="145">
        <f t="shared" si="3"/>
        <v>19</v>
      </c>
      <c r="W3" s="145">
        <f t="shared" si="3"/>
        <v>20</v>
      </c>
      <c r="X3" s="145">
        <f t="shared" si="3"/>
        <v>21</v>
      </c>
      <c r="Y3" s="145">
        <f t="shared" si="3"/>
        <v>22</v>
      </c>
      <c r="Z3" s="145">
        <f t="shared" si="3"/>
        <v>23</v>
      </c>
      <c r="AA3" s="145">
        <f t="shared" si="3"/>
        <v>24</v>
      </c>
      <c r="AB3" s="145">
        <f t="shared" si="3"/>
        <v>25</v>
      </c>
      <c r="AC3" s="145">
        <f t="shared" si="3"/>
        <v>26</v>
      </c>
      <c r="AD3" s="145">
        <f t="shared" si="3"/>
        <v>27</v>
      </c>
      <c r="AE3" s="145">
        <f t="shared" si="3"/>
        <v>28</v>
      </c>
      <c r="AF3" s="145">
        <f t="shared" si="3"/>
        <v>29</v>
      </c>
      <c r="AG3" s="145">
        <f t="shared" si="3"/>
        <v>30</v>
      </c>
      <c r="AH3" s="145">
        <f t="shared" si="3"/>
        <v>31</v>
      </c>
      <c r="AI3" s="145">
        <f t="shared" si="3"/>
        <v>32</v>
      </c>
      <c r="AJ3" s="145">
        <f t="shared" si="3"/>
        <v>33</v>
      </c>
      <c r="AK3" s="145">
        <f t="shared" si="3"/>
        <v>34</v>
      </c>
      <c r="AL3" s="145">
        <f t="shared" si="3"/>
        <v>35</v>
      </c>
      <c r="AM3" s="145">
        <f t="shared" si="3"/>
        <v>36</v>
      </c>
      <c r="AN3" s="145">
        <f t="shared" si="3"/>
        <v>37</v>
      </c>
      <c r="AO3" s="145">
        <f t="shared" si="3"/>
        <v>38</v>
      </c>
      <c r="AP3" s="145">
        <f t="shared" si="3"/>
        <v>39</v>
      </c>
      <c r="AQ3" s="145">
        <f t="shared" si="3"/>
        <v>40</v>
      </c>
      <c r="AR3" s="145">
        <f t="shared" si="3"/>
        <v>41</v>
      </c>
      <c r="AS3" s="145">
        <f t="shared" si="3"/>
        <v>42</v>
      </c>
      <c r="AT3" s="145">
        <f t="shared" si="3"/>
        <v>43</v>
      </c>
      <c r="AU3" s="145">
        <f t="shared" si="3"/>
        <v>44</v>
      </c>
      <c r="AV3" s="145">
        <f t="shared" si="3"/>
        <v>45</v>
      </c>
      <c r="AW3" s="145">
        <f t="shared" si="3"/>
        <v>46</v>
      </c>
      <c r="AX3" s="145">
        <f t="shared" si="3"/>
        <v>47</v>
      </c>
      <c r="AY3" s="145">
        <f t="shared" si="3"/>
        <v>48</v>
      </c>
      <c r="AZ3" s="145">
        <f t="shared" si="3"/>
        <v>49</v>
      </c>
      <c r="BA3" s="145">
        <f t="shared" si="3"/>
        <v>50</v>
      </c>
      <c r="BB3" s="145">
        <f t="shared" si="3"/>
        <v>51</v>
      </c>
      <c r="BC3" s="145">
        <f t="shared" si="3"/>
        <v>52</v>
      </c>
      <c r="BD3" s="145">
        <f t="shared" si="3"/>
        <v>53</v>
      </c>
      <c r="BE3" s="145">
        <f t="shared" si="3"/>
        <v>54</v>
      </c>
      <c r="BF3" s="145">
        <f t="shared" si="3"/>
        <v>55</v>
      </c>
      <c r="BG3" s="145">
        <f t="shared" si="3"/>
        <v>56</v>
      </c>
      <c r="BH3" s="145">
        <f t="shared" si="3"/>
        <v>57</v>
      </c>
      <c r="BI3" s="145">
        <f t="shared" si="3"/>
        <v>58</v>
      </c>
      <c r="BJ3" s="145">
        <f t="shared" si="3"/>
        <v>59</v>
      </c>
      <c r="BK3" s="145">
        <f t="shared" si="3"/>
        <v>60</v>
      </c>
      <c r="BL3" s="145">
        <f t="shared" si="3"/>
        <v>61</v>
      </c>
      <c r="BM3" s="145">
        <f t="shared" si="3"/>
        <v>62</v>
      </c>
      <c r="BN3" s="145">
        <f t="shared" si="3"/>
        <v>63</v>
      </c>
      <c r="BO3" s="145">
        <f t="shared" si="3"/>
        <v>64</v>
      </c>
      <c r="BP3" s="145">
        <f t="shared" si="3"/>
        <v>65</v>
      </c>
      <c r="BQ3" s="145">
        <f t="shared" ref="BQ3:CR3" si="4">BP3+1</f>
        <v>66</v>
      </c>
      <c r="BR3" s="145">
        <f t="shared" si="4"/>
        <v>67</v>
      </c>
      <c r="BS3" s="145">
        <f t="shared" si="4"/>
        <v>68</v>
      </c>
      <c r="BT3" s="145">
        <f t="shared" si="4"/>
        <v>69</v>
      </c>
      <c r="BU3" s="145">
        <f t="shared" si="4"/>
        <v>70</v>
      </c>
      <c r="BV3" s="145">
        <f t="shared" si="4"/>
        <v>71</v>
      </c>
      <c r="BW3" s="145">
        <f t="shared" si="4"/>
        <v>72</v>
      </c>
      <c r="BX3" s="145">
        <f t="shared" si="4"/>
        <v>73</v>
      </c>
      <c r="BY3" s="145">
        <f t="shared" si="4"/>
        <v>74</v>
      </c>
      <c r="BZ3" s="145">
        <f t="shared" si="4"/>
        <v>75</v>
      </c>
      <c r="CA3" s="145">
        <f t="shared" si="4"/>
        <v>76</v>
      </c>
      <c r="CB3" s="145">
        <f t="shared" si="4"/>
        <v>77</v>
      </c>
      <c r="CC3" s="145">
        <f t="shared" si="4"/>
        <v>78</v>
      </c>
      <c r="CD3" s="145">
        <f t="shared" si="4"/>
        <v>79</v>
      </c>
      <c r="CE3" s="145">
        <f t="shared" si="4"/>
        <v>80</v>
      </c>
      <c r="CF3" s="145">
        <f t="shared" si="4"/>
        <v>81</v>
      </c>
      <c r="CG3" s="145">
        <f t="shared" si="4"/>
        <v>82</v>
      </c>
      <c r="CH3" s="145">
        <f t="shared" si="4"/>
        <v>83</v>
      </c>
      <c r="CI3" s="145">
        <f t="shared" si="4"/>
        <v>84</v>
      </c>
      <c r="CJ3" s="145">
        <f t="shared" si="4"/>
        <v>85</v>
      </c>
      <c r="CK3" s="145">
        <f t="shared" si="4"/>
        <v>86</v>
      </c>
      <c r="CL3" s="145">
        <f t="shared" si="4"/>
        <v>87</v>
      </c>
      <c r="CM3" s="145">
        <f t="shared" si="4"/>
        <v>88</v>
      </c>
      <c r="CN3" s="145">
        <f t="shared" si="4"/>
        <v>89</v>
      </c>
      <c r="CO3" s="145">
        <f t="shared" si="4"/>
        <v>90</v>
      </c>
      <c r="CP3" s="145">
        <f t="shared" si="4"/>
        <v>91</v>
      </c>
      <c r="CQ3" s="145">
        <f t="shared" si="4"/>
        <v>92</v>
      </c>
      <c r="CR3" s="145">
        <f t="shared" si="4"/>
        <v>93</v>
      </c>
    </row>
    <row r="4" spans="1:96" s="36" customFormat="1" ht="42.75" x14ac:dyDescent="0.45">
      <c r="A4" s="83"/>
      <c r="B4" s="148"/>
      <c r="E4" s="36" t="s">
        <v>383</v>
      </c>
      <c r="P4" s="36" t="s">
        <v>216</v>
      </c>
      <c r="V4" s="36" t="s">
        <v>384</v>
      </c>
      <c r="Y4" s="210" t="s">
        <v>385</v>
      </c>
      <c r="AH4" s="36" t="s">
        <v>281</v>
      </c>
      <c r="AK4" s="36" t="s">
        <v>386</v>
      </c>
    </row>
    <row r="5" spans="1:96" s="36" customFormat="1" x14ac:dyDescent="0.45">
      <c r="A5" s="238">
        <f>MAX(D8:CC8)</f>
        <v>1850</v>
      </c>
      <c r="B5" s="149" t="s">
        <v>248</v>
      </c>
      <c r="E5" s="36">
        <f>ABS(E30)</f>
        <v>150</v>
      </c>
      <c r="P5" s="36">
        <f>ABS(P45)</f>
        <v>700</v>
      </c>
      <c r="V5" s="106">
        <f>ABS(V46)</f>
        <v>2100</v>
      </c>
      <c r="W5" s="106"/>
      <c r="X5" s="106"/>
      <c r="Y5" s="106">
        <f>ABS(SUM(Y44:Y47))</f>
        <v>6850</v>
      </c>
      <c r="Z5" s="106"/>
      <c r="AA5" s="106"/>
      <c r="AH5" s="36">
        <v>6000</v>
      </c>
      <c r="AK5" s="36">
        <f>ABS(AK37)</f>
        <v>2500</v>
      </c>
      <c r="AP5" s="36">
        <v>21</v>
      </c>
      <c r="BX5" s="141">
        <f>-(BX47+BX50+BX53)</f>
        <v>46000</v>
      </c>
    </row>
    <row r="6" spans="1:96" s="48" customFormat="1" x14ac:dyDescent="0.45">
      <c r="A6" s="239">
        <f>MIN(D8:CC8)</f>
        <v>-44150</v>
      </c>
      <c r="B6" s="150" t="s">
        <v>255</v>
      </c>
      <c r="D6" s="141">
        <f>SUM($C5:D5)+D7</f>
        <v>5180</v>
      </c>
      <c r="E6" s="141">
        <f>SUM($C5:E5)+E7</f>
        <v>5450</v>
      </c>
      <c r="F6" s="141">
        <f>SUM($C5:F5)+F7</f>
        <v>5720</v>
      </c>
      <c r="G6" s="141">
        <f>SUM($C5:G5)+G7</f>
        <v>5990</v>
      </c>
      <c r="H6" s="141">
        <f>SUM($C5:H5)+H7</f>
        <v>6260</v>
      </c>
      <c r="I6" s="141">
        <f>SUM($C5:I5)+I7</f>
        <v>6530</v>
      </c>
      <c r="J6" s="141">
        <f>SUM($C5:J5)+J7</f>
        <v>6800</v>
      </c>
      <c r="K6" s="141">
        <f>SUM($C5:K5)+K7</f>
        <v>7070</v>
      </c>
      <c r="L6" s="141">
        <f>SUM($C5:L5)+L7</f>
        <v>7340</v>
      </c>
      <c r="M6" s="141">
        <f>SUM($C5:M5)+M7</f>
        <v>7610</v>
      </c>
      <c r="N6" s="141">
        <f>SUM($C5:N5)+N7</f>
        <v>7880</v>
      </c>
      <c r="O6" s="141">
        <f>SUM($C5:O5)+O7</f>
        <v>8150</v>
      </c>
      <c r="P6" s="141">
        <f>SUM($C5:P5)+P7</f>
        <v>8420</v>
      </c>
      <c r="Q6" s="141">
        <f>SUM($C5:Q5)+Q7</f>
        <v>8690</v>
      </c>
      <c r="R6" s="141">
        <f>SUM($C5:R5)+R7</f>
        <v>8960</v>
      </c>
      <c r="S6" s="141">
        <f>SUM($C5:S5)+S7</f>
        <v>9680</v>
      </c>
      <c r="T6" s="141">
        <f>SUM($C5:T5)+T7</f>
        <v>9950</v>
      </c>
      <c r="U6" s="141">
        <f>SUM($C5:U5)+U7</f>
        <v>10220</v>
      </c>
      <c r="V6" s="141">
        <f>SUM($C5:V5)+V7</f>
        <v>10540</v>
      </c>
      <c r="W6" s="141">
        <f>SUM($C5:W5)+W7</f>
        <v>10810</v>
      </c>
      <c r="X6" s="141">
        <f>SUM($C5:X5)+X7</f>
        <v>11080</v>
      </c>
      <c r="Y6" s="141">
        <f>SUM($C5:Y5)+Y7</f>
        <v>11340</v>
      </c>
      <c r="Z6" s="141">
        <f>SUM($C5:Z5)+Z7</f>
        <v>11610</v>
      </c>
      <c r="AA6" s="141">
        <f>SUM($C5:AA5)+AA7</f>
        <v>11880</v>
      </c>
      <c r="AB6" s="141">
        <f>SUM($C5:AB5)+AB7</f>
        <v>12150</v>
      </c>
      <c r="AC6" s="141">
        <f>SUM($C5:AC5)+AC7</f>
        <v>12420</v>
      </c>
      <c r="AD6" s="141">
        <f>SUM($C5:AD5)+AD7</f>
        <v>12690</v>
      </c>
      <c r="AE6" s="141">
        <f>SUM($C5:AE5)+AE7</f>
        <v>13360</v>
      </c>
      <c r="AF6" s="141">
        <f>SUM($C5:AF5)+AF7</f>
        <v>13630</v>
      </c>
      <c r="AG6" s="141">
        <f>SUM($C5:AG5)+AG7</f>
        <v>13900</v>
      </c>
      <c r="AH6" s="141">
        <f>SUM($C5:AH5)+AH7</f>
        <v>18080</v>
      </c>
      <c r="AI6" s="141">
        <f>SUM($C5:AI5)+AI7</f>
        <v>18260</v>
      </c>
      <c r="AJ6" s="141">
        <f>SUM($C5:AI5)+AJ7</f>
        <v>18440</v>
      </c>
      <c r="AK6" s="141">
        <f>SUM($C5:AJ5)+AK7</f>
        <v>18060</v>
      </c>
      <c r="AL6" s="141">
        <f>SUM($C5:AK5)+AL7</f>
        <v>21680</v>
      </c>
      <c r="AM6" s="141">
        <f>SUM($C5:AL5)+AM7</f>
        <v>22800</v>
      </c>
      <c r="AN6" s="141">
        <f>SUM($C5:AM5)+AN7</f>
        <v>23920</v>
      </c>
      <c r="AO6" s="141">
        <f>SUM($C5:AN5)+AO7</f>
        <v>24950</v>
      </c>
      <c r="AP6" s="141">
        <f>SUM($C5:AO5)+AP7</f>
        <v>25959</v>
      </c>
      <c r="AQ6" s="141">
        <f>SUM($C5:AP5)+AQ7</f>
        <v>27030</v>
      </c>
      <c r="AR6" s="141">
        <f>SUM($C5:AQ5)+AR7</f>
        <v>28080</v>
      </c>
      <c r="AS6" s="141">
        <f>SUM($C5:AR5)+AS7</f>
        <v>29130</v>
      </c>
      <c r="AT6" s="141">
        <f>SUM($C5:AS5)+AT7</f>
        <v>30180</v>
      </c>
      <c r="AU6" s="141">
        <f>SUM($C5:AT5)+AU7</f>
        <v>31230</v>
      </c>
      <c r="AV6" s="141">
        <f>SUM($C5:AU5)+AV7</f>
        <v>32280</v>
      </c>
      <c r="AW6" s="141">
        <f>SUM($C5:AV5)+AW7</f>
        <v>33330</v>
      </c>
      <c r="AX6" s="141">
        <f>SUM($C5:AW5)+AX7</f>
        <v>34380</v>
      </c>
      <c r="AY6" s="141">
        <f>SUM($C5:AX5)+AY7</f>
        <v>35430</v>
      </c>
      <c r="AZ6" s="141">
        <f>SUM($C5:AY5)+AZ7</f>
        <v>36480</v>
      </c>
      <c r="BA6" s="141">
        <f>SUM($C5:AZ5)+BA7</f>
        <v>37530</v>
      </c>
      <c r="BB6" s="141">
        <f>SUM($C5:BA5)+BB7</f>
        <v>38580</v>
      </c>
      <c r="BC6" s="141">
        <f>SUM($C5:BB5)+BC7</f>
        <v>39630</v>
      </c>
      <c r="BD6" s="141">
        <f>SUM($C5:BC5)+BD7</f>
        <v>40680</v>
      </c>
      <c r="BE6" s="141">
        <f>SUM($C5:BD5)+BE7</f>
        <v>41730</v>
      </c>
      <c r="BF6" s="141">
        <f>SUM($C5:BE5)+BF7</f>
        <v>42780</v>
      </c>
      <c r="BG6" s="141">
        <f>SUM($C5:BF5)+BG7</f>
        <v>43830</v>
      </c>
      <c r="BH6" s="141">
        <f>SUM($C5:BG5)+BH7</f>
        <v>44880</v>
      </c>
      <c r="BI6" s="141">
        <f>SUM($C5:BH5)+BI7</f>
        <v>45930</v>
      </c>
      <c r="BJ6" s="141">
        <f>SUM($C5:BI5)+BJ7</f>
        <v>46980</v>
      </c>
      <c r="BK6" s="141">
        <f>SUM($C5:BJ5)+BK7</f>
        <v>48030</v>
      </c>
      <c r="BL6" s="141">
        <f>SUM($C5:BK5)+BL7</f>
        <v>49080</v>
      </c>
      <c r="BM6" s="141">
        <f>SUM($C5:BL5)+BM7</f>
        <v>50130</v>
      </c>
      <c r="BN6" s="141">
        <f>SUM($C5:BM5)+BN7</f>
        <v>51180</v>
      </c>
      <c r="BO6" s="141">
        <f>SUM($C5:BN5)+BO7</f>
        <v>52230</v>
      </c>
      <c r="BP6" s="141">
        <f>SUM($C5:BO5)+BP7</f>
        <v>53280</v>
      </c>
      <c r="BQ6" s="141">
        <f>SUM($C5:BP5)+BQ7</f>
        <v>54330</v>
      </c>
      <c r="BR6" s="141">
        <f>SUM($C5:BQ5)+BR7</f>
        <v>55380</v>
      </c>
      <c r="BS6" s="141">
        <f>SUM($C5:BR5)+BS7</f>
        <v>56430</v>
      </c>
      <c r="BT6" s="141">
        <f>SUM($C5:BS5)+BT7</f>
        <v>57480</v>
      </c>
      <c r="BU6" s="141">
        <f>SUM($C5:BT5)+BU7</f>
        <v>58530</v>
      </c>
      <c r="BV6" s="141">
        <f>SUM($C5:BU5)+BV7</f>
        <v>59580</v>
      </c>
      <c r="BW6" s="141">
        <f>SUM($C5:BW5)+BW7</f>
        <v>60630</v>
      </c>
      <c r="BX6" s="141">
        <f>SUM($C5:BX5)+BX7</f>
        <v>62480</v>
      </c>
      <c r="BY6" s="141">
        <f>SUM($C5:BY5)+BY7</f>
        <v>63230</v>
      </c>
      <c r="BZ6" s="141">
        <f>SUM($C5:BZ5)+BZ7</f>
        <v>60080</v>
      </c>
      <c r="CA6" s="141">
        <f>SUM($C5:CA5)+CA7</f>
        <v>61930</v>
      </c>
      <c r="CB6" s="141">
        <f>SUM($C5:CB5)+CB7</f>
        <v>63780</v>
      </c>
      <c r="CC6" s="141">
        <f>SUM($C5:CC5)+CC7</f>
        <v>64821</v>
      </c>
    </row>
    <row r="7" spans="1:96" x14ac:dyDescent="0.45">
      <c r="B7" s="151" t="s">
        <v>121</v>
      </c>
      <c r="C7" s="24">
        <f>SUM(C21:C1048576)</f>
        <v>5000</v>
      </c>
      <c r="D7" s="24">
        <f t="shared" ref="D7:AI7" si="5">C7+SUM(D21:D57)</f>
        <v>5180</v>
      </c>
      <c r="E7" s="24">
        <f t="shared" si="5"/>
        <v>5300</v>
      </c>
      <c r="F7" s="24">
        <f t="shared" si="5"/>
        <v>5570</v>
      </c>
      <c r="G7" s="24">
        <f t="shared" si="5"/>
        <v>5840</v>
      </c>
      <c r="H7" s="24">
        <f t="shared" si="5"/>
        <v>6110</v>
      </c>
      <c r="I7" s="24">
        <f t="shared" si="5"/>
        <v>6380</v>
      </c>
      <c r="J7" s="24">
        <f t="shared" si="5"/>
        <v>6650</v>
      </c>
      <c r="K7" s="24">
        <f t="shared" si="5"/>
        <v>6920</v>
      </c>
      <c r="L7" s="24">
        <f t="shared" si="5"/>
        <v>7190</v>
      </c>
      <c r="M7" s="24">
        <f t="shared" si="5"/>
        <v>7460</v>
      </c>
      <c r="N7" s="24">
        <f t="shared" si="5"/>
        <v>7730</v>
      </c>
      <c r="O7" s="24">
        <f t="shared" si="5"/>
        <v>8000</v>
      </c>
      <c r="P7" s="24">
        <f t="shared" si="5"/>
        <v>7570</v>
      </c>
      <c r="Q7" s="24">
        <f t="shared" si="5"/>
        <v>7840</v>
      </c>
      <c r="R7" s="24">
        <f t="shared" si="5"/>
        <v>8110</v>
      </c>
      <c r="S7" s="24">
        <f t="shared" si="5"/>
        <v>8830</v>
      </c>
      <c r="T7" s="24">
        <f t="shared" si="5"/>
        <v>9100</v>
      </c>
      <c r="U7" s="24">
        <f t="shared" si="5"/>
        <v>9370</v>
      </c>
      <c r="V7" s="24">
        <f t="shared" si="5"/>
        <v>7590</v>
      </c>
      <c r="W7" s="24">
        <f t="shared" si="5"/>
        <v>7860</v>
      </c>
      <c r="X7" s="24">
        <f t="shared" si="5"/>
        <v>8130</v>
      </c>
      <c r="Y7" s="24">
        <f t="shared" si="5"/>
        <v>1540</v>
      </c>
      <c r="Z7" s="24">
        <f t="shared" si="5"/>
        <v>1810</v>
      </c>
      <c r="AA7" s="24">
        <f t="shared" si="5"/>
        <v>2080</v>
      </c>
      <c r="AB7" s="24">
        <f t="shared" si="5"/>
        <v>2350</v>
      </c>
      <c r="AC7" s="24">
        <f t="shared" si="5"/>
        <v>2620</v>
      </c>
      <c r="AD7" s="24">
        <f t="shared" si="5"/>
        <v>2890</v>
      </c>
      <c r="AE7" s="24">
        <f t="shared" si="5"/>
        <v>3560</v>
      </c>
      <c r="AF7" s="24">
        <f t="shared" si="5"/>
        <v>3830</v>
      </c>
      <c r="AG7" s="24">
        <f t="shared" si="5"/>
        <v>4100</v>
      </c>
      <c r="AH7" s="24">
        <f t="shared" si="5"/>
        <v>2280</v>
      </c>
      <c r="AI7" s="24">
        <f t="shared" si="5"/>
        <v>2460</v>
      </c>
      <c r="AJ7" s="24">
        <f t="shared" ref="AJ7:BO7" si="6">AI7+SUM(AJ21:AJ57)</f>
        <v>2640</v>
      </c>
      <c r="AK7" s="24">
        <f t="shared" si="6"/>
        <v>2260</v>
      </c>
      <c r="AL7" s="24">
        <f t="shared" si="6"/>
        <v>3380</v>
      </c>
      <c r="AM7" s="24">
        <f t="shared" si="6"/>
        <v>4500</v>
      </c>
      <c r="AN7" s="24">
        <f t="shared" si="6"/>
        <v>5620</v>
      </c>
      <c r="AO7" s="24">
        <f t="shared" si="6"/>
        <v>6650</v>
      </c>
      <c r="AP7" s="24">
        <f t="shared" si="6"/>
        <v>7659</v>
      </c>
      <c r="AQ7" s="24">
        <f t="shared" si="6"/>
        <v>8709</v>
      </c>
      <c r="AR7" s="24">
        <f t="shared" si="6"/>
        <v>9759</v>
      </c>
      <c r="AS7" s="24">
        <f t="shared" si="6"/>
        <v>10809</v>
      </c>
      <c r="AT7" s="24">
        <f t="shared" si="6"/>
        <v>11859</v>
      </c>
      <c r="AU7" s="24">
        <f t="shared" si="6"/>
        <v>12909</v>
      </c>
      <c r="AV7" s="24">
        <f t="shared" si="6"/>
        <v>13959</v>
      </c>
      <c r="AW7" s="24">
        <f t="shared" si="6"/>
        <v>15009</v>
      </c>
      <c r="AX7" s="24">
        <f t="shared" si="6"/>
        <v>16059</v>
      </c>
      <c r="AY7" s="24">
        <f t="shared" si="6"/>
        <v>17109</v>
      </c>
      <c r="AZ7" s="24">
        <f t="shared" si="6"/>
        <v>18159</v>
      </c>
      <c r="BA7" s="24">
        <f t="shared" si="6"/>
        <v>19209</v>
      </c>
      <c r="BB7" s="24">
        <f t="shared" si="6"/>
        <v>20259</v>
      </c>
      <c r="BC7" s="24">
        <f t="shared" si="6"/>
        <v>21309</v>
      </c>
      <c r="BD7" s="24">
        <f t="shared" si="6"/>
        <v>22359</v>
      </c>
      <c r="BE7" s="24">
        <f t="shared" si="6"/>
        <v>23409</v>
      </c>
      <c r="BF7" s="24">
        <f t="shared" si="6"/>
        <v>24459</v>
      </c>
      <c r="BG7" s="24">
        <f t="shared" si="6"/>
        <v>25509</v>
      </c>
      <c r="BH7" s="24">
        <f t="shared" si="6"/>
        <v>26559</v>
      </c>
      <c r="BI7" s="24">
        <f t="shared" si="6"/>
        <v>27609</v>
      </c>
      <c r="BJ7" s="24">
        <f t="shared" si="6"/>
        <v>28659</v>
      </c>
      <c r="BK7" s="24">
        <f t="shared" si="6"/>
        <v>29709</v>
      </c>
      <c r="BL7" s="24">
        <f t="shared" si="6"/>
        <v>30759</v>
      </c>
      <c r="BM7" s="24">
        <f t="shared" si="6"/>
        <v>31809</v>
      </c>
      <c r="BN7" s="24">
        <f t="shared" si="6"/>
        <v>32859</v>
      </c>
      <c r="BO7" s="24">
        <f t="shared" si="6"/>
        <v>33909</v>
      </c>
      <c r="BP7" s="24">
        <f t="shared" ref="BP7:BW7" si="7">BO7+SUM(BP21:BP57)</f>
        <v>34959</v>
      </c>
      <c r="BQ7" s="24">
        <f t="shared" si="7"/>
        <v>36009</v>
      </c>
      <c r="BR7" s="24">
        <f t="shared" si="7"/>
        <v>37059</v>
      </c>
      <c r="BS7" s="24">
        <f t="shared" si="7"/>
        <v>38109</v>
      </c>
      <c r="BT7" s="24">
        <f t="shared" si="7"/>
        <v>39159</v>
      </c>
      <c r="BU7" s="24">
        <f t="shared" si="7"/>
        <v>40209</v>
      </c>
      <c r="BV7" s="24">
        <f t="shared" si="7"/>
        <v>41259</v>
      </c>
      <c r="BW7" s="24">
        <f t="shared" si="7"/>
        <v>42309</v>
      </c>
      <c r="BX7" s="24">
        <f t="shared" ref="BX7:BZ7" si="8">BW7+SUM(BX21:BX57)</f>
        <v>-1841</v>
      </c>
      <c r="BY7" s="24">
        <f t="shared" si="8"/>
        <v>-1091</v>
      </c>
      <c r="BZ7" s="24">
        <f t="shared" si="8"/>
        <v>-4241</v>
      </c>
      <c r="CA7" s="24">
        <f t="shared" ref="CA7" si="9">BZ7+SUM(CA21:CA57)</f>
        <v>-2391</v>
      </c>
      <c r="CB7" s="24">
        <f t="shared" ref="CB7:CC7" si="10">CA7+SUM(CB21:CB57)</f>
        <v>-541</v>
      </c>
      <c r="CC7" s="24">
        <f t="shared" si="10"/>
        <v>500</v>
      </c>
    </row>
    <row r="8" spans="1:96" s="144" customFormat="1" x14ac:dyDescent="0.45">
      <c r="A8" s="36"/>
      <c r="B8" s="151" t="s">
        <v>122</v>
      </c>
      <c r="C8" s="165"/>
      <c r="D8" s="143">
        <f>D7-C7</f>
        <v>180</v>
      </c>
      <c r="E8" s="143">
        <f t="shared" ref="E8:I8" si="11">E7-D7</f>
        <v>120</v>
      </c>
      <c r="F8" s="143">
        <f t="shared" si="11"/>
        <v>270</v>
      </c>
      <c r="G8" s="143">
        <f t="shared" si="11"/>
        <v>270</v>
      </c>
      <c r="H8" s="143">
        <f t="shared" si="11"/>
        <v>270</v>
      </c>
      <c r="I8" s="143">
        <f t="shared" si="11"/>
        <v>270</v>
      </c>
      <c r="J8" s="143">
        <f t="shared" ref="J8" si="12">J7-I7</f>
        <v>270</v>
      </c>
      <c r="K8" s="143">
        <f t="shared" ref="K8" si="13">K7-J7</f>
        <v>270</v>
      </c>
      <c r="L8" s="143">
        <f t="shared" ref="L8" si="14">L7-K7</f>
        <v>270</v>
      </c>
      <c r="M8" s="143">
        <f t="shared" ref="M8" si="15">M7-L7</f>
        <v>270</v>
      </c>
      <c r="N8" s="143">
        <f t="shared" ref="N8" si="16">N7-M7</f>
        <v>270</v>
      </c>
      <c r="O8" s="143">
        <f t="shared" ref="O8" si="17">O7-N7</f>
        <v>270</v>
      </c>
      <c r="P8" s="143">
        <f t="shared" ref="P8" si="18">P7-O7</f>
        <v>-430</v>
      </c>
      <c r="Q8" s="143">
        <f t="shared" ref="Q8" si="19">Q7-P7</f>
        <v>270</v>
      </c>
      <c r="R8" s="143">
        <f t="shared" ref="R8" si="20">R7-Q7</f>
        <v>270</v>
      </c>
      <c r="S8" s="143">
        <f t="shared" ref="S8" si="21">S7-R7</f>
        <v>720</v>
      </c>
      <c r="T8" s="143">
        <f t="shared" ref="T8" si="22">T7-S7</f>
        <v>270</v>
      </c>
      <c r="U8" s="143">
        <f t="shared" ref="U8" si="23">U7-T7</f>
        <v>270</v>
      </c>
      <c r="V8" s="143">
        <f t="shared" ref="V8" si="24">V7-U7</f>
        <v>-1780</v>
      </c>
      <c r="W8" s="143">
        <f t="shared" ref="W8" si="25">W7-V7</f>
        <v>270</v>
      </c>
      <c r="X8" s="143">
        <f t="shared" ref="X8" si="26">X7-W7</f>
        <v>270</v>
      </c>
      <c r="Y8" s="143">
        <f t="shared" ref="Y8" si="27">Y7-X7</f>
        <v>-6590</v>
      </c>
      <c r="Z8" s="143">
        <f t="shared" ref="Z8" si="28">Z7-Y7</f>
        <v>270</v>
      </c>
      <c r="AA8" s="143">
        <f t="shared" ref="AA8" si="29">AA7-Z7</f>
        <v>270</v>
      </c>
      <c r="AB8" s="143">
        <f t="shared" ref="AB8" si="30">AB7-AA7</f>
        <v>270</v>
      </c>
      <c r="AC8" s="143">
        <f t="shared" ref="AC8" si="31">AC7-AB7</f>
        <v>270</v>
      </c>
      <c r="AD8" s="143">
        <f t="shared" ref="AD8" si="32">AD7-AC7</f>
        <v>270</v>
      </c>
      <c r="AE8" s="143">
        <f t="shared" ref="AE8" si="33">AE7-AD7</f>
        <v>670</v>
      </c>
      <c r="AF8" s="143">
        <f t="shared" ref="AF8" si="34">AF7-AE7</f>
        <v>270</v>
      </c>
      <c r="AG8" s="143">
        <f t="shared" ref="AG8" si="35">AG7-AF7</f>
        <v>270</v>
      </c>
      <c r="AH8" s="143">
        <f t="shared" ref="AH8" si="36">AH7-AG7</f>
        <v>-1820</v>
      </c>
      <c r="AI8" s="143">
        <f t="shared" ref="AI8" si="37">AI7-AH7</f>
        <v>180</v>
      </c>
      <c r="AJ8" s="143">
        <f t="shared" ref="AJ8" si="38">AJ7-AI7</f>
        <v>180</v>
      </c>
      <c r="AK8" s="143">
        <f t="shared" ref="AK8" si="39">AK7-AJ7</f>
        <v>-380</v>
      </c>
      <c r="AL8" s="143">
        <f t="shared" ref="AL8" si="40">AL7-AK7</f>
        <v>1120</v>
      </c>
      <c r="AM8" s="143">
        <f t="shared" ref="AM8" si="41">AM7-AL7</f>
        <v>1120</v>
      </c>
      <c r="AN8" s="143">
        <f t="shared" ref="AN8" si="42">AN7-AM7</f>
        <v>1120</v>
      </c>
      <c r="AO8" s="143">
        <f t="shared" ref="AO8" si="43">AO7-AN7</f>
        <v>1030</v>
      </c>
      <c r="AP8" s="143">
        <f t="shared" ref="AP8" si="44">AP7-AO7</f>
        <v>1009</v>
      </c>
      <c r="AQ8" s="143">
        <f t="shared" ref="AQ8" si="45">AQ7-AP7</f>
        <v>1050</v>
      </c>
      <c r="AR8" s="143">
        <f t="shared" ref="AR8" si="46">AR7-AQ7</f>
        <v>1050</v>
      </c>
      <c r="AS8" s="143">
        <f t="shared" ref="AS8" si="47">AS7-AR7</f>
        <v>1050</v>
      </c>
      <c r="AT8" s="143">
        <f t="shared" ref="AT8" si="48">AT7-AS7</f>
        <v>1050</v>
      </c>
      <c r="AU8" s="143">
        <f t="shared" ref="AU8" si="49">AU7-AT7</f>
        <v>1050</v>
      </c>
      <c r="AV8" s="143">
        <f t="shared" ref="AV8" si="50">AV7-AU7</f>
        <v>1050</v>
      </c>
      <c r="AW8" s="143">
        <f t="shared" ref="AW8" si="51">AW7-AV7</f>
        <v>1050</v>
      </c>
      <c r="AX8" s="143">
        <f t="shared" ref="AX8" si="52">AX7-AW7</f>
        <v>1050</v>
      </c>
      <c r="AY8" s="143">
        <f t="shared" ref="AY8" si="53">AY7-AX7</f>
        <v>1050</v>
      </c>
      <c r="AZ8" s="143">
        <f t="shared" ref="AZ8" si="54">AZ7-AY7</f>
        <v>1050</v>
      </c>
      <c r="BA8" s="143">
        <f t="shared" ref="BA8" si="55">BA7-AZ7</f>
        <v>1050</v>
      </c>
      <c r="BB8" s="143">
        <f t="shared" ref="BB8" si="56">BB7-BA7</f>
        <v>1050</v>
      </c>
      <c r="BC8" s="143">
        <f t="shared" ref="BC8" si="57">BC7-BB7</f>
        <v>1050</v>
      </c>
      <c r="BD8" s="143">
        <f t="shared" ref="BD8" si="58">BD7-BC7</f>
        <v>1050</v>
      </c>
      <c r="BE8" s="143">
        <f t="shared" ref="BE8" si="59">BE7-BD7</f>
        <v>1050</v>
      </c>
      <c r="BF8" s="143">
        <f t="shared" ref="BF8" si="60">BF7-BE7</f>
        <v>1050</v>
      </c>
      <c r="BG8" s="143">
        <f t="shared" ref="BG8" si="61">BG7-BF7</f>
        <v>1050</v>
      </c>
      <c r="BH8" s="143">
        <f t="shared" ref="BH8" si="62">BH7-BG7</f>
        <v>1050</v>
      </c>
      <c r="BI8" s="143">
        <f t="shared" ref="BI8" si="63">BI7-BH7</f>
        <v>1050</v>
      </c>
      <c r="BJ8" s="143">
        <f t="shared" ref="BJ8" si="64">BJ7-BI7</f>
        <v>1050</v>
      </c>
      <c r="BK8" s="143">
        <f t="shared" ref="BK8" si="65">BK7-BJ7</f>
        <v>1050</v>
      </c>
      <c r="BL8" s="143">
        <f t="shared" ref="BL8" si="66">BL7-BK7</f>
        <v>1050</v>
      </c>
      <c r="BM8" s="143">
        <f t="shared" ref="BM8" si="67">BM7-BL7</f>
        <v>1050</v>
      </c>
      <c r="BN8" s="143">
        <f t="shared" ref="BN8" si="68">BN7-BM7</f>
        <v>1050</v>
      </c>
      <c r="BO8" s="143">
        <f t="shared" ref="BO8" si="69">BO7-BN7</f>
        <v>1050</v>
      </c>
      <c r="BP8" s="143">
        <f t="shared" ref="BP8" si="70">BP7-BO7</f>
        <v>1050</v>
      </c>
      <c r="BQ8" s="143">
        <f t="shared" ref="BQ8" si="71">BQ7-BP7</f>
        <v>1050</v>
      </c>
      <c r="BR8" s="143">
        <f t="shared" ref="BR8" si="72">BR7-BQ7</f>
        <v>1050</v>
      </c>
      <c r="BS8" s="143">
        <f t="shared" ref="BS8" si="73">BS7-BR7</f>
        <v>1050</v>
      </c>
      <c r="BT8" s="143">
        <f t="shared" ref="BT8" si="74">BT7-BS7</f>
        <v>1050</v>
      </c>
      <c r="BU8" s="143">
        <f t="shared" ref="BU8" si="75">BU7-BT7</f>
        <v>1050</v>
      </c>
      <c r="BV8" s="143">
        <f t="shared" ref="BV8" si="76">BV7-BU7</f>
        <v>1050</v>
      </c>
      <c r="BW8" s="143">
        <f t="shared" ref="BW8" si="77">BW7-BV7</f>
        <v>1050</v>
      </c>
      <c r="BX8" s="143">
        <f t="shared" ref="BX8" si="78">BX7-BW7</f>
        <v>-44150</v>
      </c>
      <c r="BY8" s="143">
        <f t="shared" ref="BY8" si="79">BY7-BX7</f>
        <v>750</v>
      </c>
      <c r="BZ8" s="143">
        <f t="shared" ref="BZ8" si="80">BZ7-BY7</f>
        <v>-3150</v>
      </c>
      <c r="CA8" s="143">
        <f t="shared" ref="CA8" si="81">CA7-BZ7</f>
        <v>1850</v>
      </c>
      <c r="CB8" s="143">
        <f t="shared" ref="CB8:CC8" si="82">CB7-CA7</f>
        <v>1850</v>
      </c>
      <c r="CC8" s="143">
        <f t="shared" si="82"/>
        <v>1041</v>
      </c>
    </row>
    <row r="9" spans="1:96" s="37" customFormat="1" ht="18" x14ac:dyDescent="0.55000000000000004">
      <c r="A9" s="197" t="s">
        <v>162</v>
      </c>
      <c r="B9" s="157" t="s">
        <v>120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50</v>
      </c>
      <c r="Z9" s="36">
        <v>50</v>
      </c>
      <c r="AA9" s="36">
        <v>50</v>
      </c>
      <c r="AB9" s="36">
        <v>50</v>
      </c>
      <c r="AC9" s="36">
        <v>50</v>
      </c>
      <c r="AD9" s="36">
        <v>50</v>
      </c>
      <c r="AE9" s="36">
        <v>50</v>
      </c>
      <c r="AF9" s="36">
        <v>50</v>
      </c>
      <c r="AG9" s="36">
        <v>50</v>
      </c>
      <c r="AH9" s="36">
        <v>50</v>
      </c>
      <c r="AI9" s="36">
        <v>50</v>
      </c>
      <c r="AJ9" s="36">
        <v>50</v>
      </c>
      <c r="AK9" s="36">
        <v>50</v>
      </c>
      <c r="AL9" s="36">
        <v>50</v>
      </c>
      <c r="AM9" s="36">
        <v>50</v>
      </c>
      <c r="AN9" s="36">
        <v>50</v>
      </c>
      <c r="AO9" s="36">
        <v>50</v>
      </c>
      <c r="AP9" s="36">
        <v>50</v>
      </c>
      <c r="AQ9" s="36">
        <v>50</v>
      </c>
      <c r="AR9" s="36">
        <v>50</v>
      </c>
      <c r="AS9" s="36">
        <v>50</v>
      </c>
      <c r="AT9" s="36">
        <v>50</v>
      </c>
      <c r="AU9" s="36">
        <v>50</v>
      </c>
      <c r="AV9" s="36">
        <v>50</v>
      </c>
      <c r="AW9" s="36">
        <v>50</v>
      </c>
      <c r="AX9" s="36">
        <v>50</v>
      </c>
      <c r="AY9" s="36">
        <v>50</v>
      </c>
      <c r="AZ9" s="36">
        <v>50</v>
      </c>
      <c r="BA9" s="36">
        <v>50</v>
      </c>
      <c r="BB9" s="36">
        <v>50</v>
      </c>
      <c r="BC9" s="36">
        <v>50</v>
      </c>
      <c r="BD9" s="36">
        <v>50</v>
      </c>
      <c r="BE9" s="36">
        <v>50</v>
      </c>
      <c r="BF9" s="36">
        <v>50</v>
      </c>
      <c r="BG9" s="36">
        <v>50</v>
      </c>
      <c r="BH9" s="36">
        <v>50</v>
      </c>
      <c r="BI9" s="36">
        <v>50</v>
      </c>
      <c r="BJ9" s="36">
        <v>50</v>
      </c>
      <c r="BK9" s="36">
        <v>50</v>
      </c>
      <c r="BL9" s="36">
        <v>50</v>
      </c>
      <c r="BM9" s="36">
        <v>50</v>
      </c>
      <c r="BN9" s="36">
        <v>50</v>
      </c>
      <c r="BO9" s="36">
        <v>50</v>
      </c>
      <c r="BP9" s="36">
        <v>50</v>
      </c>
      <c r="BQ9" s="36">
        <v>50</v>
      </c>
      <c r="BR9" s="36">
        <v>50</v>
      </c>
      <c r="BS9" s="36">
        <v>50</v>
      </c>
      <c r="BT9" s="36">
        <v>50</v>
      </c>
      <c r="BU9" s="36">
        <v>50</v>
      </c>
      <c r="BV9" s="36">
        <v>50</v>
      </c>
      <c r="BW9" s="36">
        <v>50</v>
      </c>
      <c r="BX9" s="36">
        <v>51</v>
      </c>
      <c r="BY9" s="36">
        <v>52</v>
      </c>
      <c r="BZ9" s="36">
        <v>53</v>
      </c>
      <c r="CA9" s="36">
        <v>54</v>
      </c>
      <c r="CB9" s="36">
        <v>55</v>
      </c>
      <c r="CC9" s="36">
        <v>56</v>
      </c>
    </row>
    <row r="10" spans="1:96" s="52" customFormat="1" ht="18" x14ac:dyDescent="0.55000000000000004">
      <c r="A10" s="198" t="s">
        <v>177</v>
      </c>
      <c r="B10" s="158" t="s">
        <v>176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52">
        <f t="shared" ref="Y10:BD10" si="83">-Y9*$A$60</f>
        <v>-25</v>
      </c>
      <c r="Z10" s="52">
        <f t="shared" si="83"/>
        <v>-25</v>
      </c>
      <c r="AA10" s="52">
        <f t="shared" si="83"/>
        <v>-25</v>
      </c>
      <c r="AB10" s="52">
        <f t="shared" si="83"/>
        <v>-25</v>
      </c>
      <c r="AC10" s="52">
        <f t="shared" si="83"/>
        <v>-25</v>
      </c>
      <c r="AD10" s="52">
        <f t="shared" si="83"/>
        <v>-25</v>
      </c>
      <c r="AE10" s="52">
        <f t="shared" si="83"/>
        <v>-25</v>
      </c>
      <c r="AF10" s="52">
        <f t="shared" si="83"/>
        <v>-25</v>
      </c>
      <c r="AG10" s="52">
        <f t="shared" si="83"/>
        <v>-25</v>
      </c>
      <c r="AH10" s="52">
        <f t="shared" si="83"/>
        <v>-25</v>
      </c>
      <c r="AI10" s="52">
        <f t="shared" si="83"/>
        <v>-25</v>
      </c>
      <c r="AJ10" s="52">
        <f t="shared" si="83"/>
        <v>-25</v>
      </c>
      <c r="AK10" s="52">
        <f t="shared" si="83"/>
        <v>-25</v>
      </c>
      <c r="AL10" s="52">
        <f t="shared" si="83"/>
        <v>-25</v>
      </c>
      <c r="AM10" s="52">
        <f t="shared" si="83"/>
        <v>-25</v>
      </c>
      <c r="AN10" s="52">
        <f t="shared" si="83"/>
        <v>-25</v>
      </c>
      <c r="AO10" s="52">
        <f t="shared" si="83"/>
        <v>-25</v>
      </c>
      <c r="AP10" s="52">
        <f t="shared" si="83"/>
        <v>-25</v>
      </c>
      <c r="AQ10" s="52">
        <f t="shared" si="83"/>
        <v>-25</v>
      </c>
      <c r="AR10" s="52">
        <f t="shared" si="83"/>
        <v>-25</v>
      </c>
      <c r="AS10" s="52">
        <f t="shared" si="83"/>
        <v>-25</v>
      </c>
      <c r="AT10" s="52">
        <f t="shared" si="83"/>
        <v>-25</v>
      </c>
      <c r="AU10" s="52">
        <f t="shared" si="83"/>
        <v>-25</v>
      </c>
      <c r="AV10" s="52">
        <f t="shared" si="83"/>
        <v>-25</v>
      </c>
      <c r="AW10" s="52">
        <f t="shared" si="83"/>
        <v>-25</v>
      </c>
      <c r="AX10" s="52">
        <f t="shared" si="83"/>
        <v>-25</v>
      </c>
      <c r="AY10" s="52">
        <f t="shared" si="83"/>
        <v>-25</v>
      </c>
      <c r="AZ10" s="52">
        <f t="shared" si="83"/>
        <v>-25</v>
      </c>
      <c r="BA10" s="52">
        <f t="shared" si="83"/>
        <v>-25</v>
      </c>
      <c r="BB10" s="52">
        <f t="shared" si="83"/>
        <v>-25</v>
      </c>
      <c r="BC10" s="52">
        <f t="shared" si="83"/>
        <v>-25</v>
      </c>
      <c r="BD10" s="52">
        <f t="shared" si="83"/>
        <v>-25</v>
      </c>
      <c r="BE10" s="52">
        <f t="shared" ref="BE10:BW10" si="84">-BE9*$A$60</f>
        <v>-25</v>
      </c>
      <c r="BF10" s="52">
        <f t="shared" si="84"/>
        <v>-25</v>
      </c>
      <c r="BG10" s="52">
        <f t="shared" si="84"/>
        <v>-25</v>
      </c>
      <c r="BH10" s="52">
        <f t="shared" si="84"/>
        <v>-25</v>
      </c>
      <c r="BI10" s="52">
        <f t="shared" si="84"/>
        <v>-25</v>
      </c>
      <c r="BJ10" s="52">
        <f t="shared" si="84"/>
        <v>-25</v>
      </c>
      <c r="BK10" s="52">
        <f t="shared" si="84"/>
        <v>-25</v>
      </c>
      <c r="BL10" s="52">
        <f t="shared" si="84"/>
        <v>-25</v>
      </c>
      <c r="BM10" s="52">
        <f t="shared" si="84"/>
        <v>-25</v>
      </c>
      <c r="BN10" s="52">
        <f t="shared" si="84"/>
        <v>-25</v>
      </c>
      <c r="BO10" s="52">
        <f t="shared" si="84"/>
        <v>-25</v>
      </c>
      <c r="BP10" s="52">
        <f t="shared" si="84"/>
        <v>-25</v>
      </c>
      <c r="BQ10" s="52">
        <f t="shared" si="84"/>
        <v>-25</v>
      </c>
      <c r="BR10" s="52">
        <f t="shared" si="84"/>
        <v>-25</v>
      </c>
      <c r="BS10" s="52">
        <f t="shared" si="84"/>
        <v>-25</v>
      </c>
      <c r="BT10" s="52">
        <f t="shared" si="84"/>
        <v>-25</v>
      </c>
      <c r="BU10" s="52">
        <f t="shared" si="84"/>
        <v>-25</v>
      </c>
      <c r="BV10" s="52">
        <f t="shared" si="84"/>
        <v>-25</v>
      </c>
      <c r="BW10" s="52">
        <f t="shared" si="84"/>
        <v>-25</v>
      </c>
      <c r="BX10" s="52">
        <f t="shared" ref="BX10:BZ10" si="85">-BX9*$A$60</f>
        <v>-25.5</v>
      </c>
      <c r="BY10" s="52">
        <f t="shared" si="85"/>
        <v>-26</v>
      </c>
      <c r="BZ10" s="52">
        <f t="shared" si="85"/>
        <v>-26.5</v>
      </c>
      <c r="CA10" s="52">
        <f t="shared" ref="CA10:CC10" si="86">-CA9*$A$60</f>
        <v>-27</v>
      </c>
      <c r="CB10" s="52">
        <f t="shared" si="86"/>
        <v>-27.5</v>
      </c>
      <c r="CC10" s="52">
        <f t="shared" si="86"/>
        <v>-28</v>
      </c>
    </row>
    <row r="11" spans="1:96" ht="18" x14ac:dyDescent="0.55000000000000004">
      <c r="A11" s="197" t="s">
        <v>267</v>
      </c>
      <c r="B11" s="157" t="s">
        <v>281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>
        <v>1</v>
      </c>
      <c r="AI11" s="83">
        <v>1</v>
      </c>
      <c r="AJ11" s="83">
        <v>1</v>
      </c>
      <c r="AK11" s="83">
        <v>1</v>
      </c>
      <c r="AL11" s="83">
        <v>1</v>
      </c>
      <c r="AM11" s="83">
        <v>1</v>
      </c>
      <c r="AN11" s="83">
        <v>1</v>
      </c>
      <c r="AO11" s="83">
        <v>1</v>
      </c>
      <c r="AP11" s="83">
        <v>1</v>
      </c>
      <c r="AQ11" s="83">
        <v>1</v>
      </c>
      <c r="AR11" s="83">
        <v>1</v>
      </c>
      <c r="AS11" s="83">
        <v>1</v>
      </c>
      <c r="AT11" s="83">
        <v>1</v>
      </c>
      <c r="AU11" s="83">
        <v>1</v>
      </c>
      <c r="AV11" s="83">
        <v>1</v>
      </c>
      <c r="AW11" s="83">
        <v>1</v>
      </c>
      <c r="AX11" s="83">
        <v>1</v>
      </c>
      <c r="AY11" s="83">
        <v>1</v>
      </c>
      <c r="AZ11" s="83">
        <v>1</v>
      </c>
      <c r="BA11" s="83">
        <v>1</v>
      </c>
      <c r="BB11" s="83">
        <v>1</v>
      </c>
      <c r="BC11" s="83">
        <v>1</v>
      </c>
      <c r="BD11" s="83">
        <v>1</v>
      </c>
      <c r="BE11" s="83">
        <v>1</v>
      </c>
      <c r="BF11" s="83">
        <v>1</v>
      </c>
      <c r="BG11" s="83">
        <v>1</v>
      </c>
      <c r="BH11" s="83">
        <v>1</v>
      </c>
      <c r="BI11" s="83">
        <v>1</v>
      </c>
      <c r="BJ11" s="83">
        <v>1</v>
      </c>
      <c r="BK11" s="83">
        <v>1</v>
      </c>
      <c r="BL11" s="83">
        <v>1</v>
      </c>
      <c r="BM11" s="83">
        <v>1</v>
      </c>
      <c r="BN11" s="83">
        <v>1</v>
      </c>
      <c r="BO11" s="83">
        <v>1</v>
      </c>
      <c r="BP11" s="83">
        <v>1</v>
      </c>
      <c r="BQ11" s="83">
        <v>1</v>
      </c>
      <c r="BR11" s="83">
        <v>1</v>
      </c>
      <c r="BS11" s="83">
        <v>1</v>
      </c>
      <c r="BT11" s="83">
        <v>1</v>
      </c>
      <c r="BU11" s="83">
        <v>1</v>
      </c>
      <c r="BV11" s="83">
        <v>1</v>
      </c>
      <c r="BW11" s="83">
        <v>1</v>
      </c>
      <c r="BX11" s="83">
        <v>1</v>
      </c>
      <c r="BY11" s="83">
        <v>1</v>
      </c>
      <c r="BZ11" s="83">
        <v>1</v>
      </c>
      <c r="CA11" s="83">
        <v>1</v>
      </c>
      <c r="CB11" s="83">
        <v>1</v>
      </c>
      <c r="CC11" s="83">
        <v>1</v>
      </c>
    </row>
    <row r="12" spans="1:96" ht="18" x14ac:dyDescent="0.55000000000000004">
      <c r="A12" s="198"/>
      <c r="B12" s="158" t="s">
        <v>276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</row>
    <row r="13" spans="1:96" s="144" customFormat="1" ht="18" x14ac:dyDescent="0.55000000000000004">
      <c r="A13" s="199"/>
      <c r="B13" s="159" t="s">
        <v>277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>
        <v>4</v>
      </c>
      <c r="Z13" s="145">
        <v>4</v>
      </c>
      <c r="AA13" s="145">
        <v>4</v>
      </c>
      <c r="AB13" s="145">
        <v>4</v>
      </c>
      <c r="AC13" s="145">
        <v>4</v>
      </c>
      <c r="AD13" s="145">
        <v>4</v>
      </c>
      <c r="AE13" s="145">
        <v>4</v>
      </c>
      <c r="AF13" s="145">
        <v>4</v>
      </c>
      <c r="AG13" s="145">
        <v>4</v>
      </c>
      <c r="AH13" s="145">
        <v>4</v>
      </c>
      <c r="AI13" s="145">
        <v>4</v>
      </c>
      <c r="AJ13" s="145">
        <v>4</v>
      </c>
      <c r="AK13" s="145">
        <v>4</v>
      </c>
      <c r="AL13" s="145">
        <v>4</v>
      </c>
      <c r="AM13" s="145">
        <v>4</v>
      </c>
      <c r="AN13" s="145">
        <v>4</v>
      </c>
      <c r="AO13" s="145">
        <v>4</v>
      </c>
      <c r="AP13" s="145">
        <v>4</v>
      </c>
      <c r="AQ13" s="145">
        <v>4</v>
      </c>
      <c r="AR13" s="145">
        <v>4</v>
      </c>
      <c r="AS13" s="145">
        <v>4</v>
      </c>
      <c r="AT13" s="145">
        <v>4</v>
      </c>
      <c r="AU13" s="145">
        <v>4</v>
      </c>
      <c r="AV13" s="145">
        <v>4</v>
      </c>
      <c r="AW13" s="145">
        <v>4</v>
      </c>
      <c r="AX13" s="145">
        <v>4</v>
      </c>
      <c r="AY13" s="145">
        <v>4</v>
      </c>
      <c r="AZ13" s="145">
        <v>4</v>
      </c>
      <c r="BA13" s="145">
        <v>4</v>
      </c>
      <c r="BB13" s="145">
        <v>4</v>
      </c>
      <c r="BC13" s="145">
        <v>4</v>
      </c>
      <c r="BD13" s="145">
        <v>4</v>
      </c>
      <c r="BE13" s="145">
        <v>4</v>
      </c>
      <c r="BF13" s="145">
        <v>4</v>
      </c>
      <c r="BG13" s="145">
        <v>4</v>
      </c>
      <c r="BH13" s="145">
        <v>4</v>
      </c>
      <c r="BI13" s="145">
        <v>4</v>
      </c>
      <c r="BJ13" s="145">
        <v>4</v>
      </c>
      <c r="BK13" s="145">
        <v>4</v>
      </c>
      <c r="BL13" s="145">
        <v>4</v>
      </c>
      <c r="BM13" s="145">
        <v>4</v>
      </c>
      <c r="BN13" s="145">
        <v>4</v>
      </c>
      <c r="BO13" s="145">
        <v>4</v>
      </c>
      <c r="BP13" s="145">
        <v>4</v>
      </c>
      <c r="BQ13" s="145">
        <v>4</v>
      </c>
      <c r="BR13" s="145">
        <v>4</v>
      </c>
      <c r="BS13" s="145">
        <v>4</v>
      </c>
      <c r="BT13" s="145">
        <v>4</v>
      </c>
      <c r="BU13" s="145">
        <v>4</v>
      </c>
      <c r="BV13" s="145">
        <v>4</v>
      </c>
      <c r="BW13" s="145">
        <v>4</v>
      </c>
      <c r="BX13" s="145">
        <v>4</v>
      </c>
      <c r="BY13" s="145">
        <v>4</v>
      </c>
      <c r="BZ13" s="145">
        <v>4</v>
      </c>
      <c r="CA13" s="145">
        <v>4</v>
      </c>
      <c r="CB13" s="145">
        <v>4</v>
      </c>
      <c r="CC13" s="145">
        <v>4</v>
      </c>
    </row>
    <row r="14" spans="1:96" s="37" customFormat="1" ht="18" x14ac:dyDescent="0.55000000000000004">
      <c r="A14" s="197" t="s">
        <v>359</v>
      </c>
      <c r="B14" s="157" t="s">
        <v>358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7">
        <f t="shared" ref="Y14:BD14" si="87">Y11*$A$67+Y12*$A$68+Y13*$A$69</f>
        <v>100</v>
      </c>
      <c r="Z14" s="37">
        <f t="shared" si="87"/>
        <v>100</v>
      </c>
      <c r="AA14" s="37">
        <f t="shared" si="87"/>
        <v>100</v>
      </c>
      <c r="AB14" s="37">
        <f t="shared" si="87"/>
        <v>100</v>
      </c>
      <c r="AC14" s="37">
        <f t="shared" si="87"/>
        <v>100</v>
      </c>
      <c r="AD14" s="37">
        <f t="shared" si="87"/>
        <v>100</v>
      </c>
      <c r="AE14" s="37">
        <f t="shared" si="87"/>
        <v>100</v>
      </c>
      <c r="AF14" s="37">
        <f t="shared" si="87"/>
        <v>100</v>
      </c>
      <c r="AG14" s="37">
        <f t="shared" si="87"/>
        <v>100</v>
      </c>
      <c r="AH14" s="37">
        <f t="shared" si="87"/>
        <v>250</v>
      </c>
      <c r="AI14" s="37">
        <f t="shared" si="87"/>
        <v>250</v>
      </c>
      <c r="AJ14" s="37">
        <f t="shared" si="87"/>
        <v>250</v>
      </c>
      <c r="AK14" s="37">
        <f t="shared" si="87"/>
        <v>250</v>
      </c>
      <c r="AL14" s="37">
        <f t="shared" si="87"/>
        <v>250</v>
      </c>
      <c r="AM14" s="37">
        <f t="shared" si="87"/>
        <v>250</v>
      </c>
      <c r="AN14" s="37">
        <f t="shared" si="87"/>
        <v>250</v>
      </c>
      <c r="AO14" s="37">
        <f t="shared" si="87"/>
        <v>250</v>
      </c>
      <c r="AP14" s="37">
        <f t="shared" si="87"/>
        <v>250</v>
      </c>
      <c r="AQ14" s="37">
        <f t="shared" si="87"/>
        <v>250</v>
      </c>
      <c r="AR14" s="37">
        <f t="shared" si="87"/>
        <v>250</v>
      </c>
      <c r="AS14" s="37">
        <f t="shared" si="87"/>
        <v>250</v>
      </c>
      <c r="AT14" s="37">
        <f t="shared" si="87"/>
        <v>250</v>
      </c>
      <c r="AU14" s="37">
        <f t="shared" si="87"/>
        <v>250</v>
      </c>
      <c r="AV14" s="37">
        <f t="shared" si="87"/>
        <v>250</v>
      </c>
      <c r="AW14" s="37">
        <f t="shared" si="87"/>
        <v>250</v>
      </c>
      <c r="AX14" s="37">
        <f t="shared" si="87"/>
        <v>250</v>
      </c>
      <c r="AY14" s="37">
        <f t="shared" si="87"/>
        <v>250</v>
      </c>
      <c r="AZ14" s="37">
        <f t="shared" si="87"/>
        <v>250</v>
      </c>
      <c r="BA14" s="37">
        <f t="shared" si="87"/>
        <v>250</v>
      </c>
      <c r="BB14" s="37">
        <f t="shared" si="87"/>
        <v>250</v>
      </c>
      <c r="BC14" s="37">
        <f t="shared" si="87"/>
        <v>250</v>
      </c>
      <c r="BD14" s="37">
        <f t="shared" si="87"/>
        <v>250</v>
      </c>
      <c r="BE14" s="37">
        <f t="shared" ref="BE14:BW14" si="88">BE11*$A$67+BE12*$A$68+BE13*$A$69</f>
        <v>250</v>
      </c>
      <c r="BF14" s="37">
        <f t="shared" si="88"/>
        <v>250</v>
      </c>
      <c r="BG14" s="37">
        <f t="shared" si="88"/>
        <v>250</v>
      </c>
      <c r="BH14" s="37">
        <f t="shared" si="88"/>
        <v>250</v>
      </c>
      <c r="BI14" s="37">
        <f t="shared" si="88"/>
        <v>250</v>
      </c>
      <c r="BJ14" s="37">
        <f t="shared" si="88"/>
        <v>250</v>
      </c>
      <c r="BK14" s="37">
        <f t="shared" si="88"/>
        <v>250</v>
      </c>
      <c r="BL14" s="37">
        <f t="shared" si="88"/>
        <v>250</v>
      </c>
      <c r="BM14" s="37">
        <f t="shared" si="88"/>
        <v>250</v>
      </c>
      <c r="BN14" s="37">
        <f t="shared" si="88"/>
        <v>250</v>
      </c>
      <c r="BO14" s="37">
        <f t="shared" si="88"/>
        <v>250</v>
      </c>
      <c r="BP14" s="37">
        <f t="shared" si="88"/>
        <v>250</v>
      </c>
      <c r="BQ14" s="37">
        <f t="shared" si="88"/>
        <v>250</v>
      </c>
      <c r="BR14" s="37">
        <f t="shared" si="88"/>
        <v>250</v>
      </c>
      <c r="BS14" s="37">
        <f t="shared" si="88"/>
        <v>250</v>
      </c>
      <c r="BT14" s="37">
        <f t="shared" si="88"/>
        <v>250</v>
      </c>
      <c r="BU14" s="37">
        <f t="shared" si="88"/>
        <v>250</v>
      </c>
      <c r="BV14" s="37">
        <f t="shared" si="88"/>
        <v>250</v>
      </c>
      <c r="BW14" s="37">
        <f t="shared" si="88"/>
        <v>250</v>
      </c>
      <c r="BX14" s="37">
        <f t="shared" ref="BX14:BZ14" si="89">BX11*$A$67+BX12*$A$68+BX13*$A$69</f>
        <v>250</v>
      </c>
      <c r="BY14" s="37">
        <f t="shared" si="89"/>
        <v>250</v>
      </c>
      <c r="BZ14" s="37">
        <f t="shared" si="89"/>
        <v>250</v>
      </c>
      <c r="CA14" s="37">
        <f t="shared" ref="CA14:CC14" si="90">CA11*$A$67+CA12*$A$68+CA13*$A$69</f>
        <v>250</v>
      </c>
      <c r="CB14" s="37">
        <f t="shared" si="90"/>
        <v>250</v>
      </c>
      <c r="CC14" s="37">
        <f t="shared" si="90"/>
        <v>250</v>
      </c>
    </row>
    <row r="15" spans="1:96" s="37" customFormat="1" x14ac:dyDescent="0.45">
      <c r="A15" s="160"/>
      <c r="B15" s="158" t="s">
        <v>360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7">
        <v>450</v>
      </c>
      <c r="Z15" s="37">
        <f>Y15-5</f>
        <v>445</v>
      </c>
      <c r="AA15" s="37">
        <f t="shared" ref="AA15:AJ15" si="91">Z15-5</f>
        <v>440</v>
      </c>
      <c r="AB15" s="37">
        <f t="shared" si="91"/>
        <v>435</v>
      </c>
      <c r="AC15" s="37">
        <f t="shared" si="91"/>
        <v>430</v>
      </c>
      <c r="AD15" s="37">
        <f t="shared" si="91"/>
        <v>425</v>
      </c>
      <c r="AE15" s="37">
        <f t="shared" si="91"/>
        <v>420</v>
      </c>
      <c r="AF15" s="37">
        <f t="shared" si="91"/>
        <v>415</v>
      </c>
      <c r="AG15" s="37">
        <f t="shared" si="91"/>
        <v>410</v>
      </c>
      <c r="AH15" s="37">
        <f t="shared" si="91"/>
        <v>405</v>
      </c>
      <c r="AI15" s="37">
        <f t="shared" si="91"/>
        <v>400</v>
      </c>
      <c r="AJ15" s="37">
        <f t="shared" si="91"/>
        <v>395</v>
      </c>
      <c r="AK15" s="37">
        <f t="shared" ref="AK15" si="92">AJ15-5</f>
        <v>390</v>
      </c>
      <c r="AL15" s="37">
        <f t="shared" ref="AL15" si="93">AK15-5</f>
        <v>385</v>
      </c>
      <c r="AM15" s="37">
        <f t="shared" ref="AM15" si="94">AL15-5</f>
        <v>380</v>
      </c>
      <c r="AN15" s="37">
        <f t="shared" ref="AN15" si="95">AM15-5</f>
        <v>375</v>
      </c>
      <c r="AO15" s="37">
        <f t="shared" ref="AO15" si="96">AN15-5</f>
        <v>370</v>
      </c>
      <c r="AP15" s="37">
        <f t="shared" ref="AP15" si="97">AO15-5</f>
        <v>365</v>
      </c>
      <c r="AQ15" s="37">
        <f t="shared" ref="AQ15" si="98">AP15-5</f>
        <v>360</v>
      </c>
      <c r="AR15" s="37">
        <f t="shared" ref="AR15" si="99">AQ15-5</f>
        <v>355</v>
      </c>
      <c r="AS15" s="37">
        <f t="shared" ref="AS15" si="100">AR15-5</f>
        <v>350</v>
      </c>
      <c r="AT15" s="37">
        <f t="shared" ref="AT15" si="101">AS15-5</f>
        <v>345</v>
      </c>
      <c r="AU15" s="37">
        <f t="shared" ref="AU15" si="102">AT15-5</f>
        <v>340</v>
      </c>
      <c r="AV15" s="37">
        <f t="shared" ref="AV15" si="103">AU15-5</f>
        <v>335</v>
      </c>
      <c r="AW15" s="37">
        <f t="shared" ref="AW15" si="104">AV15-5</f>
        <v>330</v>
      </c>
      <c r="AX15" s="37">
        <f t="shared" ref="AX15" si="105">AW15-5</f>
        <v>325</v>
      </c>
      <c r="AY15" s="37">
        <f t="shared" ref="AY15" si="106">AX15-5</f>
        <v>320</v>
      </c>
      <c r="AZ15" s="37">
        <f t="shared" ref="AZ15" si="107">AY15-5</f>
        <v>315</v>
      </c>
      <c r="BA15" s="37">
        <f t="shared" ref="BA15" si="108">AZ15-5</f>
        <v>310</v>
      </c>
      <c r="BB15" s="37">
        <f t="shared" ref="BB15" si="109">BA15-5</f>
        <v>305</v>
      </c>
      <c r="BC15" s="37">
        <f t="shared" ref="BC15" si="110">BB15-5</f>
        <v>300</v>
      </c>
      <c r="BD15" s="37">
        <f t="shared" ref="BD15" si="111">BC15-5</f>
        <v>295</v>
      </c>
      <c r="BE15" s="37">
        <f t="shared" ref="BE15" si="112">BD15-5</f>
        <v>290</v>
      </c>
      <c r="BF15" s="37">
        <f t="shared" ref="BF15" si="113">BE15-5</f>
        <v>285</v>
      </c>
      <c r="BG15" s="37">
        <f t="shared" ref="BG15" si="114">BF15-5</f>
        <v>280</v>
      </c>
      <c r="BH15" s="37">
        <f t="shared" ref="BH15" si="115">BG15-5</f>
        <v>275</v>
      </c>
      <c r="BI15" s="37">
        <f t="shared" ref="BI15" si="116">BH15-5</f>
        <v>270</v>
      </c>
      <c r="BJ15" s="37">
        <f t="shared" ref="BJ15" si="117">BI15-5</f>
        <v>265</v>
      </c>
      <c r="BK15" s="37">
        <f t="shared" ref="BK15" si="118">BJ15-5</f>
        <v>260</v>
      </c>
      <c r="BL15" s="37">
        <f t="shared" ref="BL15" si="119">BK15-5</f>
        <v>255</v>
      </c>
      <c r="BM15" s="37">
        <f t="shared" ref="BM15" si="120">BL15-5</f>
        <v>250</v>
      </c>
      <c r="BN15" s="37">
        <f t="shared" ref="BN15" si="121">BM15-5</f>
        <v>245</v>
      </c>
      <c r="BO15" s="37">
        <f t="shared" ref="BO15" si="122">BN15-5</f>
        <v>240</v>
      </c>
      <c r="BP15" s="37">
        <f t="shared" ref="BP15" si="123">BO15-5</f>
        <v>235</v>
      </c>
      <c r="BQ15" s="37">
        <f t="shared" ref="BQ15" si="124">BP15-5</f>
        <v>230</v>
      </c>
      <c r="BR15" s="37">
        <f t="shared" ref="BR15" si="125">BQ15-5</f>
        <v>225</v>
      </c>
      <c r="BS15" s="37">
        <f t="shared" ref="BS15" si="126">BR15-5</f>
        <v>220</v>
      </c>
      <c r="BT15" s="37">
        <f t="shared" ref="BT15" si="127">BS15-5</f>
        <v>215</v>
      </c>
      <c r="BU15" s="37">
        <f t="shared" ref="BU15" si="128">BT15-5</f>
        <v>210</v>
      </c>
      <c r="BV15" s="37">
        <f t="shared" ref="BV15" si="129">BU15-5</f>
        <v>205</v>
      </c>
      <c r="BW15" s="37">
        <f t="shared" ref="BW15" si="130">BV15-5</f>
        <v>200</v>
      </c>
      <c r="BX15" s="37">
        <f t="shared" ref="BX15" si="131">BW15-5</f>
        <v>195</v>
      </c>
      <c r="BY15" s="37">
        <f t="shared" ref="BY15" si="132">BX15-5</f>
        <v>190</v>
      </c>
      <c r="BZ15" s="37">
        <f t="shared" ref="BZ15" si="133">BY15-5</f>
        <v>185</v>
      </c>
      <c r="CA15" s="37">
        <f t="shared" ref="CA15" si="134">BZ15-5</f>
        <v>180</v>
      </c>
      <c r="CB15" s="37">
        <f t="shared" ref="CB15:CC15" si="135">CA15-5</f>
        <v>175</v>
      </c>
      <c r="CC15" s="37">
        <f t="shared" si="135"/>
        <v>170</v>
      </c>
    </row>
    <row r="16" spans="1:96" s="37" customFormat="1" x14ac:dyDescent="0.45">
      <c r="A16" s="160"/>
      <c r="B16" s="158" t="s">
        <v>287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7">
        <f t="shared" ref="Y16:AM16" si="136">-(20*Y13+50*Y12+100*Y11)</f>
        <v>-80</v>
      </c>
      <c r="Z16" s="37">
        <f t="shared" si="136"/>
        <v>-80</v>
      </c>
      <c r="AA16" s="37">
        <f t="shared" si="136"/>
        <v>-80</v>
      </c>
      <c r="AB16" s="37">
        <f t="shared" si="136"/>
        <v>-80</v>
      </c>
      <c r="AC16" s="37">
        <f t="shared" si="136"/>
        <v>-80</v>
      </c>
      <c r="AD16" s="37">
        <f t="shared" si="136"/>
        <v>-80</v>
      </c>
      <c r="AE16" s="37">
        <f t="shared" si="136"/>
        <v>-80</v>
      </c>
      <c r="AF16" s="37">
        <f t="shared" si="136"/>
        <v>-80</v>
      </c>
      <c r="AG16" s="37">
        <f t="shared" si="136"/>
        <v>-80</v>
      </c>
      <c r="AH16" s="37">
        <f t="shared" si="136"/>
        <v>-180</v>
      </c>
      <c r="AI16" s="37">
        <f t="shared" si="136"/>
        <v>-180</v>
      </c>
      <c r="AJ16" s="37">
        <f t="shared" si="136"/>
        <v>-180</v>
      </c>
      <c r="AK16" s="37">
        <f t="shared" si="136"/>
        <v>-180</v>
      </c>
      <c r="AL16" s="37">
        <f t="shared" si="136"/>
        <v>-180</v>
      </c>
      <c r="AM16" s="37">
        <f t="shared" si="136"/>
        <v>-180</v>
      </c>
      <c r="AN16" s="37">
        <f t="shared" ref="AN16:AP16" si="137">-(20*AN13+50*AN12+100*AN11)</f>
        <v>-180</v>
      </c>
      <c r="AO16" s="37">
        <f t="shared" si="137"/>
        <v>-180</v>
      </c>
      <c r="AP16" s="37">
        <f t="shared" si="137"/>
        <v>-180</v>
      </c>
      <c r="AQ16" s="37">
        <f t="shared" ref="AQ16:BW16" si="138">-(20*AQ13+50*AQ12+100*AQ11)</f>
        <v>-180</v>
      </c>
      <c r="AR16" s="37">
        <f t="shared" si="138"/>
        <v>-180</v>
      </c>
      <c r="AS16" s="37">
        <f t="shared" si="138"/>
        <v>-180</v>
      </c>
      <c r="AT16" s="37">
        <f t="shared" si="138"/>
        <v>-180</v>
      </c>
      <c r="AU16" s="37">
        <f t="shared" si="138"/>
        <v>-180</v>
      </c>
      <c r="AV16" s="37">
        <f t="shared" si="138"/>
        <v>-180</v>
      </c>
      <c r="AW16" s="37">
        <f t="shared" si="138"/>
        <v>-180</v>
      </c>
      <c r="AX16" s="37">
        <f t="shared" si="138"/>
        <v>-180</v>
      </c>
      <c r="AY16" s="37">
        <f t="shared" si="138"/>
        <v>-180</v>
      </c>
      <c r="AZ16" s="37">
        <f t="shared" si="138"/>
        <v>-180</v>
      </c>
      <c r="BA16" s="37">
        <f t="shared" si="138"/>
        <v>-180</v>
      </c>
      <c r="BB16" s="37">
        <f t="shared" si="138"/>
        <v>-180</v>
      </c>
      <c r="BC16" s="37">
        <f t="shared" si="138"/>
        <v>-180</v>
      </c>
      <c r="BD16" s="37">
        <f t="shared" si="138"/>
        <v>-180</v>
      </c>
      <c r="BE16" s="37">
        <f t="shared" si="138"/>
        <v>-180</v>
      </c>
      <c r="BF16" s="37">
        <f t="shared" si="138"/>
        <v>-180</v>
      </c>
      <c r="BG16" s="37">
        <f t="shared" si="138"/>
        <v>-180</v>
      </c>
      <c r="BH16" s="37">
        <f t="shared" si="138"/>
        <v>-180</v>
      </c>
      <c r="BI16" s="37">
        <f t="shared" si="138"/>
        <v>-180</v>
      </c>
      <c r="BJ16" s="37">
        <f t="shared" si="138"/>
        <v>-180</v>
      </c>
      <c r="BK16" s="37">
        <f t="shared" si="138"/>
        <v>-180</v>
      </c>
      <c r="BL16" s="37">
        <f t="shared" si="138"/>
        <v>-180</v>
      </c>
      <c r="BM16" s="37">
        <f t="shared" si="138"/>
        <v>-180</v>
      </c>
      <c r="BN16" s="37">
        <f t="shared" si="138"/>
        <v>-180</v>
      </c>
      <c r="BO16" s="37">
        <f t="shared" si="138"/>
        <v>-180</v>
      </c>
      <c r="BP16" s="37">
        <f t="shared" si="138"/>
        <v>-180</v>
      </c>
      <c r="BQ16" s="37">
        <f t="shared" si="138"/>
        <v>-180</v>
      </c>
      <c r="BR16" s="37">
        <f t="shared" si="138"/>
        <v>-180</v>
      </c>
      <c r="BS16" s="37">
        <f t="shared" si="138"/>
        <v>-180</v>
      </c>
      <c r="BT16" s="37">
        <f t="shared" si="138"/>
        <v>-180</v>
      </c>
      <c r="BU16" s="37">
        <f t="shared" si="138"/>
        <v>-180</v>
      </c>
      <c r="BV16" s="37">
        <f t="shared" si="138"/>
        <v>-180</v>
      </c>
      <c r="BW16" s="37">
        <f t="shared" si="138"/>
        <v>-180</v>
      </c>
      <c r="BX16" s="37">
        <f t="shared" ref="BX16:BZ16" si="139">-(20*BX13+50*BX12+100*BX11)</f>
        <v>-180</v>
      </c>
      <c r="BY16" s="37">
        <f t="shared" si="139"/>
        <v>-180</v>
      </c>
      <c r="BZ16" s="37">
        <f t="shared" si="139"/>
        <v>-180</v>
      </c>
      <c r="CA16" s="37">
        <f t="shared" ref="CA16:CC16" si="140">-(20*CA13+50*CA12+100*CA11)</f>
        <v>-180</v>
      </c>
      <c r="CB16" s="37">
        <f t="shared" si="140"/>
        <v>-180</v>
      </c>
      <c r="CC16" s="37">
        <f t="shared" si="140"/>
        <v>-180</v>
      </c>
    </row>
    <row r="17" spans="1:81" s="37" customFormat="1" x14ac:dyDescent="0.45">
      <c r="A17" s="160"/>
      <c r="B17" s="158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 t="s">
        <v>375</v>
      </c>
      <c r="AI17" s="36"/>
      <c r="AJ17" s="36"/>
      <c r="AK17" s="36" t="s">
        <v>375</v>
      </c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</row>
    <row r="18" spans="1:81" s="37" customFormat="1" x14ac:dyDescent="0.45">
      <c r="A18" s="160"/>
      <c r="B18" s="158" t="s">
        <v>377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7">
        <f>-AH39</f>
        <v>0</v>
      </c>
      <c r="AI18" s="36"/>
      <c r="AJ18" s="36"/>
      <c r="AK18" s="37">
        <f>-1000</f>
        <v>-1000</v>
      </c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</row>
    <row r="19" spans="1:81" s="201" customFormat="1" ht="14.65" thickBot="1" x14ac:dyDescent="0.5">
      <c r="A19" s="211"/>
      <c r="B19" s="212" t="s">
        <v>390</v>
      </c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>
        <v>0</v>
      </c>
      <c r="Y19" s="213">
        <f>X19+SUM(Y14:Y18)</f>
        <v>470</v>
      </c>
      <c r="Z19" s="213">
        <f t="shared" ref="Z19:AM19" si="141">Y19+SUM(Z14:Z18)</f>
        <v>935</v>
      </c>
      <c r="AA19" s="213">
        <f t="shared" si="141"/>
        <v>1395</v>
      </c>
      <c r="AB19" s="213">
        <f t="shared" si="141"/>
        <v>1850</v>
      </c>
      <c r="AC19" s="213">
        <f t="shared" si="141"/>
        <v>2300</v>
      </c>
      <c r="AD19" s="213">
        <f t="shared" si="141"/>
        <v>2745</v>
      </c>
      <c r="AE19" s="213">
        <f t="shared" si="141"/>
        <v>3185</v>
      </c>
      <c r="AF19" s="213">
        <f t="shared" si="141"/>
        <v>3620</v>
      </c>
      <c r="AG19" s="213">
        <f t="shared" si="141"/>
        <v>4050</v>
      </c>
      <c r="AH19" s="213">
        <f t="shared" si="141"/>
        <v>4525</v>
      </c>
      <c r="AI19" s="213">
        <f t="shared" si="141"/>
        <v>4995</v>
      </c>
      <c r="AJ19" s="213">
        <f t="shared" si="141"/>
        <v>5460</v>
      </c>
      <c r="AK19" s="213">
        <f t="shared" si="141"/>
        <v>4920</v>
      </c>
      <c r="AL19" s="213">
        <f t="shared" si="141"/>
        <v>5375</v>
      </c>
      <c r="AM19" s="213">
        <f t="shared" si="141"/>
        <v>5825</v>
      </c>
      <c r="AN19" s="213">
        <f t="shared" ref="AN19" si="142">AM19+SUM(AN14:AN18)</f>
        <v>6270</v>
      </c>
      <c r="AO19" s="213">
        <f t="shared" ref="AO19" si="143">AN19+SUM(AO14:AO18)</f>
        <v>6710</v>
      </c>
      <c r="AP19" s="213">
        <f t="shared" ref="AP19" si="144">AO19+SUM(AP14:AP18)</f>
        <v>7145</v>
      </c>
      <c r="AQ19" s="213">
        <f t="shared" ref="AQ19" si="145">AP19+SUM(AQ14:AQ18)</f>
        <v>7575</v>
      </c>
      <c r="AR19" s="213">
        <f t="shared" ref="AR19" si="146">AQ19+SUM(AR14:AR18)</f>
        <v>8000</v>
      </c>
      <c r="AS19" s="213">
        <f t="shared" ref="AS19" si="147">AR19+SUM(AS14:AS18)</f>
        <v>8420</v>
      </c>
      <c r="AT19" s="213">
        <f t="shared" ref="AT19" si="148">AS19+SUM(AT14:AT18)</f>
        <v>8835</v>
      </c>
      <c r="AU19" s="213">
        <f t="shared" ref="AU19" si="149">AT19+SUM(AU14:AU18)</f>
        <v>9245</v>
      </c>
      <c r="AV19" s="213">
        <f t="shared" ref="AV19" si="150">AU19+SUM(AV14:AV18)</f>
        <v>9650</v>
      </c>
      <c r="AW19" s="213">
        <f t="shared" ref="AW19" si="151">AV19+SUM(AW14:AW18)</f>
        <v>10050</v>
      </c>
      <c r="AX19" s="213">
        <f t="shared" ref="AX19" si="152">AW19+SUM(AX14:AX18)</f>
        <v>10445</v>
      </c>
      <c r="AY19" s="213">
        <f t="shared" ref="AY19" si="153">AX19+SUM(AY14:AY18)</f>
        <v>10835</v>
      </c>
      <c r="AZ19" s="213">
        <f t="shared" ref="AZ19" si="154">AY19+SUM(AZ14:AZ18)</f>
        <v>11220</v>
      </c>
      <c r="BA19" s="213">
        <f t="shared" ref="BA19" si="155">AZ19+SUM(BA14:BA18)</f>
        <v>11600</v>
      </c>
      <c r="BB19" s="213">
        <f t="shared" ref="BB19" si="156">BA19+SUM(BB14:BB18)</f>
        <v>11975</v>
      </c>
      <c r="BC19" s="213">
        <f t="shared" ref="BC19" si="157">BB19+SUM(BC14:BC18)</f>
        <v>12345</v>
      </c>
      <c r="BD19" s="213">
        <f t="shared" ref="BD19" si="158">BC19+SUM(BD14:BD18)</f>
        <v>12710</v>
      </c>
      <c r="BE19" s="213">
        <f t="shared" ref="BE19" si="159">BD19+SUM(BE14:BE18)</f>
        <v>13070</v>
      </c>
      <c r="BF19" s="213">
        <f t="shared" ref="BF19" si="160">BE19+SUM(BF14:BF18)</f>
        <v>13425</v>
      </c>
      <c r="BG19" s="213">
        <f t="shared" ref="BG19" si="161">BF19+SUM(BG14:BG18)</f>
        <v>13775</v>
      </c>
      <c r="BH19" s="213">
        <f t="shared" ref="BH19" si="162">BG19+SUM(BH14:BH18)</f>
        <v>14120</v>
      </c>
      <c r="BI19" s="213">
        <f t="shared" ref="BI19" si="163">BH19+SUM(BI14:BI18)</f>
        <v>14460</v>
      </c>
      <c r="BJ19" s="213">
        <f t="shared" ref="BJ19" si="164">BI19+SUM(BJ14:BJ18)</f>
        <v>14795</v>
      </c>
      <c r="BK19" s="213">
        <f t="shared" ref="BK19" si="165">BJ19+SUM(BK14:BK18)</f>
        <v>15125</v>
      </c>
      <c r="BL19" s="213">
        <f t="shared" ref="BL19" si="166">BK19+SUM(BL14:BL18)</f>
        <v>15450</v>
      </c>
      <c r="BM19" s="213">
        <f t="shared" ref="BM19" si="167">BL19+SUM(BM14:BM18)</f>
        <v>15770</v>
      </c>
      <c r="BN19" s="213">
        <f t="shared" ref="BN19" si="168">BM19+SUM(BN14:BN18)</f>
        <v>16085</v>
      </c>
      <c r="BO19" s="213">
        <f t="shared" ref="BO19" si="169">BN19+SUM(BO14:BO18)</f>
        <v>16395</v>
      </c>
      <c r="BP19" s="213">
        <f t="shared" ref="BP19" si="170">BO19+SUM(BP14:BP18)</f>
        <v>16700</v>
      </c>
      <c r="BQ19" s="213">
        <f t="shared" ref="BQ19" si="171">BP19+SUM(BQ14:BQ18)</f>
        <v>17000</v>
      </c>
      <c r="BR19" s="213">
        <f t="shared" ref="BR19" si="172">BQ19+SUM(BR14:BR18)</f>
        <v>17295</v>
      </c>
      <c r="BS19" s="213">
        <f t="shared" ref="BS19" si="173">BR19+SUM(BS14:BS18)</f>
        <v>17585</v>
      </c>
      <c r="BT19" s="213">
        <f t="shared" ref="BT19" si="174">BS19+SUM(BT14:BT18)</f>
        <v>17870</v>
      </c>
      <c r="BU19" s="213">
        <f t="shared" ref="BU19" si="175">BT19+SUM(BU14:BU18)</f>
        <v>18150</v>
      </c>
      <c r="BV19" s="213">
        <f t="shared" ref="BV19" si="176">BU19+SUM(BV14:BV18)</f>
        <v>18425</v>
      </c>
      <c r="BW19" s="213">
        <f t="shared" ref="BW19" si="177">BV19+SUM(BW14:BW18)</f>
        <v>18695</v>
      </c>
      <c r="BX19" s="213">
        <f t="shared" ref="BX19" si="178">BW19+SUM(BX14:BX18)</f>
        <v>18960</v>
      </c>
      <c r="BY19" s="213">
        <f t="shared" ref="BY19" si="179">BX19+SUM(BY14:BY18)</f>
        <v>19220</v>
      </c>
      <c r="BZ19" s="213">
        <f t="shared" ref="BZ19" si="180">BY19+SUM(BZ14:BZ18)</f>
        <v>19475</v>
      </c>
      <c r="CA19" s="213">
        <f t="shared" ref="CA19" si="181">BZ19+SUM(CA14:CA18)</f>
        <v>19725</v>
      </c>
      <c r="CB19" s="213">
        <f t="shared" ref="CB19:CC19" si="182">CA19+SUM(CB14:CB18)</f>
        <v>19970</v>
      </c>
      <c r="CC19" s="213">
        <f t="shared" si="182"/>
        <v>20210</v>
      </c>
    </row>
    <row r="20" spans="1:81" s="209" customFormat="1" ht="15" thickTop="1" thickBot="1" x14ac:dyDescent="0.5">
      <c r="A20" s="206"/>
      <c r="B20" s="207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08"/>
      <c r="BA20" s="208"/>
      <c r="BB20" s="208"/>
      <c r="BC20" s="208"/>
      <c r="BD20" s="208"/>
      <c r="BE20" s="208"/>
      <c r="BF20" s="208"/>
      <c r="BG20" s="208"/>
      <c r="BH20" s="208"/>
      <c r="BI20" s="208"/>
      <c r="BJ20" s="208"/>
      <c r="BK20" s="208"/>
      <c r="BL20" s="208"/>
      <c r="BM20" s="208"/>
      <c r="BN20" s="208"/>
      <c r="BO20" s="208"/>
      <c r="BP20" s="208"/>
      <c r="BQ20" s="208"/>
      <c r="BR20" s="208"/>
      <c r="BS20" s="208"/>
      <c r="BT20" s="208"/>
      <c r="BU20" s="208"/>
      <c r="BV20" s="208"/>
      <c r="BW20" s="208"/>
      <c r="BX20" s="208"/>
      <c r="BY20" s="208"/>
      <c r="BZ20" s="208"/>
      <c r="CA20" s="208"/>
      <c r="CB20" s="208"/>
      <c r="CC20" s="208"/>
    </row>
    <row r="21" spans="1:81" ht="14.65" thickTop="1" x14ac:dyDescent="0.45">
      <c r="A21" s="184"/>
      <c r="B21" s="156" t="s">
        <v>95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</row>
    <row r="22" spans="1:81" s="144" customFormat="1" x14ac:dyDescent="0.45">
      <c r="A22" s="184"/>
      <c r="B22" s="156" t="s">
        <v>96</v>
      </c>
      <c r="D22" s="144">
        <v>0</v>
      </c>
      <c r="E22" s="144">
        <v>0</v>
      </c>
      <c r="F22" s="144">
        <v>0</v>
      </c>
      <c r="G22" s="144">
        <v>0</v>
      </c>
      <c r="H22" s="144">
        <v>0</v>
      </c>
      <c r="I22" s="144">
        <v>0</v>
      </c>
      <c r="J22" s="144">
        <v>0</v>
      </c>
      <c r="K22" s="144">
        <v>0</v>
      </c>
      <c r="L22" s="144">
        <v>0</v>
      </c>
      <c r="M22" s="144">
        <v>0</v>
      </c>
      <c r="N22" s="144">
        <v>0</v>
      </c>
      <c r="O22" s="144">
        <v>0</v>
      </c>
      <c r="P22" s="144">
        <v>0</v>
      </c>
      <c r="Q22" s="144">
        <v>0</v>
      </c>
      <c r="R22" s="144">
        <v>0</v>
      </c>
      <c r="S22" s="144">
        <v>0</v>
      </c>
      <c r="T22" s="144">
        <v>0</v>
      </c>
      <c r="U22" s="144">
        <v>0</v>
      </c>
      <c r="V22" s="144">
        <v>0</v>
      </c>
      <c r="W22" s="144">
        <v>0</v>
      </c>
      <c r="X22" s="144">
        <v>0</v>
      </c>
      <c r="Y22" s="144">
        <v>0</v>
      </c>
      <c r="Z22" s="144">
        <v>0</v>
      </c>
      <c r="AA22" s="144">
        <v>0</v>
      </c>
      <c r="AB22" s="144">
        <v>0</v>
      </c>
      <c r="AC22" s="144">
        <v>0</v>
      </c>
      <c r="AD22" s="144">
        <v>0</v>
      </c>
      <c r="AE22" s="144">
        <v>0</v>
      </c>
      <c r="AF22" s="144">
        <v>0</v>
      </c>
      <c r="AG22" s="144">
        <v>0</v>
      </c>
      <c r="AH22" s="144">
        <v>0</v>
      </c>
      <c r="AI22" s="144">
        <v>0</v>
      </c>
      <c r="AJ22" s="144">
        <v>0</v>
      </c>
      <c r="AK22" s="144">
        <v>0</v>
      </c>
      <c r="AL22" s="144">
        <v>0</v>
      </c>
      <c r="AM22" s="144">
        <v>0</v>
      </c>
      <c r="AN22" s="144">
        <v>0</v>
      </c>
      <c r="AO22" s="144">
        <v>0</v>
      </c>
      <c r="AP22" s="144">
        <v>0</v>
      </c>
      <c r="AQ22" s="144">
        <v>0</v>
      </c>
      <c r="AR22" s="144">
        <v>0</v>
      </c>
      <c r="AS22" s="144">
        <v>0</v>
      </c>
      <c r="AT22" s="144">
        <v>0</v>
      </c>
      <c r="AU22" s="144">
        <v>0</v>
      </c>
      <c r="AV22" s="144">
        <v>0</v>
      </c>
      <c r="AW22" s="144">
        <v>0</v>
      </c>
      <c r="AX22" s="144">
        <v>0</v>
      </c>
      <c r="AY22" s="144">
        <v>0</v>
      </c>
      <c r="AZ22" s="144">
        <v>0</v>
      </c>
      <c r="BA22" s="144">
        <v>0</v>
      </c>
      <c r="BB22" s="144">
        <v>0</v>
      </c>
      <c r="BC22" s="144">
        <v>0</v>
      </c>
      <c r="BD22" s="144">
        <v>0</v>
      </c>
      <c r="BE22" s="144">
        <v>0</v>
      </c>
      <c r="BF22" s="144">
        <v>0</v>
      </c>
      <c r="BG22" s="144">
        <v>0</v>
      </c>
      <c r="BH22" s="144">
        <v>0</v>
      </c>
      <c r="BI22" s="144">
        <v>0</v>
      </c>
      <c r="BJ22" s="144">
        <v>0</v>
      </c>
      <c r="BK22" s="144">
        <v>0</v>
      </c>
      <c r="BL22" s="144">
        <v>0</v>
      </c>
      <c r="BM22" s="144">
        <v>0</v>
      </c>
      <c r="BN22" s="144">
        <v>0</v>
      </c>
      <c r="BO22" s="144">
        <v>0</v>
      </c>
      <c r="BP22" s="144">
        <v>0</v>
      </c>
      <c r="BQ22" s="144">
        <v>0</v>
      </c>
      <c r="BR22" s="144">
        <v>0</v>
      </c>
      <c r="BS22" s="144">
        <v>0</v>
      </c>
      <c r="BT22" s="144">
        <v>0</v>
      </c>
      <c r="BU22" s="144">
        <v>0</v>
      </c>
      <c r="BV22" s="144">
        <v>0</v>
      </c>
      <c r="BW22" s="144">
        <v>0</v>
      </c>
      <c r="BX22" s="144">
        <v>0</v>
      </c>
      <c r="BY22" s="144">
        <v>0</v>
      </c>
      <c r="BZ22" s="144">
        <v>0</v>
      </c>
      <c r="CA22" s="144">
        <v>0</v>
      </c>
      <c r="CB22" s="144">
        <v>0</v>
      </c>
      <c r="CC22" s="144">
        <v>0</v>
      </c>
    </row>
    <row r="23" spans="1:81" s="37" customFormat="1" ht="18" x14ac:dyDescent="0.55000000000000004">
      <c r="A23" s="185" t="s">
        <v>371</v>
      </c>
      <c r="B23" s="161"/>
    </row>
    <row r="24" spans="1:81" s="37" customFormat="1" ht="18" x14ac:dyDescent="0.55000000000000004">
      <c r="A24" s="186"/>
      <c r="B24" s="162" t="s">
        <v>150</v>
      </c>
      <c r="D24" s="37">
        <f t="shared" ref="D24:AP24" si="183">$A$61</f>
        <v>180</v>
      </c>
      <c r="E24" s="37">
        <f t="shared" si="183"/>
        <v>180</v>
      </c>
      <c r="F24" s="37">
        <f t="shared" si="183"/>
        <v>180</v>
      </c>
      <c r="G24" s="37">
        <f t="shared" si="183"/>
        <v>180</v>
      </c>
      <c r="H24" s="37">
        <f t="shared" si="183"/>
        <v>180</v>
      </c>
      <c r="I24" s="37">
        <f t="shared" si="183"/>
        <v>180</v>
      </c>
      <c r="J24" s="37">
        <f t="shared" si="183"/>
        <v>180</v>
      </c>
      <c r="K24" s="37">
        <f t="shared" si="183"/>
        <v>180</v>
      </c>
      <c r="L24" s="37">
        <f t="shared" si="183"/>
        <v>180</v>
      </c>
      <c r="M24" s="37">
        <f t="shared" si="183"/>
        <v>180</v>
      </c>
      <c r="N24" s="37">
        <f t="shared" si="183"/>
        <v>180</v>
      </c>
      <c r="O24" s="37">
        <f t="shared" si="183"/>
        <v>180</v>
      </c>
      <c r="P24" s="37">
        <f t="shared" si="183"/>
        <v>180</v>
      </c>
      <c r="Q24" s="37">
        <f t="shared" si="183"/>
        <v>180</v>
      </c>
      <c r="R24" s="37">
        <f t="shared" si="183"/>
        <v>180</v>
      </c>
      <c r="S24" s="37">
        <f t="shared" si="183"/>
        <v>180</v>
      </c>
      <c r="T24" s="37">
        <f t="shared" si="183"/>
        <v>180</v>
      </c>
      <c r="U24" s="37">
        <f t="shared" si="183"/>
        <v>180</v>
      </c>
      <c r="V24" s="37">
        <f t="shared" si="183"/>
        <v>180</v>
      </c>
      <c r="W24" s="37">
        <f t="shared" si="183"/>
        <v>180</v>
      </c>
      <c r="X24" s="37">
        <f t="shared" si="183"/>
        <v>180</v>
      </c>
      <c r="Y24" s="37">
        <f t="shared" si="183"/>
        <v>180</v>
      </c>
      <c r="Z24" s="37">
        <f t="shared" si="183"/>
        <v>180</v>
      </c>
      <c r="AA24" s="37">
        <f t="shared" si="183"/>
        <v>180</v>
      </c>
      <c r="AB24" s="37">
        <f t="shared" si="183"/>
        <v>180</v>
      </c>
      <c r="AC24" s="37">
        <f t="shared" si="183"/>
        <v>180</v>
      </c>
      <c r="AD24" s="37">
        <f t="shared" si="183"/>
        <v>180</v>
      </c>
      <c r="AE24" s="37">
        <f t="shared" si="183"/>
        <v>180</v>
      </c>
      <c r="AF24" s="37">
        <f t="shared" si="183"/>
        <v>180</v>
      </c>
      <c r="AG24" s="37">
        <f t="shared" si="183"/>
        <v>180</v>
      </c>
      <c r="AH24" s="37">
        <f t="shared" si="183"/>
        <v>180</v>
      </c>
      <c r="AI24" s="37">
        <f t="shared" si="183"/>
        <v>180</v>
      </c>
      <c r="AJ24" s="37">
        <f t="shared" si="183"/>
        <v>180</v>
      </c>
      <c r="AK24" s="37">
        <f t="shared" si="183"/>
        <v>180</v>
      </c>
      <c r="AL24" s="37">
        <f t="shared" si="183"/>
        <v>180</v>
      </c>
      <c r="AM24" s="37">
        <f t="shared" si="183"/>
        <v>180</v>
      </c>
      <c r="AN24" s="37">
        <f t="shared" si="183"/>
        <v>180</v>
      </c>
      <c r="AO24" s="37">
        <f t="shared" si="183"/>
        <v>180</v>
      </c>
      <c r="AP24" s="37">
        <f t="shared" si="183"/>
        <v>180</v>
      </c>
    </row>
    <row r="25" spans="1:81" s="37" customFormat="1" ht="18" x14ac:dyDescent="0.55000000000000004">
      <c r="A25" s="186"/>
      <c r="B25" s="162" t="s">
        <v>149</v>
      </c>
    </row>
    <row r="26" spans="1:81" s="37" customFormat="1" ht="18" x14ac:dyDescent="0.55000000000000004">
      <c r="A26" s="186"/>
      <c r="B26" s="162" t="s">
        <v>423</v>
      </c>
      <c r="AQ26" s="37">
        <v>200</v>
      </c>
      <c r="AR26" s="37">
        <v>200</v>
      </c>
      <c r="AS26" s="37">
        <v>200</v>
      </c>
      <c r="AT26" s="37">
        <v>200</v>
      </c>
      <c r="AU26" s="37">
        <v>200</v>
      </c>
      <c r="AV26" s="37">
        <v>200</v>
      </c>
      <c r="AW26" s="37">
        <v>200</v>
      </c>
      <c r="AX26" s="37">
        <v>200</v>
      </c>
      <c r="AY26" s="37">
        <v>200</v>
      </c>
      <c r="AZ26" s="37">
        <v>200</v>
      </c>
      <c r="BA26" s="37">
        <v>200</v>
      </c>
      <c r="BB26" s="37">
        <v>200</v>
      </c>
      <c r="BC26" s="37">
        <v>200</v>
      </c>
      <c r="BD26" s="37">
        <v>200</v>
      </c>
      <c r="BE26" s="37">
        <v>200</v>
      </c>
      <c r="BF26" s="37">
        <v>200</v>
      </c>
      <c r="BG26" s="37">
        <v>200</v>
      </c>
      <c r="BH26" s="37">
        <v>200</v>
      </c>
      <c r="BI26" s="37">
        <v>200</v>
      </c>
      <c r="BJ26" s="37">
        <v>200</v>
      </c>
      <c r="BK26" s="37">
        <v>200</v>
      </c>
      <c r="BL26" s="37">
        <v>200</v>
      </c>
      <c r="BM26" s="37">
        <v>200</v>
      </c>
      <c r="BN26" s="37">
        <v>200</v>
      </c>
      <c r="BO26" s="37">
        <v>200</v>
      </c>
      <c r="BP26" s="37">
        <v>200</v>
      </c>
      <c r="BQ26" s="37">
        <v>200</v>
      </c>
      <c r="BR26" s="37">
        <v>200</v>
      </c>
      <c r="BS26" s="37">
        <v>200</v>
      </c>
      <c r="BT26" s="37">
        <v>200</v>
      </c>
      <c r="BU26" s="37">
        <v>200</v>
      </c>
      <c r="BV26" s="37">
        <v>200</v>
      </c>
      <c r="BW26" s="37">
        <v>200</v>
      </c>
      <c r="BX26" s="37">
        <v>1000</v>
      </c>
      <c r="BY26" s="37">
        <v>1000</v>
      </c>
      <c r="BZ26" s="37">
        <v>1000</v>
      </c>
      <c r="CA26" s="37">
        <v>1000</v>
      </c>
      <c r="CB26" s="37">
        <v>1000</v>
      </c>
      <c r="CC26" s="37">
        <v>1000</v>
      </c>
    </row>
    <row r="27" spans="1:81" ht="34.5" customHeight="1" x14ac:dyDescent="0.55000000000000004">
      <c r="A27" s="188" t="s">
        <v>373</v>
      </c>
      <c r="B27" s="161"/>
    </row>
    <row r="28" spans="1:81" ht="18" x14ac:dyDescent="0.55000000000000004">
      <c r="A28" s="186"/>
      <c r="B28" s="162" t="s">
        <v>171</v>
      </c>
      <c r="E28" s="24">
        <f t="shared" ref="E28:AG28" si="184">$A$62</f>
        <v>90</v>
      </c>
      <c r="F28" s="24">
        <f t="shared" si="184"/>
        <v>90</v>
      </c>
      <c r="G28" s="24">
        <f t="shared" si="184"/>
        <v>90</v>
      </c>
      <c r="H28" s="24">
        <f t="shared" si="184"/>
        <v>90</v>
      </c>
      <c r="I28" s="24">
        <f t="shared" si="184"/>
        <v>90</v>
      </c>
      <c r="J28" s="24">
        <f t="shared" si="184"/>
        <v>90</v>
      </c>
      <c r="K28" s="24">
        <f t="shared" si="184"/>
        <v>90</v>
      </c>
      <c r="L28" s="24">
        <f t="shared" si="184"/>
        <v>90</v>
      </c>
      <c r="M28" s="24">
        <f t="shared" si="184"/>
        <v>90</v>
      </c>
      <c r="N28" s="24">
        <f t="shared" si="184"/>
        <v>90</v>
      </c>
      <c r="O28" s="24">
        <f t="shared" si="184"/>
        <v>90</v>
      </c>
      <c r="P28" s="24">
        <f t="shared" si="184"/>
        <v>90</v>
      </c>
      <c r="Q28" s="24">
        <f t="shared" si="184"/>
        <v>90</v>
      </c>
      <c r="R28" s="24">
        <f t="shared" si="184"/>
        <v>90</v>
      </c>
      <c r="S28" s="24">
        <f t="shared" si="184"/>
        <v>90</v>
      </c>
      <c r="T28" s="24">
        <f t="shared" si="184"/>
        <v>90</v>
      </c>
      <c r="U28" s="24">
        <f t="shared" si="184"/>
        <v>90</v>
      </c>
      <c r="V28" s="24">
        <f t="shared" si="184"/>
        <v>90</v>
      </c>
      <c r="W28" s="24">
        <f t="shared" si="184"/>
        <v>90</v>
      </c>
      <c r="X28" s="24">
        <f t="shared" si="184"/>
        <v>90</v>
      </c>
      <c r="Y28" s="24">
        <f t="shared" si="184"/>
        <v>90</v>
      </c>
      <c r="Z28" s="24">
        <f t="shared" si="184"/>
        <v>90</v>
      </c>
      <c r="AA28" s="24">
        <f t="shared" si="184"/>
        <v>90</v>
      </c>
      <c r="AB28" s="24">
        <f t="shared" si="184"/>
        <v>90</v>
      </c>
      <c r="AC28" s="24">
        <f t="shared" si="184"/>
        <v>90</v>
      </c>
      <c r="AD28" s="24">
        <f t="shared" si="184"/>
        <v>90</v>
      </c>
      <c r="AE28" s="24">
        <f t="shared" si="184"/>
        <v>90</v>
      </c>
      <c r="AF28" s="24">
        <f t="shared" si="184"/>
        <v>90</v>
      </c>
      <c r="AG28" s="24">
        <f t="shared" si="184"/>
        <v>90</v>
      </c>
      <c r="AK28" s="24">
        <f t="shared" ref="AK28:AN28" si="185">$A$62</f>
        <v>90</v>
      </c>
      <c r="AL28" s="24">
        <f t="shared" si="185"/>
        <v>90</v>
      </c>
      <c r="AM28" s="24">
        <f t="shared" si="185"/>
        <v>90</v>
      </c>
      <c r="AN28" s="24">
        <f t="shared" si="185"/>
        <v>90</v>
      </c>
    </row>
    <row r="29" spans="1:81" ht="18" x14ac:dyDescent="0.55000000000000004">
      <c r="A29" s="186"/>
      <c r="B29" s="162" t="s">
        <v>180</v>
      </c>
    </row>
    <row r="30" spans="1:81" ht="18" x14ac:dyDescent="0.55000000000000004">
      <c r="A30" s="186"/>
      <c r="B30" s="162" t="s">
        <v>172</v>
      </c>
      <c r="E30" s="24">
        <v>-150</v>
      </c>
    </row>
    <row r="31" spans="1:81" s="144" customFormat="1" ht="18" x14ac:dyDescent="0.55000000000000004">
      <c r="A31" s="187"/>
      <c r="B31" s="163" t="s">
        <v>145</v>
      </c>
      <c r="C31" s="164"/>
    </row>
    <row r="32" spans="1:81" s="37" customFormat="1" ht="18" x14ac:dyDescent="0.55000000000000004">
      <c r="A32" s="186" t="s">
        <v>378</v>
      </c>
      <c r="B32" s="162"/>
    </row>
    <row r="33" spans="1:81" s="37" customFormat="1" ht="18" x14ac:dyDescent="0.55000000000000004">
      <c r="A33" s="186" t="s">
        <v>184</v>
      </c>
      <c r="B33" s="162" t="s">
        <v>424</v>
      </c>
    </row>
    <row r="34" spans="1:81" s="37" customFormat="1" ht="18" x14ac:dyDescent="0.55000000000000004">
      <c r="A34" s="186" t="s">
        <v>146</v>
      </c>
      <c r="B34" s="204" t="s">
        <v>346</v>
      </c>
      <c r="AK34" s="37">
        <v>-1000</v>
      </c>
      <c r="AL34" s="37">
        <v>-1000</v>
      </c>
      <c r="AM34" s="37">
        <v>-1000</v>
      </c>
      <c r="AN34" s="37">
        <v>-1000</v>
      </c>
      <c r="AO34" s="37">
        <v>-1000</v>
      </c>
      <c r="AP34" s="37">
        <v>-1000</v>
      </c>
      <c r="AQ34" s="37">
        <v>-1000</v>
      </c>
      <c r="AR34" s="37">
        <v>-1000</v>
      </c>
      <c r="AS34" s="37">
        <v>-1000</v>
      </c>
      <c r="AT34" s="37">
        <v>-1000</v>
      </c>
      <c r="AU34" s="37">
        <v>-1000</v>
      </c>
      <c r="AV34" s="37">
        <v>-1000</v>
      </c>
      <c r="AW34" s="37">
        <v>-1000</v>
      </c>
      <c r="AX34" s="37">
        <v>-1000</v>
      </c>
      <c r="AY34" s="37">
        <v>-1000</v>
      </c>
      <c r="AZ34" s="37">
        <v>-1000</v>
      </c>
      <c r="BA34" s="37">
        <v>-1000</v>
      </c>
      <c r="BB34" s="37">
        <v>-1000</v>
      </c>
      <c r="BC34" s="37">
        <v>-1000</v>
      </c>
      <c r="BD34" s="37">
        <v>-1000</v>
      </c>
      <c r="BE34" s="37">
        <v>-1000</v>
      </c>
      <c r="BF34" s="37">
        <v>-1000</v>
      </c>
      <c r="BG34" s="37">
        <v>-1000</v>
      </c>
      <c r="BH34" s="37">
        <v>-1000</v>
      </c>
      <c r="BI34" s="37">
        <v>-1000</v>
      </c>
      <c r="BJ34" s="37">
        <v>-1000</v>
      </c>
      <c r="BK34" s="37">
        <v>-1000</v>
      </c>
      <c r="BL34" s="37">
        <v>-1000</v>
      </c>
      <c r="BM34" s="37">
        <v>-1000</v>
      </c>
      <c r="BN34" s="37">
        <v>-1000</v>
      </c>
      <c r="BO34" s="37">
        <v>-1000</v>
      </c>
      <c r="BP34" s="37">
        <v>-1000</v>
      </c>
      <c r="BQ34" s="37">
        <v>-1000</v>
      </c>
      <c r="BR34" s="37">
        <v>-1000</v>
      </c>
      <c r="BS34" s="37">
        <v>-1000</v>
      </c>
      <c r="BT34" s="37">
        <v>-1000</v>
      </c>
      <c r="BU34" s="37">
        <v>-1000</v>
      </c>
      <c r="BV34" s="37">
        <v>-1000</v>
      </c>
      <c r="BW34" s="37">
        <v>-1000</v>
      </c>
      <c r="BX34" s="37">
        <v>-1000</v>
      </c>
      <c r="BY34" s="37">
        <v>-1000</v>
      </c>
      <c r="BZ34" s="37">
        <v>-1000</v>
      </c>
      <c r="CA34" s="37">
        <v>-1000</v>
      </c>
      <c r="CB34" s="37">
        <v>-1000</v>
      </c>
      <c r="CC34" s="37">
        <v>-1000</v>
      </c>
    </row>
    <row r="35" spans="1:81" s="37" customFormat="1" ht="18" x14ac:dyDescent="0.55000000000000004">
      <c r="A35" s="186" t="s">
        <v>146</v>
      </c>
      <c r="B35" s="204" t="s">
        <v>379</v>
      </c>
      <c r="AK35" s="37">
        <v>-800</v>
      </c>
      <c r="AL35" s="37">
        <v>-800</v>
      </c>
      <c r="AM35" s="37">
        <v>-800</v>
      </c>
      <c r="AN35" s="37">
        <v>-800</v>
      </c>
      <c r="AO35" s="37">
        <v>-800</v>
      </c>
      <c r="AP35" s="37">
        <v>-800</v>
      </c>
      <c r="AQ35" s="37">
        <v>-800</v>
      </c>
      <c r="AR35" s="37">
        <v>-800</v>
      </c>
      <c r="AS35" s="37">
        <v>-800</v>
      </c>
      <c r="AT35" s="37">
        <v>-800</v>
      </c>
      <c r="AU35" s="37">
        <v>-800</v>
      </c>
      <c r="AV35" s="37">
        <v>-800</v>
      </c>
      <c r="AW35" s="37">
        <v>-800</v>
      </c>
      <c r="AX35" s="37">
        <v>-800</v>
      </c>
      <c r="AY35" s="37">
        <v>-800</v>
      </c>
      <c r="AZ35" s="37">
        <v>-800</v>
      </c>
      <c r="BA35" s="37">
        <v>-800</v>
      </c>
      <c r="BB35" s="37">
        <v>-800</v>
      </c>
      <c r="BC35" s="37">
        <v>-800</v>
      </c>
      <c r="BD35" s="37">
        <v>-800</v>
      </c>
      <c r="BE35" s="37">
        <v>-800</v>
      </c>
      <c r="BF35" s="37">
        <v>-800</v>
      </c>
      <c r="BG35" s="37">
        <v>-800</v>
      </c>
      <c r="BH35" s="37">
        <v>-800</v>
      </c>
      <c r="BI35" s="37">
        <v>-800</v>
      </c>
      <c r="BJ35" s="37">
        <v>-800</v>
      </c>
      <c r="BK35" s="37">
        <v>-800</v>
      </c>
      <c r="BL35" s="37">
        <v>-800</v>
      </c>
      <c r="BM35" s="37">
        <v>-800</v>
      </c>
      <c r="BN35" s="37">
        <v>-800</v>
      </c>
      <c r="BO35" s="37">
        <v>-800</v>
      </c>
      <c r="BP35" s="37">
        <v>-800</v>
      </c>
      <c r="BQ35" s="37">
        <v>-800</v>
      </c>
      <c r="BR35" s="37">
        <v>-800</v>
      </c>
      <c r="BS35" s="37">
        <v>-800</v>
      </c>
      <c r="BT35" s="37">
        <v>-800</v>
      </c>
      <c r="BU35" s="37">
        <v>-800</v>
      </c>
      <c r="BV35" s="37">
        <v>-800</v>
      </c>
      <c r="BW35" s="37">
        <v>-800</v>
      </c>
      <c r="BX35" s="37">
        <v>-800</v>
      </c>
      <c r="BY35" s="37">
        <v>-800</v>
      </c>
      <c r="BZ35" s="37">
        <v>-800</v>
      </c>
      <c r="CA35" s="37">
        <v>-800</v>
      </c>
      <c r="CB35" s="37">
        <v>-800</v>
      </c>
      <c r="CC35" s="37">
        <v>-800</v>
      </c>
    </row>
    <row r="36" spans="1:81" s="37" customFormat="1" ht="18" x14ac:dyDescent="0.55000000000000004">
      <c r="A36" s="186" t="s">
        <v>146</v>
      </c>
      <c r="B36" s="204" t="s">
        <v>380</v>
      </c>
      <c r="AK36" s="37">
        <v>-700</v>
      </c>
      <c r="AL36" s="37">
        <v>-700</v>
      </c>
      <c r="AM36" s="37">
        <v>-700</v>
      </c>
      <c r="AN36" s="37">
        <v>-700</v>
      </c>
      <c r="AO36" s="37">
        <v>-700</v>
      </c>
      <c r="AP36" s="37">
        <v>-700</v>
      </c>
      <c r="AQ36" s="37">
        <v>-700</v>
      </c>
      <c r="AR36" s="37">
        <v>-700</v>
      </c>
      <c r="AS36" s="37">
        <v>-700</v>
      </c>
      <c r="AT36" s="37">
        <v>-700</v>
      </c>
      <c r="AU36" s="37">
        <v>-700</v>
      </c>
      <c r="AV36" s="37">
        <v>-700</v>
      </c>
      <c r="AW36" s="37">
        <v>-700</v>
      </c>
      <c r="AX36" s="37">
        <v>-700</v>
      </c>
      <c r="AY36" s="37">
        <v>-700</v>
      </c>
      <c r="AZ36" s="37">
        <v>-700</v>
      </c>
      <c r="BA36" s="37">
        <v>-700</v>
      </c>
      <c r="BB36" s="37">
        <v>-700</v>
      </c>
      <c r="BC36" s="37">
        <v>-700</v>
      </c>
      <c r="BD36" s="37">
        <v>-700</v>
      </c>
      <c r="BE36" s="37">
        <v>-700</v>
      </c>
      <c r="BF36" s="37">
        <v>-700</v>
      </c>
      <c r="BG36" s="37">
        <v>-700</v>
      </c>
      <c r="BH36" s="37">
        <v>-700</v>
      </c>
      <c r="BI36" s="37">
        <v>-700</v>
      </c>
      <c r="BJ36" s="37">
        <v>-700</v>
      </c>
      <c r="BK36" s="37">
        <v>-700</v>
      </c>
      <c r="BL36" s="37">
        <v>-700</v>
      </c>
      <c r="BM36" s="37">
        <v>-700</v>
      </c>
      <c r="BN36" s="37">
        <v>-700</v>
      </c>
      <c r="BO36" s="37">
        <v>-700</v>
      </c>
      <c r="BP36" s="37">
        <v>-700</v>
      </c>
      <c r="BQ36" s="37">
        <v>-700</v>
      </c>
      <c r="BR36" s="37">
        <v>-700</v>
      </c>
      <c r="BS36" s="37">
        <v>-700</v>
      </c>
      <c r="BT36" s="37">
        <v>-700</v>
      </c>
      <c r="BU36" s="37">
        <v>-700</v>
      </c>
      <c r="BV36" s="37">
        <v>-700</v>
      </c>
      <c r="BW36" s="37">
        <v>-700</v>
      </c>
      <c r="BX36" s="37">
        <v>-700</v>
      </c>
      <c r="BY36" s="37">
        <v>-700</v>
      </c>
      <c r="BZ36" s="37">
        <v>-700</v>
      </c>
      <c r="CA36" s="37">
        <v>-700</v>
      </c>
      <c r="CB36" s="37">
        <v>-700</v>
      </c>
      <c r="CC36" s="37">
        <v>-700</v>
      </c>
    </row>
    <row r="37" spans="1:81" s="37" customFormat="1" ht="18" x14ac:dyDescent="0.55000000000000004">
      <c r="A37" s="186"/>
      <c r="B37" s="162" t="s">
        <v>389</v>
      </c>
      <c r="AG37" s="37" t="s">
        <v>357</v>
      </c>
      <c r="AH37" s="37">
        <v>-6000</v>
      </c>
      <c r="AJ37" s="37" t="s">
        <v>388</v>
      </c>
      <c r="AK37" s="37">
        <v>-2500</v>
      </c>
    </row>
    <row r="38" spans="1:81" s="37" customFormat="1" ht="18" x14ac:dyDescent="0.55000000000000004">
      <c r="A38" s="186"/>
      <c r="B38" s="162" t="s">
        <v>382</v>
      </c>
      <c r="AJ38" s="37" t="s">
        <v>370</v>
      </c>
      <c r="AK38" s="37">
        <v>2100</v>
      </c>
      <c r="AL38" s="37">
        <v>2100</v>
      </c>
      <c r="AM38" s="37">
        <v>2100</v>
      </c>
      <c r="AN38" s="37">
        <v>2100</v>
      </c>
      <c r="AO38" s="37">
        <v>2100</v>
      </c>
      <c r="AP38" s="37">
        <v>2100</v>
      </c>
      <c r="AQ38" s="37">
        <v>2100</v>
      </c>
      <c r="AR38" s="37">
        <v>2100</v>
      </c>
      <c r="AS38" s="37">
        <v>2100</v>
      </c>
      <c r="AT38" s="37">
        <v>2100</v>
      </c>
      <c r="AU38" s="37">
        <v>2100</v>
      </c>
      <c r="AV38" s="37">
        <v>2100</v>
      </c>
      <c r="AW38" s="37">
        <v>2100</v>
      </c>
      <c r="AX38" s="37">
        <v>2100</v>
      </c>
      <c r="AY38" s="37">
        <v>2100</v>
      </c>
      <c r="AZ38" s="37">
        <v>2100</v>
      </c>
      <c r="BA38" s="37">
        <v>2100</v>
      </c>
      <c r="BB38" s="37">
        <v>2100</v>
      </c>
      <c r="BC38" s="37">
        <v>2100</v>
      </c>
      <c r="BD38" s="37">
        <v>2100</v>
      </c>
      <c r="BE38" s="37">
        <v>2100</v>
      </c>
      <c r="BF38" s="37">
        <v>2100</v>
      </c>
      <c r="BG38" s="37">
        <v>2100</v>
      </c>
      <c r="BH38" s="37">
        <v>2100</v>
      </c>
      <c r="BI38" s="37">
        <v>2100</v>
      </c>
      <c r="BJ38" s="37">
        <v>2100</v>
      </c>
      <c r="BK38" s="37">
        <v>2100</v>
      </c>
      <c r="BL38" s="37">
        <v>2100</v>
      </c>
      <c r="BM38" s="37">
        <v>2100</v>
      </c>
      <c r="BN38" s="37">
        <v>2100</v>
      </c>
      <c r="BO38" s="37">
        <v>2100</v>
      </c>
      <c r="BP38" s="37">
        <v>2100</v>
      </c>
      <c r="BQ38" s="37">
        <v>2100</v>
      </c>
      <c r="BR38" s="37">
        <v>2100</v>
      </c>
      <c r="BS38" s="37">
        <v>2100</v>
      </c>
      <c r="BT38" s="37">
        <v>2100</v>
      </c>
      <c r="BU38" s="37">
        <v>2100</v>
      </c>
      <c r="BV38" s="37">
        <v>2100</v>
      </c>
      <c r="BW38" s="37">
        <v>2100</v>
      </c>
      <c r="BX38" s="37">
        <v>2100</v>
      </c>
      <c r="BY38" s="37">
        <v>2100</v>
      </c>
      <c r="BZ38" s="37">
        <v>2100</v>
      </c>
      <c r="CA38" s="37">
        <v>2100</v>
      </c>
      <c r="CB38" s="37">
        <v>2100</v>
      </c>
      <c r="CC38" s="37">
        <v>2100</v>
      </c>
    </row>
    <row r="39" spans="1:81" s="52" customFormat="1" ht="18" x14ac:dyDescent="0.55000000000000004">
      <c r="A39" s="187"/>
      <c r="B39" s="163" t="s">
        <v>381</v>
      </c>
      <c r="AJ39" s="52" t="s">
        <v>376</v>
      </c>
      <c r="AK39" s="52">
        <f>ABS(SUM(AK34:AK36))*0.5</f>
        <v>1250</v>
      </c>
      <c r="AL39" s="52">
        <f>ABS(SUM(AL34:AL36))*0.5</f>
        <v>1250</v>
      </c>
      <c r="AM39" s="52">
        <f>ABS(SUM(AM34:AM36))*0.5</f>
        <v>1250</v>
      </c>
      <c r="AN39" s="52">
        <f t="shared" ref="AN39:AP39" si="186">ABS(SUM(AN34:AN36))*0.5</f>
        <v>1250</v>
      </c>
      <c r="AO39" s="52">
        <f t="shared" si="186"/>
        <v>1250</v>
      </c>
      <c r="AP39" s="52">
        <f t="shared" si="186"/>
        <v>1250</v>
      </c>
      <c r="AQ39" s="52">
        <f t="shared" ref="AQ39:BW39" si="187">ABS(SUM(AQ34:AQ36))*0.5</f>
        <v>1250</v>
      </c>
      <c r="AR39" s="52">
        <f t="shared" si="187"/>
        <v>1250</v>
      </c>
      <c r="AS39" s="52">
        <f t="shared" si="187"/>
        <v>1250</v>
      </c>
      <c r="AT39" s="52">
        <f t="shared" si="187"/>
        <v>1250</v>
      </c>
      <c r="AU39" s="52">
        <f t="shared" si="187"/>
        <v>1250</v>
      </c>
      <c r="AV39" s="52">
        <f t="shared" si="187"/>
        <v>1250</v>
      </c>
      <c r="AW39" s="52">
        <f t="shared" si="187"/>
        <v>1250</v>
      </c>
      <c r="AX39" s="52">
        <f t="shared" si="187"/>
        <v>1250</v>
      </c>
      <c r="AY39" s="52">
        <f t="shared" si="187"/>
        <v>1250</v>
      </c>
      <c r="AZ39" s="52">
        <f t="shared" si="187"/>
        <v>1250</v>
      </c>
      <c r="BA39" s="52">
        <f t="shared" si="187"/>
        <v>1250</v>
      </c>
      <c r="BB39" s="52">
        <f t="shared" si="187"/>
        <v>1250</v>
      </c>
      <c r="BC39" s="52">
        <f t="shared" si="187"/>
        <v>1250</v>
      </c>
      <c r="BD39" s="52">
        <f t="shared" si="187"/>
        <v>1250</v>
      </c>
      <c r="BE39" s="52">
        <f t="shared" si="187"/>
        <v>1250</v>
      </c>
      <c r="BF39" s="52">
        <f t="shared" si="187"/>
        <v>1250</v>
      </c>
      <c r="BG39" s="52">
        <f t="shared" si="187"/>
        <v>1250</v>
      </c>
      <c r="BH39" s="52">
        <f t="shared" si="187"/>
        <v>1250</v>
      </c>
      <c r="BI39" s="52">
        <f t="shared" si="187"/>
        <v>1250</v>
      </c>
      <c r="BJ39" s="52">
        <f t="shared" si="187"/>
        <v>1250</v>
      </c>
      <c r="BK39" s="52">
        <f t="shared" si="187"/>
        <v>1250</v>
      </c>
      <c r="BL39" s="52">
        <f t="shared" si="187"/>
        <v>1250</v>
      </c>
      <c r="BM39" s="52">
        <f t="shared" si="187"/>
        <v>1250</v>
      </c>
      <c r="BN39" s="52">
        <f t="shared" si="187"/>
        <v>1250</v>
      </c>
      <c r="BO39" s="52">
        <f t="shared" si="187"/>
        <v>1250</v>
      </c>
      <c r="BP39" s="52">
        <f t="shared" si="187"/>
        <v>1250</v>
      </c>
      <c r="BQ39" s="52">
        <f t="shared" si="187"/>
        <v>1250</v>
      </c>
      <c r="BR39" s="52">
        <f t="shared" si="187"/>
        <v>1250</v>
      </c>
      <c r="BS39" s="52">
        <f t="shared" si="187"/>
        <v>1250</v>
      </c>
      <c r="BT39" s="52">
        <f t="shared" si="187"/>
        <v>1250</v>
      </c>
      <c r="BU39" s="52">
        <f t="shared" si="187"/>
        <v>1250</v>
      </c>
      <c r="BV39" s="52">
        <f t="shared" si="187"/>
        <v>1250</v>
      </c>
      <c r="BW39" s="52">
        <f t="shared" si="187"/>
        <v>1250</v>
      </c>
      <c r="BX39" s="52">
        <f t="shared" ref="BX39:BZ39" si="188">ABS(SUM(BX34:BX36))*0.5</f>
        <v>1250</v>
      </c>
      <c r="BY39" s="52">
        <f t="shared" si="188"/>
        <v>1250</v>
      </c>
      <c r="BZ39" s="52">
        <f t="shared" si="188"/>
        <v>1250</v>
      </c>
      <c r="CA39" s="52">
        <f t="shared" ref="CA39:CC39" si="189">ABS(SUM(CA34:CA36))*0.5</f>
        <v>1250</v>
      </c>
      <c r="CB39" s="52">
        <f t="shared" si="189"/>
        <v>1250</v>
      </c>
      <c r="CC39" s="52">
        <f t="shared" si="189"/>
        <v>1250</v>
      </c>
    </row>
    <row r="40" spans="1:81" ht="18" x14ac:dyDescent="0.55000000000000004">
      <c r="A40" s="186" t="s">
        <v>372</v>
      </c>
      <c r="B40" s="162"/>
    </row>
    <row r="41" spans="1:81" ht="18" x14ac:dyDescent="0.55000000000000004">
      <c r="A41" s="186"/>
      <c r="B41" s="162" t="s">
        <v>179</v>
      </c>
      <c r="U41" s="24" t="s">
        <v>387</v>
      </c>
      <c r="V41" s="24">
        <v>50</v>
      </c>
    </row>
    <row r="42" spans="1:81" s="144" customFormat="1" ht="18" x14ac:dyDescent="0.55000000000000004">
      <c r="A42" s="187" t="s">
        <v>147</v>
      </c>
      <c r="B42" s="163" t="s">
        <v>270</v>
      </c>
      <c r="C42" s="164"/>
    </row>
    <row r="43" spans="1:81" ht="14.65" thickBot="1" x14ac:dyDescent="0.5">
      <c r="A43" s="23"/>
      <c r="B43" s="153"/>
    </row>
    <row r="44" spans="1:81" ht="29.65" thickBot="1" x14ac:dyDescent="0.6">
      <c r="A44" s="189" t="str" cm="1">
        <f t="array" ref="A44">SUM(COUNTIF(A23:A42, {"📜","👤"})) &amp; "/11 Permessi"</f>
        <v>4/11 Permessi</v>
      </c>
      <c r="C44" s="25" t="s">
        <v>119</v>
      </c>
      <c r="P44" s="24" t="s">
        <v>216</v>
      </c>
      <c r="S44" s="24" t="s">
        <v>241</v>
      </c>
      <c r="X44" s="24" t="s">
        <v>269</v>
      </c>
      <c r="Y44" s="109">
        <f>-Y9*40</f>
        <v>-2000</v>
      </c>
      <c r="AD44" s="24" t="s">
        <v>243</v>
      </c>
      <c r="AE44" s="24">
        <v>400</v>
      </c>
      <c r="AG44" s="24" t="s">
        <v>391</v>
      </c>
      <c r="AH44" s="24">
        <v>4000</v>
      </c>
      <c r="AJ44" s="24" t="s">
        <v>391</v>
      </c>
      <c r="AK44" s="24">
        <f>-AK18</f>
        <v>1000</v>
      </c>
      <c r="AO44" s="115" t="s">
        <v>417</v>
      </c>
      <c r="AP44" s="24">
        <v>-21</v>
      </c>
    </row>
    <row r="45" spans="1:81" x14ac:dyDescent="0.45">
      <c r="C45" s="24">
        <v>5000</v>
      </c>
      <c r="P45" s="109">
        <v>-700</v>
      </c>
      <c r="S45" s="24">
        <f>400</f>
        <v>400</v>
      </c>
      <c r="V45" s="24" t="s">
        <v>242</v>
      </c>
      <c r="X45" s="115" t="s">
        <v>356</v>
      </c>
      <c r="Y45" s="109">
        <f>-$A$66*Y13</f>
        <v>-4000</v>
      </c>
    </row>
    <row r="46" spans="1:81" x14ac:dyDescent="0.45">
      <c r="V46" s="109">
        <v>-2100</v>
      </c>
      <c r="X46" s="115" t="s">
        <v>266</v>
      </c>
      <c r="Y46" s="109">
        <v>-650</v>
      </c>
      <c r="BY46" s="115" t="s">
        <v>440</v>
      </c>
      <c r="BZ46" s="24">
        <v>-5000</v>
      </c>
      <c r="CB46" s="24" t="s">
        <v>448</v>
      </c>
      <c r="CC46" s="24">
        <v>500</v>
      </c>
    </row>
    <row r="47" spans="1:81" x14ac:dyDescent="0.45">
      <c r="B47" s="155"/>
      <c r="S47" s="24" t="s">
        <v>243</v>
      </c>
      <c r="X47" s="115" t="s">
        <v>265</v>
      </c>
      <c r="Y47" s="109">
        <v>-200</v>
      </c>
      <c r="BW47" s="115" t="s">
        <v>441</v>
      </c>
      <c r="BX47" s="24">
        <f>-5000 * 3</f>
        <v>-15000</v>
      </c>
    </row>
    <row r="48" spans="1:81" x14ac:dyDescent="0.45">
      <c r="S48" s="24">
        <v>50</v>
      </c>
      <c r="X48" s="115"/>
      <c r="BX48" s="115" t="s">
        <v>442</v>
      </c>
      <c r="BY48" s="24">
        <v>-500</v>
      </c>
    </row>
    <row r="49" spans="1:81" x14ac:dyDescent="0.45">
      <c r="X49" s="115" t="s">
        <v>268</v>
      </c>
      <c r="Y49" s="24">
        <v>-10</v>
      </c>
      <c r="BX49" s="115" t="s">
        <v>443</v>
      </c>
      <c r="BY49" s="24">
        <v>-600</v>
      </c>
    </row>
    <row r="50" spans="1:81" x14ac:dyDescent="0.45">
      <c r="BW50" s="115" t="s">
        <v>444</v>
      </c>
      <c r="BX50" s="24">
        <v>-25000</v>
      </c>
    </row>
    <row r="53" spans="1:81" x14ac:dyDescent="0.45">
      <c r="BW53" s="24" t="s">
        <v>445</v>
      </c>
      <c r="BX53" s="24">
        <v>-6000</v>
      </c>
      <c r="CB53" s="24" t="s">
        <v>446</v>
      </c>
      <c r="CC53" s="24">
        <v>-1300</v>
      </c>
    </row>
    <row r="55" spans="1:81" x14ac:dyDescent="0.45">
      <c r="CB55" s="24" t="s">
        <v>447</v>
      </c>
      <c r="CC55" s="24">
        <v>-9</v>
      </c>
    </row>
    <row r="57" spans="1:81" s="203" customFormat="1" ht="14.65" thickBot="1" x14ac:dyDescent="0.5">
      <c r="A57" s="200"/>
      <c r="B57" s="202"/>
    </row>
    <row r="58" spans="1:81" ht="14.65" thickTop="1" x14ac:dyDescent="0.45"/>
    <row r="59" spans="1:81" x14ac:dyDescent="0.45">
      <c r="B59" s="155" t="s">
        <v>186</v>
      </c>
    </row>
    <row r="60" spans="1:81" x14ac:dyDescent="0.45">
      <c r="A60" s="23">
        <v>0.5</v>
      </c>
      <c r="B60" s="154" t="s">
        <v>178</v>
      </c>
    </row>
    <row r="61" spans="1:81" x14ac:dyDescent="0.45">
      <c r="A61" s="23">
        <v>180</v>
      </c>
      <c r="B61" s="154" t="s">
        <v>151</v>
      </c>
    </row>
    <row r="62" spans="1:81" x14ac:dyDescent="0.45">
      <c r="A62" s="23">
        <v>90</v>
      </c>
      <c r="B62" s="154" t="s">
        <v>152</v>
      </c>
    </row>
    <row r="64" spans="1:81" x14ac:dyDescent="0.45">
      <c r="A64" s="36">
        <v>6000</v>
      </c>
      <c r="B64" s="154" t="s">
        <v>285</v>
      </c>
    </row>
    <row r="65" spans="1:2" x14ac:dyDescent="0.45">
      <c r="A65" s="36">
        <v>3000</v>
      </c>
      <c r="B65" s="154" t="s">
        <v>284</v>
      </c>
    </row>
    <row r="66" spans="1:2" x14ac:dyDescent="0.45">
      <c r="A66" s="36">
        <v>1000</v>
      </c>
      <c r="B66" s="154" t="s">
        <v>283</v>
      </c>
    </row>
    <row r="67" spans="1:2" x14ac:dyDescent="0.45">
      <c r="A67" s="36">
        <f>A68*2</f>
        <v>150</v>
      </c>
      <c r="B67" s="154" t="s">
        <v>279</v>
      </c>
    </row>
    <row r="68" spans="1:2" x14ac:dyDescent="0.45">
      <c r="A68" s="36">
        <f>A69*3</f>
        <v>75</v>
      </c>
      <c r="B68" s="154" t="s">
        <v>280</v>
      </c>
    </row>
    <row r="69" spans="1:2" x14ac:dyDescent="0.45">
      <c r="A69" s="36">
        <v>25</v>
      </c>
      <c r="B69" s="154" t="s">
        <v>278</v>
      </c>
    </row>
    <row r="71" spans="1:2" x14ac:dyDescent="0.45">
      <c r="A71" s="47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ACF6-59E3-41D1-80AD-913CE0E8C693}">
  <sheetPr>
    <tabColor rgb="FFFFFF00"/>
  </sheetPr>
  <dimension ref="A1:CR47"/>
  <sheetViews>
    <sheetView workbookViewId="0">
      <selection activeCell="F9" sqref="F9"/>
    </sheetView>
  </sheetViews>
  <sheetFormatPr defaultColWidth="11.06640625" defaultRowHeight="14.25" x14ac:dyDescent="0.45"/>
  <cols>
    <col min="1" max="1" width="22.46484375" style="214" customWidth="1"/>
    <col min="2" max="2" width="27.265625" style="154" bestFit="1" customWidth="1"/>
    <col min="3" max="16384" width="11.06640625" style="24"/>
  </cols>
  <sheetData>
    <row r="1" spans="1:96" s="48" customFormat="1" ht="21" x14ac:dyDescent="0.65">
      <c r="A1" s="226"/>
      <c r="B1" s="217" t="s">
        <v>124</v>
      </c>
      <c r="C1" s="169"/>
      <c r="D1" s="170" t="s">
        <v>98</v>
      </c>
      <c r="E1" s="170" t="s">
        <v>99</v>
      </c>
      <c r="F1" s="170" t="s">
        <v>100</v>
      </c>
      <c r="G1" s="171" t="s">
        <v>101</v>
      </c>
      <c r="H1" s="171" t="s">
        <v>102</v>
      </c>
      <c r="I1" s="171" t="s">
        <v>103</v>
      </c>
      <c r="J1" s="172" t="s">
        <v>104</v>
      </c>
      <c r="K1" s="172" t="s">
        <v>105</v>
      </c>
      <c r="L1" s="172" t="s">
        <v>106</v>
      </c>
      <c r="M1" s="173" t="s">
        <v>107</v>
      </c>
      <c r="N1" s="173" t="s">
        <v>108</v>
      </c>
      <c r="O1" s="173" t="s">
        <v>109</v>
      </c>
      <c r="P1" s="170" t="s">
        <v>98</v>
      </c>
      <c r="Q1" s="170" t="s">
        <v>99</v>
      </c>
      <c r="R1" s="170" t="s">
        <v>100</v>
      </c>
      <c r="S1" s="171" t="s">
        <v>101</v>
      </c>
      <c r="T1" s="171" t="s">
        <v>102</v>
      </c>
      <c r="U1" s="171" t="s">
        <v>103</v>
      </c>
      <c r="V1" s="172" t="s">
        <v>104</v>
      </c>
      <c r="W1" s="172" t="s">
        <v>105</v>
      </c>
      <c r="X1" s="172" t="s">
        <v>106</v>
      </c>
      <c r="Y1" s="173" t="s">
        <v>107</v>
      </c>
      <c r="Z1" s="173" t="s">
        <v>108</v>
      </c>
      <c r="AA1" s="173" t="s">
        <v>109</v>
      </c>
      <c r="AB1" s="170" t="s">
        <v>98</v>
      </c>
      <c r="AC1" s="170" t="s">
        <v>99</v>
      </c>
      <c r="AD1" s="170" t="s">
        <v>100</v>
      </c>
      <c r="AE1" s="171" t="s">
        <v>101</v>
      </c>
      <c r="AF1" s="171" t="s">
        <v>102</v>
      </c>
      <c r="AG1" s="171" t="s">
        <v>103</v>
      </c>
      <c r="AH1" s="172" t="s">
        <v>104</v>
      </c>
      <c r="AI1" s="172" t="s">
        <v>105</v>
      </c>
      <c r="AJ1" s="172" t="s">
        <v>106</v>
      </c>
      <c r="AK1" s="173" t="s">
        <v>107</v>
      </c>
      <c r="AL1" s="173" t="s">
        <v>108</v>
      </c>
      <c r="AM1" s="173" t="s">
        <v>109</v>
      </c>
      <c r="AN1" s="170" t="s">
        <v>98</v>
      </c>
      <c r="AO1" s="170" t="s">
        <v>99</v>
      </c>
      <c r="AP1" s="170" t="s">
        <v>100</v>
      </c>
      <c r="AQ1" s="171" t="s">
        <v>101</v>
      </c>
      <c r="AR1" s="171" t="s">
        <v>102</v>
      </c>
      <c r="AS1" s="171" t="s">
        <v>103</v>
      </c>
      <c r="AT1" s="172" t="s">
        <v>104</v>
      </c>
      <c r="AU1" s="172" t="s">
        <v>105</v>
      </c>
      <c r="AV1" s="172" t="s">
        <v>106</v>
      </c>
      <c r="AW1" s="173" t="s">
        <v>107</v>
      </c>
      <c r="AX1" s="173" t="s">
        <v>108</v>
      </c>
      <c r="AY1" s="173" t="s">
        <v>109</v>
      </c>
      <c r="AZ1" s="170" t="s">
        <v>98</v>
      </c>
      <c r="BA1" s="170" t="s">
        <v>99</v>
      </c>
      <c r="BB1" s="170" t="s">
        <v>100</v>
      </c>
      <c r="BC1" s="171" t="s">
        <v>101</v>
      </c>
      <c r="BD1" s="171" t="s">
        <v>102</v>
      </c>
      <c r="BE1" s="171" t="s">
        <v>103</v>
      </c>
      <c r="BF1" s="172" t="s">
        <v>104</v>
      </c>
      <c r="BG1" s="172" t="s">
        <v>105</v>
      </c>
      <c r="BH1" s="172" t="s">
        <v>106</v>
      </c>
      <c r="BI1" s="173" t="s">
        <v>107</v>
      </c>
      <c r="BJ1" s="173" t="s">
        <v>108</v>
      </c>
      <c r="BK1" s="173" t="s">
        <v>109</v>
      </c>
      <c r="BL1" s="170" t="s">
        <v>98</v>
      </c>
      <c r="BM1" s="170" t="s">
        <v>99</v>
      </c>
      <c r="BN1" s="170" t="s">
        <v>100</v>
      </c>
      <c r="BO1" s="171" t="s">
        <v>101</v>
      </c>
      <c r="BP1" s="171" t="s">
        <v>102</v>
      </c>
      <c r="BQ1" s="171" t="s">
        <v>103</v>
      </c>
      <c r="BR1" s="172" t="s">
        <v>104</v>
      </c>
      <c r="BS1" s="172" t="s">
        <v>105</v>
      </c>
      <c r="BT1" s="172" t="s">
        <v>106</v>
      </c>
      <c r="BU1" s="173" t="s">
        <v>107</v>
      </c>
      <c r="BV1" s="173" t="s">
        <v>108</v>
      </c>
      <c r="BW1" s="173" t="s">
        <v>109</v>
      </c>
      <c r="BX1" s="170" t="s">
        <v>98</v>
      </c>
      <c r="BY1" s="170" t="s">
        <v>99</v>
      </c>
      <c r="BZ1" s="170" t="s">
        <v>100</v>
      </c>
      <c r="CA1" s="171" t="s">
        <v>101</v>
      </c>
      <c r="CB1" s="171" t="s">
        <v>102</v>
      </c>
      <c r="CC1" s="171" t="s">
        <v>103</v>
      </c>
      <c r="CD1" s="172" t="s">
        <v>104</v>
      </c>
      <c r="CE1" s="172" t="s">
        <v>105</v>
      </c>
      <c r="CF1" s="172" t="s">
        <v>106</v>
      </c>
      <c r="CG1" s="173" t="s">
        <v>107</v>
      </c>
      <c r="CH1" s="173" t="s">
        <v>108</v>
      </c>
      <c r="CI1" s="173" t="s">
        <v>109</v>
      </c>
      <c r="CJ1" s="170" t="s">
        <v>98</v>
      </c>
      <c r="CK1" s="170" t="s">
        <v>99</v>
      </c>
      <c r="CL1" s="170" t="s">
        <v>100</v>
      </c>
      <c r="CM1" s="171" t="s">
        <v>101</v>
      </c>
      <c r="CN1" s="171" t="s">
        <v>102</v>
      </c>
      <c r="CO1" s="171" t="s">
        <v>103</v>
      </c>
      <c r="CP1" s="172" t="s">
        <v>104</v>
      </c>
      <c r="CQ1" s="172" t="s">
        <v>105</v>
      </c>
      <c r="CR1" s="172" t="s">
        <v>106</v>
      </c>
    </row>
    <row r="2" spans="1:96" s="83" customFormat="1" x14ac:dyDescent="0.45">
      <c r="A2" s="214"/>
      <c r="B2" s="146" t="s">
        <v>1</v>
      </c>
      <c r="D2" s="83">
        <v>1532</v>
      </c>
      <c r="E2" s="83">
        <f t="shared" ref="E2:AJ2" si="0">D2+IF(E1="Gennaio",1,0)</f>
        <v>1532</v>
      </c>
      <c r="F2" s="83">
        <f t="shared" si="0"/>
        <v>1532</v>
      </c>
      <c r="G2" s="83">
        <f t="shared" si="0"/>
        <v>1532</v>
      </c>
      <c r="H2" s="83">
        <f t="shared" si="0"/>
        <v>1532</v>
      </c>
      <c r="I2" s="83">
        <f t="shared" si="0"/>
        <v>1532</v>
      </c>
      <c r="J2" s="83">
        <f t="shared" si="0"/>
        <v>1532</v>
      </c>
      <c r="K2" s="83">
        <f t="shared" si="0"/>
        <v>1532</v>
      </c>
      <c r="L2" s="83">
        <f t="shared" si="0"/>
        <v>1532</v>
      </c>
      <c r="M2" s="83">
        <f t="shared" si="0"/>
        <v>1533</v>
      </c>
      <c r="N2" s="83">
        <f t="shared" si="0"/>
        <v>1533</v>
      </c>
      <c r="O2" s="83">
        <f t="shared" si="0"/>
        <v>1533</v>
      </c>
      <c r="P2" s="83">
        <f t="shared" si="0"/>
        <v>1533</v>
      </c>
      <c r="Q2" s="83">
        <f t="shared" si="0"/>
        <v>1533</v>
      </c>
      <c r="R2" s="83">
        <f t="shared" si="0"/>
        <v>1533</v>
      </c>
      <c r="S2" s="83">
        <f t="shared" si="0"/>
        <v>1533</v>
      </c>
      <c r="T2" s="83">
        <f t="shared" si="0"/>
        <v>1533</v>
      </c>
      <c r="U2" s="83">
        <f t="shared" si="0"/>
        <v>1533</v>
      </c>
      <c r="V2" s="83">
        <f t="shared" si="0"/>
        <v>1533</v>
      </c>
      <c r="W2" s="83">
        <f t="shared" si="0"/>
        <v>1533</v>
      </c>
      <c r="X2" s="83">
        <f t="shared" si="0"/>
        <v>1533</v>
      </c>
      <c r="Y2" s="83">
        <f t="shared" si="0"/>
        <v>1534</v>
      </c>
      <c r="Z2" s="83">
        <f t="shared" si="0"/>
        <v>1534</v>
      </c>
      <c r="AA2" s="83">
        <f t="shared" si="0"/>
        <v>1534</v>
      </c>
      <c r="AB2" s="83">
        <f t="shared" si="0"/>
        <v>1534</v>
      </c>
      <c r="AC2" s="83">
        <f t="shared" si="0"/>
        <v>1534</v>
      </c>
      <c r="AD2" s="83">
        <f t="shared" si="0"/>
        <v>1534</v>
      </c>
      <c r="AE2" s="83">
        <f t="shared" si="0"/>
        <v>1534</v>
      </c>
      <c r="AF2" s="83">
        <f t="shared" si="0"/>
        <v>1534</v>
      </c>
      <c r="AG2" s="83">
        <f t="shared" si="0"/>
        <v>1534</v>
      </c>
      <c r="AH2" s="83">
        <f t="shared" si="0"/>
        <v>1534</v>
      </c>
      <c r="AI2" s="83">
        <f t="shared" si="0"/>
        <v>1534</v>
      </c>
      <c r="AJ2" s="83">
        <f t="shared" si="0"/>
        <v>1534</v>
      </c>
      <c r="AK2" s="83">
        <f t="shared" ref="AK2:BP2" si="1">AJ2+IF(AK1="Gennaio",1,0)</f>
        <v>1535</v>
      </c>
      <c r="AL2" s="83">
        <f t="shared" si="1"/>
        <v>1535</v>
      </c>
      <c r="AM2" s="83">
        <f t="shared" si="1"/>
        <v>1535</v>
      </c>
      <c r="AN2" s="83">
        <f t="shared" si="1"/>
        <v>1535</v>
      </c>
      <c r="AO2" s="83">
        <f t="shared" si="1"/>
        <v>1535</v>
      </c>
      <c r="AP2" s="83">
        <f t="shared" si="1"/>
        <v>1535</v>
      </c>
      <c r="AQ2" s="83">
        <f t="shared" si="1"/>
        <v>1535</v>
      </c>
      <c r="AR2" s="83">
        <f t="shared" si="1"/>
        <v>1535</v>
      </c>
      <c r="AS2" s="83">
        <f t="shared" si="1"/>
        <v>1535</v>
      </c>
      <c r="AT2" s="83">
        <f t="shared" si="1"/>
        <v>1535</v>
      </c>
      <c r="AU2" s="83">
        <f t="shared" si="1"/>
        <v>1535</v>
      </c>
      <c r="AV2" s="83">
        <f t="shared" si="1"/>
        <v>1535</v>
      </c>
      <c r="AW2" s="83">
        <f t="shared" si="1"/>
        <v>1536</v>
      </c>
      <c r="AX2" s="83">
        <f t="shared" si="1"/>
        <v>1536</v>
      </c>
      <c r="AY2" s="83">
        <f t="shared" si="1"/>
        <v>1536</v>
      </c>
      <c r="AZ2" s="83">
        <f t="shared" si="1"/>
        <v>1536</v>
      </c>
      <c r="BA2" s="83">
        <f t="shared" si="1"/>
        <v>1536</v>
      </c>
      <c r="BB2" s="83">
        <f t="shared" si="1"/>
        <v>1536</v>
      </c>
      <c r="BC2" s="83">
        <f t="shared" si="1"/>
        <v>1536</v>
      </c>
      <c r="BD2" s="83">
        <f t="shared" si="1"/>
        <v>1536</v>
      </c>
      <c r="BE2" s="83">
        <f t="shared" si="1"/>
        <v>1536</v>
      </c>
      <c r="BF2" s="83">
        <f t="shared" si="1"/>
        <v>1536</v>
      </c>
      <c r="BG2" s="83">
        <f t="shared" si="1"/>
        <v>1536</v>
      </c>
      <c r="BH2" s="83">
        <f t="shared" si="1"/>
        <v>1536</v>
      </c>
      <c r="BI2" s="83">
        <f t="shared" si="1"/>
        <v>1537</v>
      </c>
      <c r="BJ2" s="83">
        <f t="shared" si="1"/>
        <v>1537</v>
      </c>
      <c r="BK2" s="83">
        <f t="shared" si="1"/>
        <v>1537</v>
      </c>
      <c r="BL2" s="83">
        <f t="shared" si="1"/>
        <v>1537</v>
      </c>
      <c r="BM2" s="83">
        <f t="shared" si="1"/>
        <v>1537</v>
      </c>
      <c r="BN2" s="83">
        <f t="shared" si="1"/>
        <v>1537</v>
      </c>
      <c r="BO2" s="83">
        <f t="shared" si="1"/>
        <v>1537</v>
      </c>
      <c r="BP2" s="83">
        <f t="shared" si="1"/>
        <v>1537</v>
      </c>
      <c r="BQ2" s="83">
        <f t="shared" ref="BQ2:CR2" si="2">BP2+IF(BQ1="Gennaio",1,0)</f>
        <v>1537</v>
      </c>
      <c r="BR2" s="83">
        <f t="shared" si="2"/>
        <v>1537</v>
      </c>
      <c r="BS2" s="83">
        <f t="shared" si="2"/>
        <v>1537</v>
      </c>
      <c r="BT2" s="83">
        <f t="shared" si="2"/>
        <v>1537</v>
      </c>
      <c r="BU2" s="83">
        <f t="shared" si="2"/>
        <v>1538</v>
      </c>
      <c r="BV2" s="83">
        <f t="shared" si="2"/>
        <v>1538</v>
      </c>
      <c r="BW2" s="83">
        <f t="shared" si="2"/>
        <v>1538</v>
      </c>
      <c r="BX2" s="83">
        <f t="shared" si="2"/>
        <v>1538</v>
      </c>
      <c r="BY2" s="83">
        <f t="shared" si="2"/>
        <v>1538</v>
      </c>
      <c r="BZ2" s="83">
        <f t="shared" si="2"/>
        <v>1538</v>
      </c>
      <c r="CA2" s="83">
        <f t="shared" si="2"/>
        <v>1538</v>
      </c>
      <c r="CB2" s="83">
        <f t="shared" si="2"/>
        <v>1538</v>
      </c>
      <c r="CC2" s="83">
        <f t="shared" si="2"/>
        <v>1538</v>
      </c>
      <c r="CD2" s="83">
        <f t="shared" si="2"/>
        <v>1538</v>
      </c>
      <c r="CE2" s="83">
        <f t="shared" si="2"/>
        <v>1538</v>
      </c>
      <c r="CF2" s="83">
        <f t="shared" si="2"/>
        <v>1538</v>
      </c>
      <c r="CG2" s="83">
        <f t="shared" si="2"/>
        <v>1539</v>
      </c>
      <c r="CH2" s="83">
        <f t="shared" si="2"/>
        <v>1539</v>
      </c>
      <c r="CI2" s="83">
        <f t="shared" si="2"/>
        <v>1539</v>
      </c>
      <c r="CJ2" s="83">
        <f t="shared" si="2"/>
        <v>1539</v>
      </c>
      <c r="CK2" s="83">
        <f t="shared" si="2"/>
        <v>1539</v>
      </c>
      <c r="CL2" s="83">
        <f t="shared" si="2"/>
        <v>1539</v>
      </c>
      <c r="CM2" s="83">
        <f t="shared" si="2"/>
        <v>1539</v>
      </c>
      <c r="CN2" s="83">
        <f t="shared" si="2"/>
        <v>1539</v>
      </c>
      <c r="CO2" s="83">
        <f t="shared" si="2"/>
        <v>1539</v>
      </c>
      <c r="CP2" s="83">
        <f t="shared" si="2"/>
        <v>1539</v>
      </c>
      <c r="CQ2" s="83">
        <f t="shared" si="2"/>
        <v>1539</v>
      </c>
      <c r="CR2" s="83">
        <f t="shared" si="2"/>
        <v>1539</v>
      </c>
    </row>
    <row r="3" spans="1:96" s="145" customFormat="1" x14ac:dyDescent="0.45">
      <c r="A3" s="227"/>
      <c r="B3" s="147" t="s">
        <v>94</v>
      </c>
      <c r="D3" s="145">
        <f>C3+1</f>
        <v>1</v>
      </c>
      <c r="E3" s="145">
        <f t="shared" ref="E3:BP3" si="3">D3+1</f>
        <v>2</v>
      </c>
      <c r="F3" s="145">
        <f t="shared" si="3"/>
        <v>3</v>
      </c>
      <c r="G3" s="145">
        <f t="shared" si="3"/>
        <v>4</v>
      </c>
      <c r="H3" s="145">
        <f t="shared" si="3"/>
        <v>5</v>
      </c>
      <c r="I3" s="145">
        <f t="shared" si="3"/>
        <v>6</v>
      </c>
      <c r="J3" s="145">
        <f t="shared" si="3"/>
        <v>7</v>
      </c>
      <c r="K3" s="145">
        <f t="shared" si="3"/>
        <v>8</v>
      </c>
      <c r="L3" s="145">
        <f t="shared" si="3"/>
        <v>9</v>
      </c>
      <c r="M3" s="145">
        <f t="shared" si="3"/>
        <v>10</v>
      </c>
      <c r="N3" s="145">
        <f t="shared" si="3"/>
        <v>11</v>
      </c>
      <c r="O3" s="145">
        <f t="shared" si="3"/>
        <v>12</v>
      </c>
      <c r="P3" s="145">
        <f t="shared" si="3"/>
        <v>13</v>
      </c>
      <c r="Q3" s="145">
        <f t="shared" si="3"/>
        <v>14</v>
      </c>
      <c r="R3" s="145">
        <f t="shared" si="3"/>
        <v>15</v>
      </c>
      <c r="S3" s="145">
        <f t="shared" si="3"/>
        <v>16</v>
      </c>
      <c r="T3" s="145">
        <f t="shared" si="3"/>
        <v>17</v>
      </c>
      <c r="U3" s="145">
        <f>T3+1</f>
        <v>18</v>
      </c>
      <c r="V3" s="145">
        <f t="shared" si="3"/>
        <v>19</v>
      </c>
      <c r="W3" s="145">
        <f t="shared" si="3"/>
        <v>20</v>
      </c>
      <c r="X3" s="145">
        <f t="shared" si="3"/>
        <v>21</v>
      </c>
      <c r="Y3" s="145">
        <f t="shared" si="3"/>
        <v>22</v>
      </c>
      <c r="Z3" s="145">
        <f t="shared" si="3"/>
        <v>23</v>
      </c>
      <c r="AA3" s="145">
        <f t="shared" si="3"/>
        <v>24</v>
      </c>
      <c r="AB3" s="145">
        <f t="shared" si="3"/>
        <v>25</v>
      </c>
      <c r="AC3" s="145">
        <f t="shared" si="3"/>
        <v>26</v>
      </c>
      <c r="AD3" s="145">
        <f t="shared" si="3"/>
        <v>27</v>
      </c>
      <c r="AE3" s="145">
        <f t="shared" si="3"/>
        <v>28</v>
      </c>
      <c r="AF3" s="145">
        <f t="shared" si="3"/>
        <v>29</v>
      </c>
      <c r="AG3" s="145">
        <f t="shared" si="3"/>
        <v>30</v>
      </c>
      <c r="AH3" s="145">
        <f t="shared" si="3"/>
        <v>31</v>
      </c>
      <c r="AI3" s="145">
        <f t="shared" si="3"/>
        <v>32</v>
      </c>
      <c r="AJ3" s="145">
        <f t="shared" si="3"/>
        <v>33</v>
      </c>
      <c r="AK3" s="145">
        <f t="shared" si="3"/>
        <v>34</v>
      </c>
      <c r="AL3" s="145">
        <f t="shared" si="3"/>
        <v>35</v>
      </c>
      <c r="AM3" s="145">
        <f t="shared" si="3"/>
        <v>36</v>
      </c>
      <c r="AN3" s="145">
        <f t="shared" si="3"/>
        <v>37</v>
      </c>
      <c r="AO3" s="145">
        <f t="shared" si="3"/>
        <v>38</v>
      </c>
      <c r="AP3" s="145">
        <f t="shared" si="3"/>
        <v>39</v>
      </c>
      <c r="AQ3" s="145">
        <f t="shared" si="3"/>
        <v>40</v>
      </c>
      <c r="AR3" s="145">
        <f t="shared" si="3"/>
        <v>41</v>
      </c>
      <c r="AS3" s="145">
        <f t="shared" si="3"/>
        <v>42</v>
      </c>
      <c r="AT3" s="145">
        <f t="shared" si="3"/>
        <v>43</v>
      </c>
      <c r="AU3" s="145">
        <f t="shared" si="3"/>
        <v>44</v>
      </c>
      <c r="AV3" s="145">
        <f t="shared" si="3"/>
        <v>45</v>
      </c>
      <c r="AW3" s="145">
        <f t="shared" si="3"/>
        <v>46</v>
      </c>
      <c r="AX3" s="145">
        <f t="shared" si="3"/>
        <v>47</v>
      </c>
      <c r="AY3" s="145">
        <f t="shared" si="3"/>
        <v>48</v>
      </c>
      <c r="AZ3" s="145">
        <f t="shared" si="3"/>
        <v>49</v>
      </c>
      <c r="BA3" s="145">
        <f t="shared" si="3"/>
        <v>50</v>
      </c>
      <c r="BB3" s="145">
        <f t="shared" si="3"/>
        <v>51</v>
      </c>
      <c r="BC3" s="145">
        <f t="shared" si="3"/>
        <v>52</v>
      </c>
      <c r="BD3" s="145">
        <f t="shared" si="3"/>
        <v>53</v>
      </c>
      <c r="BE3" s="145">
        <f t="shared" si="3"/>
        <v>54</v>
      </c>
      <c r="BF3" s="145">
        <f t="shared" si="3"/>
        <v>55</v>
      </c>
      <c r="BG3" s="145">
        <f t="shared" si="3"/>
        <v>56</v>
      </c>
      <c r="BH3" s="145">
        <f t="shared" si="3"/>
        <v>57</v>
      </c>
      <c r="BI3" s="145">
        <f t="shared" si="3"/>
        <v>58</v>
      </c>
      <c r="BJ3" s="145">
        <f t="shared" si="3"/>
        <v>59</v>
      </c>
      <c r="BK3" s="145">
        <f t="shared" si="3"/>
        <v>60</v>
      </c>
      <c r="BL3" s="145">
        <f t="shared" si="3"/>
        <v>61</v>
      </c>
      <c r="BM3" s="145">
        <f t="shared" si="3"/>
        <v>62</v>
      </c>
      <c r="BN3" s="145">
        <f t="shared" si="3"/>
        <v>63</v>
      </c>
      <c r="BO3" s="145">
        <f t="shared" si="3"/>
        <v>64</v>
      </c>
      <c r="BP3" s="145">
        <f t="shared" si="3"/>
        <v>65</v>
      </c>
      <c r="BQ3" s="145">
        <f t="shared" ref="BQ3:CR3" si="4">BP3+1</f>
        <v>66</v>
      </c>
      <c r="BR3" s="145">
        <f t="shared" si="4"/>
        <v>67</v>
      </c>
      <c r="BS3" s="145">
        <f t="shared" si="4"/>
        <v>68</v>
      </c>
      <c r="BT3" s="145">
        <f t="shared" si="4"/>
        <v>69</v>
      </c>
      <c r="BU3" s="145">
        <f t="shared" si="4"/>
        <v>70</v>
      </c>
      <c r="BV3" s="145">
        <f t="shared" si="4"/>
        <v>71</v>
      </c>
      <c r="BW3" s="145">
        <f t="shared" si="4"/>
        <v>72</v>
      </c>
      <c r="BX3" s="145">
        <f t="shared" si="4"/>
        <v>73</v>
      </c>
      <c r="BY3" s="145">
        <f t="shared" si="4"/>
        <v>74</v>
      </c>
      <c r="BZ3" s="145">
        <f t="shared" si="4"/>
        <v>75</v>
      </c>
      <c r="CA3" s="145">
        <f t="shared" si="4"/>
        <v>76</v>
      </c>
      <c r="CB3" s="145">
        <f t="shared" si="4"/>
        <v>77</v>
      </c>
      <c r="CC3" s="145">
        <f t="shared" si="4"/>
        <v>78</v>
      </c>
      <c r="CD3" s="145">
        <f t="shared" si="4"/>
        <v>79</v>
      </c>
      <c r="CE3" s="145">
        <f t="shared" si="4"/>
        <v>80</v>
      </c>
      <c r="CF3" s="145">
        <f t="shared" si="4"/>
        <v>81</v>
      </c>
      <c r="CG3" s="145">
        <f t="shared" si="4"/>
        <v>82</v>
      </c>
      <c r="CH3" s="145">
        <f t="shared" si="4"/>
        <v>83</v>
      </c>
      <c r="CI3" s="145">
        <f t="shared" si="4"/>
        <v>84</v>
      </c>
      <c r="CJ3" s="145">
        <f t="shared" si="4"/>
        <v>85</v>
      </c>
      <c r="CK3" s="145">
        <f t="shared" si="4"/>
        <v>86</v>
      </c>
      <c r="CL3" s="145">
        <f t="shared" si="4"/>
        <v>87</v>
      </c>
      <c r="CM3" s="145">
        <f t="shared" si="4"/>
        <v>88</v>
      </c>
      <c r="CN3" s="145">
        <f t="shared" si="4"/>
        <v>89</v>
      </c>
      <c r="CO3" s="145">
        <f t="shared" si="4"/>
        <v>90</v>
      </c>
      <c r="CP3" s="145">
        <f t="shared" si="4"/>
        <v>91</v>
      </c>
      <c r="CQ3" s="145">
        <f t="shared" si="4"/>
        <v>92</v>
      </c>
      <c r="CR3" s="145">
        <f t="shared" si="4"/>
        <v>93</v>
      </c>
    </row>
    <row r="4" spans="1:96" s="36" customFormat="1" x14ac:dyDescent="0.45">
      <c r="A4" s="228"/>
      <c r="B4" s="148"/>
      <c r="AK4" s="39"/>
    </row>
    <row r="5" spans="1:96" s="36" customFormat="1" x14ac:dyDescent="0.45">
      <c r="A5" s="241">
        <f>MAX(D8:CC8)</f>
        <v>4110</v>
      </c>
      <c r="B5" s="149" t="s">
        <v>248</v>
      </c>
      <c r="C5" s="36">
        <f>ABS(C34)</f>
        <v>700</v>
      </c>
      <c r="D5" s="36">
        <f>ABS(D23)</f>
        <v>35</v>
      </c>
      <c r="E5" s="36">
        <f>ABS(E18+E19)</f>
        <v>1020</v>
      </c>
      <c r="AB5" s="36">
        <f>ABS(AB33+AB34+AB31)</f>
        <v>8350</v>
      </c>
      <c r="AE5" s="36">
        <f>-AE31</f>
        <v>500</v>
      </c>
    </row>
    <row r="6" spans="1:96" s="48" customFormat="1" x14ac:dyDescent="0.45">
      <c r="A6" s="240">
        <f>MIN(D8:CC8)</f>
        <v>-7770</v>
      </c>
      <c r="B6" s="150" t="s">
        <v>255</v>
      </c>
      <c r="D6" s="141">
        <f>SUM($C5:D5)+D7</f>
        <v>4235</v>
      </c>
      <c r="E6" s="141">
        <f>SUM($C5:E5)+E7</f>
        <v>4514</v>
      </c>
      <c r="F6" s="141">
        <f>SUM($C5:F5)+F7</f>
        <v>4803</v>
      </c>
      <c r="G6" s="141">
        <f>SUM($C5:G5)+G7</f>
        <v>5156</v>
      </c>
      <c r="H6" s="141">
        <f>SUM($C5:H5)+H7</f>
        <v>5492</v>
      </c>
      <c r="I6" s="141">
        <f>SUM($C5:I5)+I7</f>
        <v>5833</v>
      </c>
      <c r="J6" s="141">
        <f>SUM($C5:J5)+J7</f>
        <v>6147</v>
      </c>
      <c r="K6" s="141">
        <f>SUM($C5:K5)+K7</f>
        <v>6465</v>
      </c>
      <c r="L6" s="141">
        <f>SUM($C5:L5)+L7</f>
        <v>6782</v>
      </c>
      <c r="M6" s="141">
        <f>SUM($C5:M5)+M7</f>
        <v>7012</v>
      </c>
      <c r="N6" s="141">
        <f>SUM($C5:N5)+N7</f>
        <v>7242</v>
      </c>
      <c r="O6" s="141">
        <f>SUM($C5:O5)+O7</f>
        <v>10772</v>
      </c>
      <c r="P6" s="141">
        <f>SUM($C5:P5)+P7</f>
        <v>11002</v>
      </c>
      <c r="Q6" s="141">
        <f>SUM($C5:Q5)+Q7</f>
        <v>11232</v>
      </c>
      <c r="R6" s="141">
        <f>SUM($C5:R5)+R7</f>
        <v>11462</v>
      </c>
      <c r="S6" s="141">
        <f>SUM($C5:S5)+S7</f>
        <v>11692</v>
      </c>
      <c r="T6" s="141">
        <f>SUM($C5:T5)+T7</f>
        <v>11922</v>
      </c>
      <c r="U6" s="141">
        <f>SUM($C5:U5)+U7</f>
        <v>12152</v>
      </c>
      <c r="V6" s="141">
        <f>SUM($C5:V5)+V7</f>
        <v>12382</v>
      </c>
      <c r="W6" s="141">
        <f>SUM($C5:W5)+W7</f>
        <v>12612</v>
      </c>
      <c r="X6" s="141">
        <f>SUM($C5:X5)+X7</f>
        <v>12842</v>
      </c>
      <c r="Y6" s="141">
        <f>SUM($C5:Y5)+Y7</f>
        <v>13422</v>
      </c>
      <c r="Z6" s="141">
        <f>SUM($C5:Z5)+Z7</f>
        <v>14002</v>
      </c>
      <c r="AA6" s="141">
        <f>SUM($C5:AA5)+AA7</f>
        <v>14582</v>
      </c>
      <c r="AB6" s="141">
        <f>SUM($C5:AB5)+AB7</f>
        <v>15162</v>
      </c>
      <c r="AC6" s="141">
        <f>SUM($C5:AC5)+AC7</f>
        <v>15742</v>
      </c>
      <c r="AD6" s="141">
        <f>SUM($C5:AD5)+AD7</f>
        <v>16322</v>
      </c>
      <c r="AE6" s="141">
        <f>SUM($C5:AE5)+AE7</f>
        <v>20932</v>
      </c>
      <c r="AF6" s="141">
        <f>SUM($C5:AF5)+AF7</f>
        <v>21712</v>
      </c>
      <c r="AG6" s="141">
        <f>SUM($C5:AG5)+AG7</f>
        <v>22492</v>
      </c>
      <c r="AH6" s="141">
        <f>SUM($C5:AH5)+AH7</f>
        <v>23272</v>
      </c>
      <c r="AI6" s="141">
        <f>SUM($C5:AI5)+AI7</f>
        <v>24052</v>
      </c>
      <c r="AJ6" s="141">
        <f>SUM($C5:AJ5)+AJ7</f>
        <v>24832</v>
      </c>
      <c r="AK6" s="141">
        <f>SUM($C5:AK5)+AK7</f>
        <v>25762</v>
      </c>
      <c r="AL6" s="141">
        <f>SUM($C5:AL5)+AL7</f>
        <v>26542</v>
      </c>
      <c r="AM6" s="141">
        <f>SUM($C5:AM5)+AM7</f>
        <v>27322</v>
      </c>
      <c r="AN6" s="141">
        <f>SUM($C5:AN5)+AN7</f>
        <v>28102</v>
      </c>
      <c r="AO6" s="141">
        <f>SUM($C5:AO5)+AO7</f>
        <v>28882</v>
      </c>
      <c r="AP6" s="141">
        <f>SUM($C5:AP5)+AP7</f>
        <v>29662</v>
      </c>
      <c r="AQ6" s="141">
        <f>SUM($C5:AQ5)+AQ7</f>
        <v>30442</v>
      </c>
      <c r="AR6" s="141">
        <f>SUM($C5:AR5)+AR7</f>
        <v>31222</v>
      </c>
      <c r="AS6" s="141">
        <f>SUM($C5:AS5)+AS7</f>
        <v>32002</v>
      </c>
      <c r="AT6" s="141">
        <f>SUM($C5:AT5)+AT7</f>
        <v>32782</v>
      </c>
      <c r="AU6" s="141">
        <f>SUM($C5:AU5)+AU7</f>
        <v>33562</v>
      </c>
      <c r="AV6" s="141">
        <f>SUM($C5:AV5)+AV7</f>
        <v>34342</v>
      </c>
      <c r="AW6" s="141">
        <f>SUM($C5:AW5)+AW7</f>
        <v>35122</v>
      </c>
      <c r="AX6" s="141">
        <f>SUM($C5:AX5)+AX7</f>
        <v>35902</v>
      </c>
      <c r="AY6" s="141">
        <f>SUM($C5:AY5)+AY7</f>
        <v>36682</v>
      </c>
      <c r="AZ6" s="141">
        <f>SUM($C5:AZ5)+AZ7</f>
        <v>37462</v>
      </c>
      <c r="BA6" s="141">
        <f>SUM($C5:BA5)+BA7</f>
        <v>38242</v>
      </c>
      <c r="BB6" s="141">
        <f>SUM($C5:BB5)+BB7</f>
        <v>39022</v>
      </c>
      <c r="BC6" s="141">
        <f>SUM($C5:BC5)+BC7</f>
        <v>39802</v>
      </c>
      <c r="BD6" s="141">
        <f>SUM($C5:BD5)+BD7</f>
        <v>40582</v>
      </c>
      <c r="BE6" s="141">
        <f>SUM($C5:BE5)+BE7</f>
        <v>41362</v>
      </c>
      <c r="BF6" s="141">
        <f>SUM($C5:BF5)+BF7</f>
        <v>42142</v>
      </c>
      <c r="BG6" s="141">
        <f>SUM($C5:BG5)+BG7</f>
        <v>42922</v>
      </c>
      <c r="BH6" s="141">
        <f>SUM($C5:BH5)+BH7</f>
        <v>43702</v>
      </c>
      <c r="BI6" s="141">
        <f>SUM($C5:BI5)+BI7</f>
        <v>44682</v>
      </c>
      <c r="BJ6" s="141">
        <f>SUM($C5:BJ5)+BJ7</f>
        <v>45662</v>
      </c>
      <c r="BK6" s="141">
        <f>SUM($C5:BK5)+BK7</f>
        <v>46642</v>
      </c>
      <c r="BL6" s="141">
        <f>SUM($C5:BL5)+BL7</f>
        <v>47622</v>
      </c>
      <c r="BM6" s="141">
        <f>SUM($C5:BM5)+BM7</f>
        <v>48602</v>
      </c>
      <c r="BN6" s="141">
        <f>SUM($C5:BN5)+BN7</f>
        <v>49582</v>
      </c>
      <c r="BO6" s="141">
        <f>SUM($C5:BO5)+BO7</f>
        <v>50562</v>
      </c>
      <c r="BP6" s="141">
        <f>SUM($C5:BP5)+BP7</f>
        <v>51542</v>
      </c>
      <c r="BQ6" s="141">
        <f>SUM($C5:BQ5)+BQ7</f>
        <v>52522</v>
      </c>
      <c r="BR6" s="141">
        <f>SUM($C5:BR5)+BR7</f>
        <v>53502</v>
      </c>
      <c r="BS6" s="141">
        <f>SUM($C5:BS5)+BS7</f>
        <v>54482</v>
      </c>
      <c r="BT6" s="141">
        <f>SUM($C5:BT5)+BT7</f>
        <v>55462</v>
      </c>
      <c r="BU6" s="141">
        <f>SUM($C5:BU5)+BU7</f>
        <v>56442</v>
      </c>
      <c r="BV6" s="141">
        <f>SUM($C5:BV5)+BV7</f>
        <v>57722</v>
      </c>
      <c r="BW6" s="141">
        <f>SUM($C5:BW5)+BW7</f>
        <v>58702</v>
      </c>
      <c r="BX6" s="141">
        <f>SUM($C5:BX5)+BX7</f>
        <v>59682</v>
      </c>
      <c r="BY6" s="141">
        <f>SUM($C5:BY5)+BY7</f>
        <v>60662</v>
      </c>
      <c r="BZ6" s="141">
        <f>SUM($C5:BZ5)+BZ7</f>
        <v>61642</v>
      </c>
      <c r="CA6" s="141">
        <f>SUM($C5:CA5)+CA7</f>
        <v>62623</v>
      </c>
      <c r="CB6" s="141">
        <f>SUM($C5:CB5)+CB7</f>
        <v>63605</v>
      </c>
      <c r="CC6" s="141">
        <f>SUM($C5:CC5)+CC7</f>
        <v>67088</v>
      </c>
    </row>
    <row r="7" spans="1:96" x14ac:dyDescent="0.45">
      <c r="B7" s="151" t="s">
        <v>121</v>
      </c>
      <c r="C7" s="24">
        <f>SUM(C11:C1048576)</f>
        <v>4300</v>
      </c>
      <c r="D7" s="24">
        <f>C7+SUM(D11:D40)</f>
        <v>3500</v>
      </c>
      <c r="E7" s="24">
        <f t="shared" ref="E7:AM7" si="5">D7+SUM(E11:E40)</f>
        <v>2759</v>
      </c>
      <c r="F7" s="24">
        <f t="shared" si="5"/>
        <v>3048</v>
      </c>
      <c r="G7" s="24">
        <f t="shared" si="5"/>
        <v>3401</v>
      </c>
      <c r="H7" s="24">
        <f t="shared" si="5"/>
        <v>3737</v>
      </c>
      <c r="I7" s="24">
        <f t="shared" si="5"/>
        <v>4078</v>
      </c>
      <c r="J7" s="24">
        <f t="shared" si="5"/>
        <v>4392</v>
      </c>
      <c r="K7" s="24">
        <f t="shared" si="5"/>
        <v>4710</v>
      </c>
      <c r="L7" s="24">
        <f t="shared" si="5"/>
        <v>5027</v>
      </c>
      <c r="M7" s="24">
        <f t="shared" si="5"/>
        <v>5257</v>
      </c>
      <c r="N7" s="24">
        <f t="shared" si="5"/>
        <v>5487</v>
      </c>
      <c r="O7" s="24">
        <f t="shared" si="5"/>
        <v>9017</v>
      </c>
      <c r="P7" s="24">
        <f t="shared" si="5"/>
        <v>9247</v>
      </c>
      <c r="Q7" s="24">
        <f t="shared" si="5"/>
        <v>9477</v>
      </c>
      <c r="R7" s="24">
        <f t="shared" si="5"/>
        <v>9707</v>
      </c>
      <c r="S7" s="24">
        <f t="shared" si="5"/>
        <v>9937</v>
      </c>
      <c r="T7" s="24">
        <f t="shared" si="5"/>
        <v>10167</v>
      </c>
      <c r="U7" s="24">
        <f t="shared" si="5"/>
        <v>10397</v>
      </c>
      <c r="V7" s="24">
        <f t="shared" si="5"/>
        <v>10627</v>
      </c>
      <c r="W7" s="24">
        <f t="shared" si="5"/>
        <v>10857</v>
      </c>
      <c r="X7" s="24">
        <f t="shared" si="5"/>
        <v>11087</v>
      </c>
      <c r="Y7" s="24">
        <f t="shared" si="5"/>
        <v>11667</v>
      </c>
      <c r="Z7" s="24">
        <f t="shared" si="5"/>
        <v>12247</v>
      </c>
      <c r="AA7" s="24">
        <f t="shared" si="5"/>
        <v>12827</v>
      </c>
      <c r="AB7" s="24">
        <f t="shared" si="5"/>
        <v>5057</v>
      </c>
      <c r="AC7" s="24">
        <f t="shared" si="5"/>
        <v>5637</v>
      </c>
      <c r="AD7" s="24">
        <f t="shared" si="5"/>
        <v>6217</v>
      </c>
      <c r="AE7" s="24">
        <f t="shared" si="5"/>
        <v>10327</v>
      </c>
      <c r="AF7" s="24">
        <f t="shared" si="5"/>
        <v>11107</v>
      </c>
      <c r="AG7" s="24">
        <f t="shared" si="5"/>
        <v>11887</v>
      </c>
      <c r="AH7" s="24">
        <f t="shared" si="5"/>
        <v>12667</v>
      </c>
      <c r="AI7" s="24">
        <f t="shared" si="5"/>
        <v>13447</v>
      </c>
      <c r="AJ7" s="24">
        <f t="shared" si="5"/>
        <v>14227</v>
      </c>
      <c r="AK7" s="24">
        <f t="shared" si="5"/>
        <v>15157</v>
      </c>
      <c r="AL7" s="24">
        <f t="shared" si="5"/>
        <v>15937</v>
      </c>
      <c r="AM7" s="24">
        <f t="shared" si="5"/>
        <v>16717</v>
      </c>
      <c r="AN7" s="24">
        <f t="shared" ref="AN7" si="6">AM7+SUM(AN11:AN40)</f>
        <v>17497</v>
      </c>
      <c r="AO7" s="24">
        <f>AN7+SUM(AO11:AO40)</f>
        <v>18277</v>
      </c>
      <c r="AP7" s="24">
        <f>AO7+SUM(AP11:AP40)</f>
        <v>19057</v>
      </c>
      <c r="AQ7" s="24">
        <f t="shared" ref="AQ7:BQ7" si="7">AP7+SUM(AQ11:AQ40)</f>
        <v>19837</v>
      </c>
      <c r="AR7" s="24">
        <f t="shared" si="7"/>
        <v>20617</v>
      </c>
      <c r="AS7" s="24">
        <f t="shared" si="7"/>
        <v>21397</v>
      </c>
      <c r="AT7" s="24">
        <f t="shared" si="7"/>
        <v>22177</v>
      </c>
      <c r="AU7" s="24">
        <f t="shared" si="7"/>
        <v>22957</v>
      </c>
      <c r="AV7" s="24">
        <f t="shared" si="7"/>
        <v>23737</v>
      </c>
      <c r="AW7" s="24">
        <f t="shared" si="7"/>
        <v>24517</v>
      </c>
      <c r="AX7" s="24">
        <f t="shared" si="7"/>
        <v>25297</v>
      </c>
      <c r="AY7" s="24">
        <f t="shared" si="7"/>
        <v>26077</v>
      </c>
      <c r="AZ7" s="24">
        <f t="shared" si="7"/>
        <v>26857</v>
      </c>
      <c r="BA7" s="24">
        <f t="shared" si="7"/>
        <v>27637</v>
      </c>
      <c r="BB7" s="24">
        <f t="shared" si="7"/>
        <v>28417</v>
      </c>
      <c r="BC7" s="24">
        <f t="shared" si="7"/>
        <v>29197</v>
      </c>
      <c r="BD7" s="24">
        <f t="shared" si="7"/>
        <v>29977</v>
      </c>
      <c r="BE7" s="24">
        <f t="shared" si="7"/>
        <v>30757</v>
      </c>
      <c r="BF7" s="24">
        <f t="shared" si="7"/>
        <v>31537</v>
      </c>
      <c r="BG7" s="24">
        <f t="shared" si="7"/>
        <v>32317</v>
      </c>
      <c r="BH7" s="24">
        <f t="shared" si="7"/>
        <v>33097</v>
      </c>
      <c r="BI7" s="24">
        <f t="shared" si="7"/>
        <v>34077</v>
      </c>
      <c r="BJ7" s="24">
        <f t="shared" si="7"/>
        <v>35057</v>
      </c>
      <c r="BK7" s="24">
        <f t="shared" si="7"/>
        <v>36037</v>
      </c>
      <c r="BL7" s="24">
        <f t="shared" si="7"/>
        <v>37017</v>
      </c>
      <c r="BM7" s="24">
        <f t="shared" si="7"/>
        <v>37997</v>
      </c>
      <c r="BN7" s="24">
        <f t="shared" si="7"/>
        <v>38977</v>
      </c>
      <c r="BO7" s="24">
        <f t="shared" si="7"/>
        <v>39957</v>
      </c>
      <c r="BP7" s="24">
        <f t="shared" si="7"/>
        <v>40937</v>
      </c>
      <c r="BQ7" s="24">
        <f t="shared" si="7"/>
        <v>41917</v>
      </c>
      <c r="BR7" s="24">
        <f>BQ7+SUM(BR11:BR40)</f>
        <v>42897</v>
      </c>
      <c r="BS7" s="24">
        <f>BR7+SUM(BS11:BS40)</f>
        <v>43877</v>
      </c>
      <c r="BT7" s="24">
        <f t="shared" ref="BT7:BW7" si="8">BS7+SUM(BT11:BT40)</f>
        <v>44857</v>
      </c>
      <c r="BU7" s="24">
        <f t="shared" si="8"/>
        <v>45837</v>
      </c>
      <c r="BV7" s="24">
        <f t="shared" si="8"/>
        <v>47117</v>
      </c>
      <c r="BW7" s="24">
        <f t="shared" si="8"/>
        <v>48097</v>
      </c>
      <c r="BX7" s="24">
        <f t="shared" ref="BX7" si="9">BW7+SUM(BX11:BX40)</f>
        <v>49077</v>
      </c>
      <c r="BY7" s="24">
        <f t="shared" ref="BY7" si="10">BX7+SUM(BY11:BY40)</f>
        <v>50057</v>
      </c>
      <c r="BZ7" s="24">
        <f t="shared" ref="BZ7" si="11">BY7+SUM(BZ11:BZ40)</f>
        <v>51037</v>
      </c>
      <c r="CA7" s="24">
        <f t="shared" ref="CA7" si="12">BZ7+SUM(CA11:CA40)</f>
        <v>52018</v>
      </c>
      <c r="CB7" s="24">
        <f t="shared" ref="CB7" si="13">CA7+SUM(CB11:CB40)</f>
        <v>53000</v>
      </c>
      <c r="CC7" s="24">
        <f t="shared" ref="CC7" si="14">CB7+SUM(CC11:CC40)</f>
        <v>56483</v>
      </c>
    </row>
    <row r="8" spans="1:96" s="144" customFormat="1" x14ac:dyDescent="0.45">
      <c r="A8" s="227"/>
      <c r="B8" s="152" t="s">
        <v>122</v>
      </c>
      <c r="C8" s="142"/>
      <c r="D8" s="143">
        <f t="shared" ref="D8:H8" si="15">D7-C7</f>
        <v>-800</v>
      </c>
      <c r="E8" s="143">
        <f t="shared" si="15"/>
        <v>-741</v>
      </c>
      <c r="F8" s="143">
        <f t="shared" si="15"/>
        <v>289</v>
      </c>
      <c r="G8" s="143">
        <f t="shared" si="15"/>
        <v>353</v>
      </c>
      <c r="H8" s="143">
        <f t="shared" si="15"/>
        <v>336</v>
      </c>
      <c r="I8" s="143">
        <f>I7-H7</f>
        <v>341</v>
      </c>
      <c r="J8" s="143">
        <f t="shared" ref="J8:K8" si="16">J7-I7</f>
        <v>314</v>
      </c>
      <c r="K8" s="143">
        <f t="shared" si="16"/>
        <v>318</v>
      </c>
      <c r="L8" s="143">
        <f t="shared" ref="L8" si="17">L7-K7</f>
        <v>317</v>
      </c>
      <c r="M8" s="143">
        <f t="shared" ref="M8" si="18">M7-L7</f>
        <v>230</v>
      </c>
      <c r="N8" s="143">
        <f t="shared" ref="N8" si="19">N7-M7</f>
        <v>230</v>
      </c>
      <c r="O8" s="143">
        <f t="shared" ref="O8" si="20">O7-N7</f>
        <v>3530</v>
      </c>
      <c r="P8" s="143">
        <f t="shared" ref="P8" si="21">P7-O7</f>
        <v>230</v>
      </c>
      <c r="Q8" s="143">
        <f t="shared" ref="Q8" si="22">Q7-P7</f>
        <v>230</v>
      </c>
      <c r="R8" s="143">
        <f t="shared" ref="R8" si="23">R7-Q7</f>
        <v>230</v>
      </c>
      <c r="S8" s="143">
        <f t="shared" ref="S8" si="24">S7-R7</f>
        <v>230</v>
      </c>
      <c r="T8" s="143">
        <f t="shared" ref="T8" si="25">T7-S7</f>
        <v>230</v>
      </c>
      <c r="U8" s="143">
        <f t="shared" ref="U8" si="26">U7-T7</f>
        <v>230</v>
      </c>
      <c r="V8" s="143">
        <f t="shared" ref="V8" si="27">V7-U7</f>
        <v>230</v>
      </c>
      <c r="W8" s="143">
        <f t="shared" ref="W8" si="28">W7-V7</f>
        <v>230</v>
      </c>
      <c r="X8" s="143">
        <f t="shared" ref="X8" si="29">X7-W7</f>
        <v>230</v>
      </c>
      <c r="Y8" s="143">
        <f t="shared" ref="Y8" si="30">Y7-X7</f>
        <v>580</v>
      </c>
      <c r="Z8" s="143">
        <f t="shared" ref="Z8" si="31">Z7-Y7</f>
        <v>580</v>
      </c>
      <c r="AA8" s="143">
        <f t="shared" ref="AA8" si="32">AA7-Z7</f>
        <v>580</v>
      </c>
      <c r="AB8" s="143">
        <f t="shared" ref="AB8" si="33">AB7-AA7</f>
        <v>-7770</v>
      </c>
      <c r="AC8" s="143">
        <f t="shared" ref="AC8" si="34">AC7-AB7</f>
        <v>580</v>
      </c>
      <c r="AD8" s="143">
        <f t="shared" ref="AD8" si="35">AD7-AC7</f>
        <v>580</v>
      </c>
      <c r="AE8" s="143">
        <f t="shared" ref="AE8" si="36">AE7-AD7</f>
        <v>4110</v>
      </c>
      <c r="AF8" s="143">
        <f t="shared" ref="AF8" si="37">AF7-AE7</f>
        <v>780</v>
      </c>
      <c r="AG8" s="143">
        <f t="shared" ref="AG8" si="38">AG7-AF7</f>
        <v>780</v>
      </c>
      <c r="AH8" s="143">
        <f t="shared" ref="AH8" si="39">AH7-AG7</f>
        <v>780</v>
      </c>
      <c r="AI8" s="143">
        <f t="shared" ref="AI8" si="40">AI7-AH7</f>
        <v>780</v>
      </c>
      <c r="AJ8" s="143">
        <f t="shared" ref="AJ8" si="41">AJ7-AI7</f>
        <v>780</v>
      </c>
      <c r="AK8" s="143">
        <f t="shared" ref="AK8" si="42">AK7-AJ7</f>
        <v>930</v>
      </c>
      <c r="AL8" s="143">
        <f t="shared" ref="AL8" si="43">AL7-AK7</f>
        <v>780</v>
      </c>
      <c r="AM8" s="143">
        <f t="shared" ref="AM8" si="44">AM7-AL7</f>
        <v>780</v>
      </c>
      <c r="AN8" s="143">
        <f t="shared" ref="AN8" si="45">AN7-AM7</f>
        <v>780</v>
      </c>
      <c r="AO8" s="143">
        <f>AO7-AN7</f>
        <v>780</v>
      </c>
      <c r="AP8" s="143">
        <f t="shared" ref="AP8:AQ8" si="46">AP7-AO7</f>
        <v>780</v>
      </c>
      <c r="AQ8" s="143">
        <f t="shared" si="46"/>
        <v>780</v>
      </c>
      <c r="AR8" s="143">
        <f t="shared" ref="AR8:AS8" si="47">AR7-AQ7</f>
        <v>780</v>
      </c>
      <c r="AS8" s="143">
        <f t="shared" si="47"/>
        <v>780</v>
      </c>
      <c r="AT8" s="143">
        <f t="shared" ref="AT8:AU8" si="48">AT7-AS7</f>
        <v>780</v>
      </c>
      <c r="AU8" s="143">
        <f t="shared" si="48"/>
        <v>780</v>
      </c>
      <c r="AV8" s="143">
        <f t="shared" ref="AV8:AW8" si="49">AV7-AU7</f>
        <v>780</v>
      </c>
      <c r="AW8" s="143">
        <f t="shared" si="49"/>
        <v>780</v>
      </c>
      <c r="AX8" s="143">
        <f t="shared" ref="AX8:AY8" si="50">AX7-AW7</f>
        <v>780</v>
      </c>
      <c r="AY8" s="143">
        <f t="shared" si="50"/>
        <v>780</v>
      </c>
      <c r="AZ8" s="143">
        <f t="shared" ref="AZ8:BA8" si="51">AZ7-AY7</f>
        <v>780</v>
      </c>
      <c r="BA8" s="143">
        <f t="shared" si="51"/>
        <v>780</v>
      </c>
      <c r="BB8" s="143">
        <f t="shared" ref="BB8:BC8" si="52">BB7-BA7</f>
        <v>780</v>
      </c>
      <c r="BC8" s="143">
        <f t="shared" si="52"/>
        <v>780</v>
      </c>
      <c r="BD8" s="143">
        <f t="shared" ref="BD8:BE8" si="53">BD7-BC7</f>
        <v>780</v>
      </c>
      <c r="BE8" s="143">
        <f t="shared" si="53"/>
        <v>780</v>
      </c>
      <c r="BF8" s="143">
        <f t="shared" ref="BF8:BG8" si="54">BF7-BE7</f>
        <v>780</v>
      </c>
      <c r="BG8" s="143">
        <f t="shared" si="54"/>
        <v>780</v>
      </c>
      <c r="BH8" s="143">
        <f t="shared" ref="BH8:BI8" si="55">BH7-BG7</f>
        <v>780</v>
      </c>
      <c r="BI8" s="143">
        <f t="shared" si="55"/>
        <v>980</v>
      </c>
      <c r="BJ8" s="143">
        <f t="shared" ref="BJ8:BK8" si="56">BJ7-BI7</f>
        <v>980</v>
      </c>
      <c r="BK8" s="143">
        <f t="shared" si="56"/>
        <v>980</v>
      </c>
      <c r="BL8" s="143">
        <f t="shared" ref="BL8:BM8" si="57">BL7-BK7</f>
        <v>980</v>
      </c>
      <c r="BM8" s="143">
        <f t="shared" si="57"/>
        <v>980</v>
      </c>
      <c r="BN8" s="143">
        <f t="shared" ref="BN8:BO8" si="58">BN7-BM7</f>
        <v>980</v>
      </c>
      <c r="BO8" s="143">
        <f t="shared" si="58"/>
        <v>980</v>
      </c>
      <c r="BP8" s="143">
        <f t="shared" ref="BP8:BQ8" si="59">BP7-BO7</f>
        <v>980</v>
      </c>
      <c r="BQ8" s="143">
        <f t="shared" si="59"/>
        <v>980</v>
      </c>
      <c r="BR8" s="143">
        <f>BR7-BQ7</f>
        <v>980</v>
      </c>
      <c r="BS8" s="143">
        <f t="shared" ref="BS8" si="60">BS7-BR7</f>
        <v>980</v>
      </c>
      <c r="BT8" s="143">
        <f t="shared" ref="BT8" si="61">BT7-BS7</f>
        <v>980</v>
      </c>
      <c r="BU8" s="143">
        <f t="shared" ref="BU8" si="62">BU7-BT7</f>
        <v>980</v>
      </c>
      <c r="BV8" s="143">
        <f t="shared" ref="BV8" si="63">BV7-BU7</f>
        <v>1280</v>
      </c>
      <c r="BW8" s="143">
        <f t="shared" ref="BW8" si="64">BW7-BV7</f>
        <v>980</v>
      </c>
      <c r="BX8" s="143">
        <f t="shared" ref="BX8" si="65">BX7-BW7</f>
        <v>980</v>
      </c>
      <c r="BY8" s="143">
        <f t="shared" ref="BY8" si="66">BY7-BX7</f>
        <v>980</v>
      </c>
      <c r="BZ8" s="143">
        <f t="shared" ref="BZ8" si="67">BZ7-BY7</f>
        <v>980</v>
      </c>
      <c r="CA8" s="143">
        <f t="shared" ref="CA8" si="68">CA7-BZ7</f>
        <v>981</v>
      </c>
      <c r="CB8" s="143">
        <f t="shared" ref="CB8" si="69">CB7-CA7</f>
        <v>982</v>
      </c>
      <c r="CC8" s="143">
        <f t="shared" ref="CC8" si="70">CC7-CB7</f>
        <v>3483</v>
      </c>
    </row>
    <row r="9" spans="1:96" s="36" customFormat="1" ht="28.5" x14ac:dyDescent="0.45">
      <c r="A9" s="205" t="s">
        <v>162</v>
      </c>
      <c r="B9" s="225" t="s">
        <v>120</v>
      </c>
      <c r="C9" s="36">
        <v>100</v>
      </c>
      <c r="D9" s="36">
        <v>100</v>
      </c>
      <c r="E9" s="36">
        <f>D9</f>
        <v>100</v>
      </c>
      <c r="F9" s="36">
        <f>E9</f>
        <v>100</v>
      </c>
      <c r="G9" s="36">
        <f>F9</f>
        <v>100</v>
      </c>
      <c r="H9" s="36">
        <f t="shared" ref="H9:I9" si="71">G9</f>
        <v>100</v>
      </c>
      <c r="I9" s="36">
        <f t="shared" si="71"/>
        <v>100</v>
      </c>
      <c r="J9" s="36">
        <f>I9</f>
        <v>100</v>
      </c>
      <c r="K9" s="36">
        <f t="shared" ref="K9" si="72">J9</f>
        <v>100</v>
      </c>
      <c r="L9" s="36">
        <f t="shared" ref="L9" si="73">K9</f>
        <v>100</v>
      </c>
      <c r="M9" s="36">
        <f>L9</f>
        <v>100</v>
      </c>
      <c r="N9" s="36">
        <f t="shared" ref="N9" si="74">M9</f>
        <v>100</v>
      </c>
      <c r="O9" s="36">
        <f t="shared" ref="O9" si="75">N9</f>
        <v>100</v>
      </c>
      <c r="P9" s="36">
        <f>O9</f>
        <v>100</v>
      </c>
      <c r="Q9" s="36">
        <f t="shared" ref="Q9" si="76">P9</f>
        <v>100</v>
      </c>
      <c r="R9" s="36">
        <f t="shared" ref="R9" si="77">Q9</f>
        <v>100</v>
      </c>
      <c r="S9" s="36">
        <f>R9</f>
        <v>100</v>
      </c>
      <c r="T9" s="36">
        <f t="shared" ref="T9" si="78">S9</f>
        <v>100</v>
      </c>
      <c r="U9" s="36">
        <f t="shared" ref="U9" si="79">T9</f>
        <v>100</v>
      </c>
      <c r="V9" s="36">
        <f>U9</f>
        <v>100</v>
      </c>
      <c r="W9" s="36">
        <f t="shared" ref="W9" si="80">V9</f>
        <v>100</v>
      </c>
      <c r="X9" s="36">
        <f t="shared" ref="X9" si="81">W9</f>
        <v>100</v>
      </c>
      <c r="Y9" s="36">
        <f>X9</f>
        <v>100</v>
      </c>
      <c r="Z9" s="36">
        <f t="shared" ref="Z9" si="82">Y9</f>
        <v>100</v>
      </c>
      <c r="AA9" s="36">
        <f t="shared" ref="AA9" si="83">Z9</f>
        <v>100</v>
      </c>
      <c r="AB9" s="36">
        <f>AA9</f>
        <v>100</v>
      </c>
      <c r="AC9" s="36">
        <f t="shared" ref="AC9" si="84">AB9</f>
        <v>100</v>
      </c>
      <c r="AD9" s="36">
        <f t="shared" ref="AD9" si="85">AC9</f>
        <v>100</v>
      </c>
      <c r="AE9" s="36">
        <f>AD9</f>
        <v>100</v>
      </c>
      <c r="AF9" s="36">
        <f t="shared" ref="AF9" si="86">AE9</f>
        <v>100</v>
      </c>
      <c r="AG9" s="36">
        <f t="shared" ref="AG9" si="87">AF9</f>
        <v>100</v>
      </c>
      <c r="AH9" s="36">
        <f>AG9</f>
        <v>100</v>
      </c>
      <c r="AI9" s="36">
        <f t="shared" ref="AI9" si="88">AH9</f>
        <v>100</v>
      </c>
      <c r="AJ9" s="36">
        <f t="shared" ref="AJ9" si="89">AI9</f>
        <v>100</v>
      </c>
      <c r="AK9" s="36">
        <f t="shared" ref="AK9" si="90">AJ9</f>
        <v>100</v>
      </c>
      <c r="AL9" s="36">
        <f t="shared" ref="AL9" si="91">AK9</f>
        <v>100</v>
      </c>
      <c r="AM9" s="36">
        <f t="shared" ref="AM9" si="92">AL9</f>
        <v>100</v>
      </c>
      <c r="AN9" s="36">
        <f t="shared" ref="AN9" si="93">AM9</f>
        <v>100</v>
      </c>
      <c r="AO9" s="36">
        <f>AN9</f>
        <v>100</v>
      </c>
      <c r="AP9" s="36">
        <f t="shared" ref="AP9:AQ9" si="94">AO9</f>
        <v>100</v>
      </c>
      <c r="AQ9" s="36">
        <f t="shared" si="94"/>
        <v>100</v>
      </c>
      <c r="AR9" s="36">
        <f t="shared" ref="AR9:AS9" si="95">AQ9</f>
        <v>100</v>
      </c>
      <c r="AS9" s="36">
        <f t="shared" si="95"/>
        <v>100</v>
      </c>
      <c r="AT9" s="36">
        <f t="shared" ref="AT9:AU9" si="96">AS9</f>
        <v>100</v>
      </c>
      <c r="AU9" s="36">
        <f t="shared" si="96"/>
        <v>100</v>
      </c>
      <c r="AV9" s="36">
        <f t="shared" ref="AV9:AW9" si="97">AU9</f>
        <v>100</v>
      </c>
      <c r="AW9" s="36">
        <f t="shared" si="97"/>
        <v>100</v>
      </c>
      <c r="AX9" s="36">
        <f t="shared" ref="AX9:AY9" si="98">AW9</f>
        <v>100</v>
      </c>
      <c r="AY9" s="36">
        <f t="shared" si="98"/>
        <v>100</v>
      </c>
      <c r="AZ9" s="36">
        <f t="shared" ref="AZ9:BA9" si="99">AY9</f>
        <v>100</v>
      </c>
      <c r="BA9" s="36">
        <f t="shared" si="99"/>
        <v>100</v>
      </c>
      <c r="BB9" s="36">
        <f t="shared" ref="BB9:BC9" si="100">BA9</f>
        <v>100</v>
      </c>
      <c r="BC9" s="36">
        <f t="shared" si="100"/>
        <v>100</v>
      </c>
      <c r="BD9" s="36">
        <f t="shared" ref="BD9:BE9" si="101">BC9</f>
        <v>100</v>
      </c>
      <c r="BE9" s="36">
        <f t="shared" si="101"/>
        <v>100</v>
      </c>
      <c r="BF9" s="36">
        <f t="shared" ref="BF9:BG9" si="102">BE9</f>
        <v>100</v>
      </c>
      <c r="BG9" s="36">
        <f t="shared" si="102"/>
        <v>100</v>
      </c>
      <c r="BH9" s="36">
        <f t="shared" ref="BH9:BI9" si="103">BG9</f>
        <v>100</v>
      </c>
      <c r="BI9" s="36">
        <f t="shared" si="103"/>
        <v>100</v>
      </c>
      <c r="BJ9" s="36">
        <f t="shared" ref="BJ9:BK9" si="104">BI9</f>
        <v>100</v>
      </c>
      <c r="BK9" s="36">
        <f t="shared" si="104"/>
        <v>100</v>
      </c>
      <c r="BL9" s="36">
        <f t="shared" ref="BL9:BM9" si="105">BK9</f>
        <v>100</v>
      </c>
      <c r="BM9" s="36">
        <f t="shared" si="105"/>
        <v>100</v>
      </c>
      <c r="BN9" s="36">
        <f t="shared" ref="BN9:BO9" si="106">BM9</f>
        <v>100</v>
      </c>
      <c r="BO9" s="36">
        <f t="shared" si="106"/>
        <v>100</v>
      </c>
      <c r="BP9" s="36">
        <f t="shared" ref="BP9:BQ9" si="107">BO9</f>
        <v>100</v>
      </c>
      <c r="BQ9" s="36">
        <f t="shared" si="107"/>
        <v>100</v>
      </c>
      <c r="BR9" s="36">
        <f>BQ9</f>
        <v>100</v>
      </c>
      <c r="BS9" s="36">
        <f t="shared" ref="BS9" si="108">BR9</f>
        <v>100</v>
      </c>
      <c r="BT9" s="36">
        <f t="shared" ref="BT9" si="109">BS9</f>
        <v>100</v>
      </c>
      <c r="BU9" s="36">
        <f t="shared" ref="BU9" si="110">BT9</f>
        <v>100</v>
      </c>
      <c r="BV9" s="36">
        <f t="shared" ref="BV9" si="111">BU9</f>
        <v>100</v>
      </c>
      <c r="BW9" s="36">
        <f t="shared" ref="BW9" si="112">BV9</f>
        <v>100</v>
      </c>
      <c r="BX9" s="36">
        <f t="shared" ref="BX9" si="113">BW9</f>
        <v>100</v>
      </c>
      <c r="BY9" s="36">
        <f t="shared" ref="BY9" si="114">BX9</f>
        <v>100</v>
      </c>
      <c r="BZ9" s="36">
        <f t="shared" ref="BZ9" si="115">BY9</f>
        <v>100</v>
      </c>
      <c r="CA9" s="36">
        <f t="shared" ref="CA9" si="116">BZ9</f>
        <v>100</v>
      </c>
      <c r="CB9" s="36">
        <f t="shared" ref="CB9" si="117">CA9</f>
        <v>100</v>
      </c>
      <c r="CC9" s="36">
        <f t="shared" ref="CC9" si="118">CB9</f>
        <v>100</v>
      </c>
    </row>
    <row r="10" spans="1:96" s="48" customFormat="1" x14ac:dyDescent="0.45">
      <c r="A10" s="216" t="s">
        <v>275</v>
      </c>
      <c r="B10" s="218" t="s">
        <v>277</v>
      </c>
      <c r="C10" s="48">
        <v>1</v>
      </c>
      <c r="D10" s="48">
        <v>1</v>
      </c>
      <c r="E10" s="48">
        <v>1</v>
      </c>
      <c r="F10" s="48">
        <v>1</v>
      </c>
      <c r="G10" s="48">
        <v>1</v>
      </c>
      <c r="H10" s="48">
        <v>1</v>
      </c>
      <c r="I10" s="48">
        <v>1</v>
      </c>
      <c r="J10" s="48">
        <v>1</v>
      </c>
      <c r="K10" s="48">
        <v>1</v>
      </c>
      <c r="L10" s="48">
        <v>1</v>
      </c>
      <c r="M10" s="48">
        <v>1</v>
      </c>
      <c r="N10" s="48">
        <v>1</v>
      </c>
      <c r="O10" s="48">
        <v>1</v>
      </c>
      <c r="P10" s="48">
        <v>1</v>
      </c>
      <c r="Q10" s="48">
        <v>1</v>
      </c>
      <c r="R10" s="48">
        <v>1</v>
      </c>
      <c r="S10" s="48">
        <v>1</v>
      </c>
      <c r="T10" s="48">
        <v>1</v>
      </c>
      <c r="U10" s="48">
        <v>1</v>
      </c>
      <c r="V10" s="48">
        <v>1</v>
      </c>
      <c r="W10" s="48">
        <v>1</v>
      </c>
      <c r="X10" s="48">
        <v>1</v>
      </c>
      <c r="Y10" s="48">
        <v>1</v>
      </c>
      <c r="Z10" s="48">
        <v>1</v>
      </c>
      <c r="AA10" s="48">
        <v>1</v>
      </c>
      <c r="AB10" s="48">
        <v>1</v>
      </c>
      <c r="AC10" s="48">
        <v>1</v>
      </c>
      <c r="AD10" s="48">
        <v>1</v>
      </c>
      <c r="AE10" s="48">
        <v>1</v>
      </c>
      <c r="AF10" s="48">
        <v>1</v>
      </c>
      <c r="AG10" s="48">
        <v>1</v>
      </c>
      <c r="AH10" s="48">
        <v>1</v>
      </c>
      <c r="AI10" s="48">
        <v>1</v>
      </c>
      <c r="AJ10" s="48">
        <v>1</v>
      </c>
      <c r="AK10" s="48">
        <v>1</v>
      </c>
      <c r="AL10" s="48">
        <v>1</v>
      </c>
      <c r="AM10" s="48">
        <v>1</v>
      </c>
      <c r="AN10" s="48">
        <v>1</v>
      </c>
      <c r="AO10" s="48">
        <v>1</v>
      </c>
      <c r="AP10" s="48">
        <v>1</v>
      </c>
      <c r="AQ10" s="48">
        <v>1</v>
      </c>
      <c r="AR10" s="48">
        <v>1</v>
      </c>
      <c r="AS10" s="48">
        <v>1</v>
      </c>
      <c r="AT10" s="48">
        <v>1</v>
      </c>
      <c r="AU10" s="48">
        <v>1</v>
      </c>
      <c r="AV10" s="48">
        <v>1</v>
      </c>
      <c r="AW10" s="48">
        <v>1</v>
      </c>
      <c r="AX10" s="48">
        <v>1</v>
      </c>
      <c r="AY10" s="48">
        <v>1</v>
      </c>
      <c r="AZ10" s="48">
        <v>1</v>
      </c>
      <c r="BA10" s="48">
        <v>1</v>
      </c>
      <c r="BB10" s="48">
        <v>1</v>
      </c>
      <c r="BC10" s="48">
        <v>1</v>
      </c>
      <c r="BD10" s="48">
        <v>1</v>
      </c>
      <c r="BE10" s="48">
        <v>1</v>
      </c>
      <c r="BF10" s="48">
        <v>1</v>
      </c>
      <c r="BG10" s="48">
        <v>1</v>
      </c>
      <c r="BH10" s="48">
        <v>1</v>
      </c>
      <c r="BI10" s="48">
        <v>1</v>
      </c>
      <c r="BJ10" s="48">
        <v>1</v>
      </c>
      <c r="BK10" s="48">
        <v>1</v>
      </c>
      <c r="BL10" s="48">
        <v>1</v>
      </c>
      <c r="BM10" s="48">
        <v>1</v>
      </c>
      <c r="BN10" s="48">
        <v>1</v>
      </c>
      <c r="BO10" s="48">
        <v>1</v>
      </c>
      <c r="BP10" s="48">
        <v>1</v>
      </c>
      <c r="BQ10" s="48">
        <v>1</v>
      </c>
      <c r="BR10" s="48">
        <v>1</v>
      </c>
      <c r="BS10" s="48">
        <v>1</v>
      </c>
      <c r="BT10" s="48">
        <v>1</v>
      </c>
      <c r="BU10" s="48">
        <v>1</v>
      </c>
      <c r="BV10" s="48">
        <v>1</v>
      </c>
      <c r="BW10" s="48">
        <v>1</v>
      </c>
      <c r="BX10" s="48">
        <v>1</v>
      </c>
      <c r="BY10" s="48">
        <v>1</v>
      </c>
      <c r="BZ10" s="48">
        <v>1</v>
      </c>
      <c r="CA10" s="48">
        <v>1</v>
      </c>
      <c r="CB10" s="48">
        <v>1</v>
      </c>
      <c r="CC10" s="48">
        <v>1</v>
      </c>
    </row>
    <row r="11" spans="1:96" x14ac:dyDescent="0.45">
      <c r="B11" s="151" t="s">
        <v>95</v>
      </c>
      <c r="D11" s="24">
        <v>-250</v>
      </c>
      <c r="E11" s="24">
        <v>-250</v>
      </c>
      <c r="F11" s="24">
        <v>-250</v>
      </c>
      <c r="G11" s="24">
        <v>-250</v>
      </c>
      <c r="H11" s="24">
        <v>-250</v>
      </c>
      <c r="I11" s="24">
        <v>-250</v>
      </c>
      <c r="J11" s="24">
        <v>-250</v>
      </c>
      <c r="K11" s="24">
        <v>-250</v>
      </c>
      <c r="L11" s="24">
        <v>-250</v>
      </c>
      <c r="M11" s="24">
        <v>-250</v>
      </c>
      <c r="N11" s="24">
        <v>-250</v>
      </c>
      <c r="O11" s="24">
        <v>-250</v>
      </c>
      <c r="P11" s="24">
        <v>-250</v>
      </c>
      <c r="Q11" s="24">
        <v>-250</v>
      </c>
      <c r="R11" s="24">
        <v>-250</v>
      </c>
      <c r="S11" s="24">
        <v>-250</v>
      </c>
      <c r="T11" s="24">
        <v>-250</v>
      </c>
      <c r="U11" s="24">
        <v>-250</v>
      </c>
      <c r="V11" s="24">
        <v>-250</v>
      </c>
      <c r="W11" s="24">
        <v>-250</v>
      </c>
      <c r="X11" s="24">
        <v>-250</v>
      </c>
      <c r="Y11" s="24">
        <v>-250</v>
      </c>
      <c r="Z11" s="24">
        <v>-250</v>
      </c>
      <c r="AA11" s="24">
        <v>-250</v>
      </c>
      <c r="AB11" s="24">
        <v>-250</v>
      </c>
      <c r="AC11" s="24">
        <v>-250</v>
      </c>
      <c r="AD11" s="24">
        <v>-250</v>
      </c>
      <c r="AE11" s="24">
        <v>-250</v>
      </c>
      <c r="AF11" s="24">
        <v>-250</v>
      </c>
      <c r="AG11" s="24">
        <v>-250</v>
      </c>
      <c r="AH11" s="24">
        <v>-250</v>
      </c>
      <c r="AI11" s="24">
        <v>-250</v>
      </c>
      <c r="AJ11" s="24">
        <v>-250</v>
      </c>
      <c r="AK11" s="24">
        <v>-250</v>
      </c>
      <c r="AL11" s="24">
        <v>-250</v>
      </c>
      <c r="AM11" s="24">
        <v>-250</v>
      </c>
      <c r="AN11" s="24">
        <v>-250</v>
      </c>
      <c r="AO11" s="24">
        <v>-250</v>
      </c>
      <c r="AP11" s="24">
        <v>-250</v>
      </c>
      <c r="AQ11" s="24">
        <v>-250</v>
      </c>
      <c r="AR11" s="24">
        <v>-250</v>
      </c>
      <c r="AS11" s="24">
        <v>-250</v>
      </c>
      <c r="AT11" s="24">
        <v>-250</v>
      </c>
      <c r="AU11" s="24">
        <v>-250</v>
      </c>
      <c r="AV11" s="24">
        <v>-250</v>
      </c>
      <c r="AW11" s="24">
        <v>-250</v>
      </c>
      <c r="AX11" s="24">
        <v>-250</v>
      </c>
      <c r="AY11" s="24">
        <v>-250</v>
      </c>
      <c r="AZ11" s="24">
        <v>-250</v>
      </c>
      <c r="BA11" s="24">
        <v>-250</v>
      </c>
      <c r="BB11" s="24">
        <v>-250</v>
      </c>
      <c r="BC11" s="24">
        <v>-250</v>
      </c>
      <c r="BD11" s="24">
        <v>-250</v>
      </c>
      <c r="BE11" s="24">
        <v>-250</v>
      </c>
      <c r="BF11" s="24">
        <v>-250</v>
      </c>
      <c r="BG11" s="24">
        <v>-250</v>
      </c>
      <c r="BH11" s="24">
        <v>-250</v>
      </c>
      <c r="BI11" s="24">
        <v>-250</v>
      </c>
      <c r="BJ11" s="24">
        <v>-250</v>
      </c>
      <c r="BK11" s="24">
        <v>-250</v>
      </c>
      <c r="BL11" s="24">
        <v>-250</v>
      </c>
      <c r="BM11" s="24">
        <v>-250</v>
      </c>
      <c r="BN11" s="24">
        <v>-250</v>
      </c>
      <c r="BO11" s="24">
        <v>-250</v>
      </c>
      <c r="BP11" s="24">
        <v>-250</v>
      </c>
      <c r="BQ11" s="24">
        <v>-250</v>
      </c>
      <c r="BR11" s="24">
        <v>-250</v>
      </c>
      <c r="BS11" s="24">
        <v>-250</v>
      </c>
      <c r="BT11" s="24">
        <v>-250</v>
      </c>
      <c r="BU11" s="24">
        <v>-250</v>
      </c>
      <c r="BV11" s="24">
        <v>-250</v>
      </c>
      <c r="BW11" s="24">
        <v>-250</v>
      </c>
      <c r="BX11" s="24">
        <v>-250</v>
      </c>
      <c r="BY11" s="24">
        <v>-250</v>
      </c>
      <c r="BZ11" s="24">
        <v>-250</v>
      </c>
      <c r="CA11" s="24">
        <v>-250</v>
      </c>
      <c r="CB11" s="24">
        <v>-250</v>
      </c>
      <c r="CC11" s="24">
        <v>-250</v>
      </c>
    </row>
    <row r="12" spans="1:96" s="144" customFormat="1" x14ac:dyDescent="0.45">
      <c r="A12" s="227"/>
      <c r="B12" s="152" t="s">
        <v>96</v>
      </c>
      <c r="D12" s="144">
        <v>-50</v>
      </c>
      <c r="E12" s="144">
        <v>-50</v>
      </c>
    </row>
    <row r="13" spans="1:96" s="37" customFormat="1" ht="18" x14ac:dyDescent="0.55000000000000004">
      <c r="A13" s="226" t="s">
        <v>4</v>
      </c>
      <c r="B13" s="219"/>
    </row>
    <row r="14" spans="1:96" s="37" customFormat="1" ht="18" x14ac:dyDescent="0.55000000000000004">
      <c r="A14" s="226"/>
      <c r="B14" s="219" t="s">
        <v>154</v>
      </c>
      <c r="E14" s="37">
        <f t="shared" ref="E14:L14" si="119">$A$41</f>
        <v>425</v>
      </c>
      <c r="F14" s="37">
        <f t="shared" si="119"/>
        <v>425</v>
      </c>
      <c r="G14" s="37">
        <f t="shared" si="119"/>
        <v>425</v>
      </c>
      <c r="H14" s="37">
        <f t="shared" si="119"/>
        <v>425</v>
      </c>
      <c r="I14" s="37">
        <f t="shared" si="119"/>
        <v>425</v>
      </c>
      <c r="J14" s="37">
        <f t="shared" si="119"/>
        <v>425</v>
      </c>
      <c r="K14" s="37">
        <f t="shared" si="119"/>
        <v>425</v>
      </c>
      <c r="L14" s="37">
        <f t="shared" si="119"/>
        <v>425</v>
      </c>
      <c r="M14" s="37">
        <f t="shared" ref="M14:X14" si="120">$A$43</f>
        <v>575</v>
      </c>
      <c r="N14" s="37">
        <f t="shared" si="120"/>
        <v>575</v>
      </c>
      <c r="O14" s="37">
        <f t="shared" si="120"/>
        <v>575</v>
      </c>
      <c r="P14" s="37">
        <f t="shared" si="120"/>
        <v>575</v>
      </c>
      <c r="Q14" s="37">
        <f t="shared" si="120"/>
        <v>575</v>
      </c>
      <c r="R14" s="37">
        <f t="shared" si="120"/>
        <v>575</v>
      </c>
      <c r="S14" s="37">
        <f t="shared" si="120"/>
        <v>575</v>
      </c>
      <c r="T14" s="37">
        <f t="shared" si="120"/>
        <v>575</v>
      </c>
      <c r="U14" s="37">
        <f t="shared" si="120"/>
        <v>575</v>
      </c>
      <c r="V14" s="37">
        <f t="shared" si="120"/>
        <v>575</v>
      </c>
      <c r="W14" s="37">
        <f t="shared" si="120"/>
        <v>575</v>
      </c>
      <c r="X14" s="37">
        <f t="shared" si="120"/>
        <v>575</v>
      </c>
    </row>
    <row r="15" spans="1:96" s="37" customFormat="1" ht="18" x14ac:dyDescent="0.55000000000000004">
      <c r="A15" s="226"/>
      <c r="B15" s="219" t="s">
        <v>156</v>
      </c>
      <c r="D15" s="37">
        <f t="shared" ref="D15:AQ15" si="121">-$A$46</f>
        <v>-20</v>
      </c>
      <c r="E15" s="37">
        <f t="shared" si="121"/>
        <v>-20</v>
      </c>
      <c r="F15" s="37">
        <f t="shared" si="121"/>
        <v>-20</v>
      </c>
      <c r="G15" s="37">
        <f t="shared" si="121"/>
        <v>-20</v>
      </c>
      <c r="H15" s="37">
        <f t="shared" si="121"/>
        <v>-20</v>
      </c>
      <c r="I15" s="37">
        <f t="shared" si="121"/>
        <v>-20</v>
      </c>
      <c r="J15" s="37">
        <f t="shared" si="121"/>
        <v>-20</v>
      </c>
      <c r="K15" s="37">
        <f t="shared" si="121"/>
        <v>-20</v>
      </c>
      <c r="L15" s="37">
        <f t="shared" si="121"/>
        <v>-20</v>
      </c>
      <c r="M15" s="37">
        <f t="shared" si="121"/>
        <v>-20</v>
      </c>
      <c r="N15" s="37">
        <f t="shared" si="121"/>
        <v>-20</v>
      </c>
      <c r="O15" s="37">
        <f t="shared" si="121"/>
        <v>-20</v>
      </c>
      <c r="P15" s="37">
        <f t="shared" si="121"/>
        <v>-20</v>
      </c>
      <c r="Q15" s="37">
        <f t="shared" si="121"/>
        <v>-20</v>
      </c>
      <c r="R15" s="37">
        <f t="shared" si="121"/>
        <v>-20</v>
      </c>
      <c r="S15" s="37">
        <f t="shared" si="121"/>
        <v>-20</v>
      </c>
      <c r="T15" s="37">
        <f t="shared" si="121"/>
        <v>-20</v>
      </c>
      <c r="U15" s="37">
        <f t="shared" si="121"/>
        <v>-20</v>
      </c>
      <c r="V15" s="37">
        <f t="shared" si="121"/>
        <v>-20</v>
      </c>
      <c r="W15" s="37">
        <f t="shared" si="121"/>
        <v>-20</v>
      </c>
      <c r="X15" s="37">
        <f t="shared" si="121"/>
        <v>-20</v>
      </c>
      <c r="Y15" s="37">
        <f t="shared" si="121"/>
        <v>-20</v>
      </c>
      <c r="Z15" s="37">
        <f t="shared" si="121"/>
        <v>-20</v>
      </c>
      <c r="AA15" s="37">
        <f t="shared" si="121"/>
        <v>-20</v>
      </c>
      <c r="AB15" s="37">
        <f t="shared" si="121"/>
        <v>-20</v>
      </c>
      <c r="AC15" s="37">
        <f t="shared" si="121"/>
        <v>-20</v>
      </c>
      <c r="AD15" s="37">
        <f t="shared" si="121"/>
        <v>-20</v>
      </c>
      <c r="AE15" s="37">
        <f t="shared" si="121"/>
        <v>-20</v>
      </c>
      <c r="AF15" s="37">
        <f t="shared" si="121"/>
        <v>-20</v>
      </c>
      <c r="AG15" s="37">
        <f t="shared" si="121"/>
        <v>-20</v>
      </c>
      <c r="AH15" s="37">
        <f t="shared" si="121"/>
        <v>-20</v>
      </c>
      <c r="AI15" s="37">
        <f t="shared" si="121"/>
        <v>-20</v>
      </c>
      <c r="AJ15" s="37">
        <f t="shared" si="121"/>
        <v>-20</v>
      </c>
      <c r="AK15" s="37">
        <f t="shared" si="121"/>
        <v>-20</v>
      </c>
      <c r="AL15" s="37">
        <f t="shared" si="121"/>
        <v>-20</v>
      </c>
      <c r="AM15" s="37">
        <f t="shared" si="121"/>
        <v>-20</v>
      </c>
      <c r="AN15" s="37">
        <f t="shared" si="121"/>
        <v>-20</v>
      </c>
      <c r="AO15" s="37">
        <f t="shared" si="121"/>
        <v>-20</v>
      </c>
      <c r="AP15" s="37">
        <f t="shared" si="121"/>
        <v>-20</v>
      </c>
      <c r="AQ15" s="37">
        <f t="shared" si="121"/>
        <v>-20</v>
      </c>
      <c r="AR15" s="37">
        <f t="shared" ref="AR15:CC15" si="122">-$A$46</f>
        <v>-20</v>
      </c>
      <c r="AS15" s="37">
        <f t="shared" si="122"/>
        <v>-20</v>
      </c>
      <c r="AT15" s="37">
        <f t="shared" si="122"/>
        <v>-20</v>
      </c>
      <c r="AU15" s="37">
        <f t="shared" si="122"/>
        <v>-20</v>
      </c>
      <c r="AV15" s="37">
        <f t="shared" si="122"/>
        <v>-20</v>
      </c>
      <c r="AW15" s="37">
        <f t="shared" si="122"/>
        <v>-20</v>
      </c>
      <c r="AX15" s="37">
        <f t="shared" si="122"/>
        <v>-20</v>
      </c>
      <c r="AY15" s="37">
        <f t="shared" si="122"/>
        <v>-20</v>
      </c>
      <c r="AZ15" s="37">
        <f t="shared" si="122"/>
        <v>-20</v>
      </c>
      <c r="BA15" s="37">
        <f t="shared" si="122"/>
        <v>-20</v>
      </c>
      <c r="BB15" s="37">
        <f t="shared" si="122"/>
        <v>-20</v>
      </c>
      <c r="BC15" s="37">
        <f t="shared" si="122"/>
        <v>-20</v>
      </c>
      <c r="BD15" s="37">
        <f t="shared" si="122"/>
        <v>-20</v>
      </c>
      <c r="BE15" s="37">
        <f t="shared" si="122"/>
        <v>-20</v>
      </c>
      <c r="BF15" s="37">
        <f t="shared" si="122"/>
        <v>-20</v>
      </c>
      <c r="BG15" s="37">
        <f t="shared" si="122"/>
        <v>-20</v>
      </c>
      <c r="BH15" s="37">
        <f t="shared" si="122"/>
        <v>-20</v>
      </c>
      <c r="BI15" s="37">
        <f t="shared" si="122"/>
        <v>-20</v>
      </c>
      <c r="BJ15" s="37">
        <f t="shared" si="122"/>
        <v>-20</v>
      </c>
      <c r="BK15" s="37">
        <f t="shared" si="122"/>
        <v>-20</v>
      </c>
      <c r="BL15" s="37">
        <f t="shared" si="122"/>
        <v>-20</v>
      </c>
      <c r="BM15" s="37">
        <f t="shared" si="122"/>
        <v>-20</v>
      </c>
      <c r="BN15" s="37">
        <f t="shared" si="122"/>
        <v>-20</v>
      </c>
      <c r="BO15" s="37">
        <f t="shared" si="122"/>
        <v>-20</v>
      </c>
      <c r="BP15" s="37">
        <f t="shared" si="122"/>
        <v>-20</v>
      </c>
      <c r="BQ15" s="37">
        <f t="shared" si="122"/>
        <v>-20</v>
      </c>
      <c r="BR15" s="37">
        <f t="shared" si="122"/>
        <v>-20</v>
      </c>
      <c r="BS15" s="37">
        <f t="shared" si="122"/>
        <v>-20</v>
      </c>
      <c r="BT15" s="37">
        <f t="shared" si="122"/>
        <v>-20</v>
      </c>
      <c r="BU15" s="37">
        <f t="shared" si="122"/>
        <v>-20</v>
      </c>
      <c r="BV15" s="37">
        <f t="shared" si="122"/>
        <v>-20</v>
      </c>
      <c r="BW15" s="37">
        <f t="shared" si="122"/>
        <v>-20</v>
      </c>
      <c r="BX15" s="37">
        <f t="shared" si="122"/>
        <v>-20</v>
      </c>
      <c r="BY15" s="37">
        <f t="shared" si="122"/>
        <v>-20</v>
      </c>
      <c r="BZ15" s="37">
        <f t="shared" si="122"/>
        <v>-20</v>
      </c>
      <c r="CA15" s="37">
        <f t="shared" si="122"/>
        <v>-20</v>
      </c>
      <c r="CB15" s="37">
        <f t="shared" si="122"/>
        <v>-20</v>
      </c>
      <c r="CC15" s="37">
        <f t="shared" si="122"/>
        <v>-20</v>
      </c>
    </row>
    <row r="16" spans="1:96" s="37" customFormat="1" ht="18" x14ac:dyDescent="0.55000000000000004">
      <c r="A16" s="226"/>
      <c r="B16" s="219" t="s">
        <v>158</v>
      </c>
    </row>
    <row r="17" spans="1:81" s="37" customFormat="1" ht="18" x14ac:dyDescent="0.55000000000000004">
      <c r="A17" s="226" t="s">
        <v>184</v>
      </c>
      <c r="B17" s="219" t="s">
        <v>157</v>
      </c>
      <c r="D17" s="37">
        <f t="shared" ref="D17:X17" si="123">-$A$47</f>
        <v>-25</v>
      </c>
      <c r="E17" s="37">
        <f t="shared" si="123"/>
        <v>-25</v>
      </c>
      <c r="F17" s="37">
        <f t="shared" si="123"/>
        <v>-25</v>
      </c>
      <c r="G17" s="37">
        <f t="shared" si="123"/>
        <v>-25</v>
      </c>
      <c r="H17" s="37">
        <f t="shared" si="123"/>
        <v>-25</v>
      </c>
      <c r="I17" s="37">
        <f t="shared" si="123"/>
        <v>-25</v>
      </c>
      <c r="J17" s="37">
        <f t="shared" si="123"/>
        <v>-25</v>
      </c>
      <c r="K17" s="37">
        <f t="shared" si="123"/>
        <v>-25</v>
      </c>
      <c r="L17" s="37">
        <f t="shared" si="123"/>
        <v>-25</v>
      </c>
      <c r="M17" s="37">
        <f t="shared" si="123"/>
        <v>-25</v>
      </c>
      <c r="N17" s="37">
        <f t="shared" si="123"/>
        <v>-25</v>
      </c>
      <c r="O17" s="37">
        <f t="shared" si="123"/>
        <v>-25</v>
      </c>
      <c r="P17" s="37">
        <f t="shared" si="123"/>
        <v>-25</v>
      </c>
      <c r="Q17" s="37">
        <f t="shared" si="123"/>
        <v>-25</v>
      </c>
      <c r="R17" s="37">
        <f t="shared" si="123"/>
        <v>-25</v>
      </c>
      <c r="S17" s="37">
        <f t="shared" si="123"/>
        <v>-25</v>
      </c>
      <c r="T17" s="37">
        <f t="shared" si="123"/>
        <v>-25</v>
      </c>
      <c r="U17" s="37">
        <f t="shared" si="123"/>
        <v>-25</v>
      </c>
      <c r="V17" s="37">
        <f t="shared" si="123"/>
        <v>-25</v>
      </c>
      <c r="W17" s="37">
        <f t="shared" si="123"/>
        <v>-25</v>
      </c>
      <c r="X17" s="37">
        <f t="shared" si="123"/>
        <v>-25</v>
      </c>
    </row>
    <row r="18" spans="1:81" s="37" customFormat="1" ht="18" x14ac:dyDescent="0.55000000000000004">
      <c r="A18" s="226"/>
      <c r="B18" s="219" t="s">
        <v>111</v>
      </c>
      <c r="E18" s="37">
        <v>-20</v>
      </c>
    </row>
    <row r="19" spans="1:81" s="52" customFormat="1" ht="18" x14ac:dyDescent="0.55000000000000004">
      <c r="A19" s="229" t="s">
        <v>184</v>
      </c>
      <c r="B19" s="220" t="s">
        <v>159</v>
      </c>
      <c r="D19" s="52" t="s">
        <v>271</v>
      </c>
      <c r="E19" s="52">
        <v>-1000</v>
      </c>
    </row>
    <row r="20" spans="1:81" ht="18" x14ac:dyDescent="0.55000000000000004">
      <c r="A20" s="226" t="s">
        <v>153</v>
      </c>
      <c r="B20" s="219"/>
    </row>
    <row r="21" spans="1:81" ht="18" x14ac:dyDescent="0.55000000000000004">
      <c r="A21" s="226"/>
      <c r="B21" s="219" t="s">
        <v>153</v>
      </c>
      <c r="E21" s="24">
        <v>249</v>
      </c>
      <c r="F21" s="24">
        <v>209</v>
      </c>
      <c r="G21" s="24">
        <v>243</v>
      </c>
      <c r="H21" s="24">
        <v>256</v>
      </c>
      <c r="I21" s="24">
        <v>261</v>
      </c>
      <c r="J21" s="24">
        <v>234</v>
      </c>
      <c r="K21" s="24">
        <v>238</v>
      </c>
      <c r="L21" s="24">
        <v>237</v>
      </c>
    </row>
    <row r="22" spans="1:81" ht="18" x14ac:dyDescent="0.55000000000000004">
      <c r="A22" s="226"/>
      <c r="B22" s="219" t="s">
        <v>155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</row>
    <row r="23" spans="1:81" s="144" customFormat="1" ht="18" x14ac:dyDescent="0.55000000000000004">
      <c r="A23" s="229"/>
      <c r="B23" s="220" t="s">
        <v>160</v>
      </c>
      <c r="D23" s="144">
        <v>-35</v>
      </c>
    </row>
    <row r="24" spans="1:81" s="37" customFormat="1" ht="18" x14ac:dyDescent="0.55000000000000004">
      <c r="A24" s="226" t="s">
        <v>302</v>
      </c>
      <c r="B24" s="219"/>
    </row>
    <row r="25" spans="1:81" s="37" customFormat="1" ht="29.25" x14ac:dyDescent="0.55000000000000004">
      <c r="A25" s="226" t="s">
        <v>147</v>
      </c>
      <c r="B25" s="224" t="s">
        <v>392</v>
      </c>
      <c r="Y25" s="37">
        <v>900</v>
      </c>
      <c r="Z25" s="37">
        <v>900</v>
      </c>
      <c r="AA25" s="37">
        <v>900</v>
      </c>
      <c r="AB25" s="37">
        <v>900</v>
      </c>
      <c r="AC25" s="37">
        <v>900</v>
      </c>
      <c r="AD25" s="37">
        <v>900</v>
      </c>
      <c r="AE25" s="37">
        <v>1100</v>
      </c>
      <c r="AF25" s="37">
        <v>1100</v>
      </c>
      <c r="AG25" s="37">
        <v>1100</v>
      </c>
      <c r="AH25" s="37">
        <v>1100</v>
      </c>
      <c r="AI25" s="37">
        <v>1100</v>
      </c>
      <c r="AJ25" s="37">
        <v>1100</v>
      </c>
      <c r="AK25" s="37">
        <v>1100</v>
      </c>
      <c r="AL25" s="37">
        <v>1100</v>
      </c>
      <c r="AM25" s="37">
        <v>1100</v>
      </c>
      <c r="AN25" s="37">
        <v>1100</v>
      </c>
      <c r="AO25" s="37">
        <v>1100</v>
      </c>
      <c r="AP25" s="37">
        <v>1100</v>
      </c>
      <c r="AQ25" s="37">
        <v>1100</v>
      </c>
      <c r="AR25" s="37">
        <v>1100</v>
      </c>
      <c r="AS25" s="37">
        <v>1100</v>
      </c>
      <c r="AT25" s="37">
        <v>1100</v>
      </c>
      <c r="AU25" s="37">
        <v>1100</v>
      </c>
      <c r="AV25" s="37">
        <v>1100</v>
      </c>
      <c r="AW25" s="37">
        <v>1100</v>
      </c>
      <c r="AX25" s="37">
        <v>1100</v>
      </c>
      <c r="AY25" s="37">
        <v>1100</v>
      </c>
      <c r="AZ25" s="37">
        <v>1100</v>
      </c>
      <c r="BA25" s="37">
        <v>1100</v>
      </c>
      <c r="BB25" s="37">
        <v>1100</v>
      </c>
      <c r="BC25" s="37">
        <v>1100</v>
      </c>
      <c r="BD25" s="37">
        <v>1100</v>
      </c>
      <c r="BE25" s="37">
        <v>1100</v>
      </c>
      <c r="BF25" s="37">
        <v>1100</v>
      </c>
      <c r="BG25" s="37">
        <v>1100</v>
      </c>
      <c r="BH25" s="37">
        <v>1100</v>
      </c>
      <c r="BI25" s="37">
        <v>1300</v>
      </c>
      <c r="BJ25" s="37">
        <v>1300</v>
      </c>
      <c r="BK25" s="37">
        <v>1300</v>
      </c>
      <c r="BL25" s="37">
        <v>1300</v>
      </c>
      <c r="BM25" s="37">
        <v>1300</v>
      </c>
      <c r="BN25" s="37">
        <v>1300</v>
      </c>
      <c r="BO25" s="37">
        <v>1300</v>
      </c>
      <c r="BP25" s="37">
        <v>1300</v>
      </c>
      <c r="BQ25" s="37">
        <v>1300</v>
      </c>
      <c r="BR25" s="37">
        <v>1300</v>
      </c>
      <c r="BS25" s="37">
        <v>1300</v>
      </c>
      <c r="BT25" s="37">
        <v>1300</v>
      </c>
      <c r="BU25" s="37">
        <v>1300</v>
      </c>
      <c r="BV25" s="37">
        <v>1300</v>
      </c>
      <c r="BW25" s="37">
        <v>1300</v>
      </c>
      <c r="BX25" s="37">
        <v>1300</v>
      </c>
      <c r="BY25" s="37">
        <v>1300</v>
      </c>
      <c r="BZ25" s="37">
        <v>1300</v>
      </c>
      <c r="CA25" s="37">
        <v>1301</v>
      </c>
      <c r="CB25" s="37">
        <v>1302</v>
      </c>
      <c r="CC25" s="37">
        <v>1303</v>
      </c>
    </row>
    <row r="26" spans="1:81" s="223" customFormat="1" x14ac:dyDescent="0.45">
      <c r="A26" s="221" t="s">
        <v>177</v>
      </c>
      <c r="B26" s="222" t="s">
        <v>176</v>
      </c>
      <c r="E26" s="223">
        <f t="shared" ref="E26:AM26" si="124">-$A$45*E9</f>
        <v>-50</v>
      </c>
      <c r="F26" s="223">
        <f t="shared" si="124"/>
        <v>-50</v>
      </c>
      <c r="G26" s="223">
        <f t="shared" si="124"/>
        <v>-50</v>
      </c>
      <c r="H26" s="223">
        <f t="shared" si="124"/>
        <v>-50</v>
      </c>
      <c r="I26" s="223">
        <f t="shared" si="124"/>
        <v>-50</v>
      </c>
      <c r="J26" s="223">
        <f t="shared" si="124"/>
        <v>-50</v>
      </c>
      <c r="K26" s="223">
        <f t="shared" si="124"/>
        <v>-50</v>
      </c>
      <c r="L26" s="223">
        <f t="shared" si="124"/>
        <v>-50</v>
      </c>
      <c r="M26" s="223">
        <f t="shared" si="124"/>
        <v>-50</v>
      </c>
      <c r="N26" s="223">
        <f t="shared" si="124"/>
        <v>-50</v>
      </c>
      <c r="O26" s="223">
        <f t="shared" si="124"/>
        <v>-50</v>
      </c>
      <c r="P26" s="223">
        <f t="shared" si="124"/>
        <v>-50</v>
      </c>
      <c r="Q26" s="223">
        <f t="shared" si="124"/>
        <v>-50</v>
      </c>
      <c r="R26" s="223">
        <f t="shared" si="124"/>
        <v>-50</v>
      </c>
      <c r="S26" s="223">
        <f t="shared" si="124"/>
        <v>-50</v>
      </c>
      <c r="T26" s="223">
        <f t="shared" si="124"/>
        <v>-50</v>
      </c>
      <c r="U26" s="223">
        <f t="shared" si="124"/>
        <v>-50</v>
      </c>
      <c r="V26" s="223">
        <f t="shared" si="124"/>
        <v>-50</v>
      </c>
      <c r="W26" s="223">
        <f t="shared" si="124"/>
        <v>-50</v>
      </c>
      <c r="X26" s="223">
        <f t="shared" si="124"/>
        <v>-50</v>
      </c>
      <c r="Y26" s="223">
        <f t="shared" si="124"/>
        <v>-50</v>
      </c>
      <c r="Z26" s="223">
        <f t="shared" si="124"/>
        <v>-50</v>
      </c>
      <c r="AA26" s="223">
        <f t="shared" si="124"/>
        <v>-50</v>
      </c>
      <c r="AB26" s="223">
        <f t="shared" si="124"/>
        <v>-50</v>
      </c>
      <c r="AC26" s="223">
        <f t="shared" si="124"/>
        <v>-50</v>
      </c>
      <c r="AD26" s="223">
        <f t="shared" si="124"/>
        <v>-50</v>
      </c>
      <c r="AE26" s="223">
        <f t="shared" si="124"/>
        <v>-50</v>
      </c>
      <c r="AF26" s="223">
        <f t="shared" si="124"/>
        <v>-50</v>
      </c>
      <c r="AG26" s="223">
        <f t="shared" si="124"/>
        <v>-50</v>
      </c>
      <c r="AH26" s="223">
        <f t="shared" si="124"/>
        <v>-50</v>
      </c>
      <c r="AI26" s="223">
        <f t="shared" si="124"/>
        <v>-50</v>
      </c>
      <c r="AJ26" s="223">
        <f t="shared" si="124"/>
        <v>-50</v>
      </c>
      <c r="AK26" s="223">
        <f t="shared" si="124"/>
        <v>-50</v>
      </c>
      <c r="AL26" s="223">
        <f t="shared" si="124"/>
        <v>-50</v>
      </c>
      <c r="AM26" s="223">
        <f t="shared" si="124"/>
        <v>-50</v>
      </c>
      <c r="AN26" s="223">
        <f t="shared" ref="AN26" si="125">-$A$45*AN9</f>
        <v>-50</v>
      </c>
      <c r="AO26" s="223">
        <f>-$A$45*AO9</f>
        <v>-50</v>
      </c>
      <c r="AP26" s="223">
        <f>-$A$45*AP9</f>
        <v>-50</v>
      </c>
      <c r="AQ26" s="223">
        <f t="shared" ref="AQ26:BQ26" si="126">-$A$45*AQ9</f>
        <v>-50</v>
      </c>
      <c r="AR26" s="223">
        <f t="shared" si="126"/>
        <v>-50</v>
      </c>
      <c r="AS26" s="223">
        <f t="shared" si="126"/>
        <v>-50</v>
      </c>
      <c r="AT26" s="223">
        <f t="shared" si="126"/>
        <v>-50</v>
      </c>
      <c r="AU26" s="223">
        <f t="shared" si="126"/>
        <v>-50</v>
      </c>
      <c r="AV26" s="223">
        <f t="shared" si="126"/>
        <v>-50</v>
      </c>
      <c r="AW26" s="223">
        <f t="shared" si="126"/>
        <v>-50</v>
      </c>
      <c r="AX26" s="223">
        <f t="shared" si="126"/>
        <v>-50</v>
      </c>
      <c r="AY26" s="223">
        <f t="shared" si="126"/>
        <v>-50</v>
      </c>
      <c r="AZ26" s="223">
        <f t="shared" si="126"/>
        <v>-50</v>
      </c>
      <c r="BA26" s="223">
        <f t="shared" si="126"/>
        <v>-50</v>
      </c>
      <c r="BB26" s="223">
        <f t="shared" si="126"/>
        <v>-50</v>
      </c>
      <c r="BC26" s="223">
        <f t="shared" si="126"/>
        <v>-50</v>
      </c>
      <c r="BD26" s="223">
        <f t="shared" si="126"/>
        <v>-50</v>
      </c>
      <c r="BE26" s="223">
        <f t="shared" si="126"/>
        <v>-50</v>
      </c>
      <c r="BF26" s="223">
        <f t="shared" si="126"/>
        <v>-50</v>
      </c>
      <c r="BG26" s="223">
        <f t="shared" si="126"/>
        <v>-50</v>
      </c>
      <c r="BH26" s="223">
        <f t="shared" si="126"/>
        <v>-50</v>
      </c>
      <c r="BI26" s="223">
        <f t="shared" si="126"/>
        <v>-50</v>
      </c>
      <c r="BJ26" s="223">
        <f t="shared" si="126"/>
        <v>-50</v>
      </c>
      <c r="BK26" s="223">
        <f t="shared" si="126"/>
        <v>-50</v>
      </c>
      <c r="BL26" s="223">
        <f t="shared" si="126"/>
        <v>-50</v>
      </c>
      <c r="BM26" s="223">
        <f t="shared" si="126"/>
        <v>-50</v>
      </c>
      <c r="BN26" s="223">
        <f t="shared" si="126"/>
        <v>-50</v>
      </c>
      <c r="BO26" s="223">
        <f t="shared" si="126"/>
        <v>-50</v>
      </c>
      <c r="BP26" s="223">
        <f t="shared" si="126"/>
        <v>-50</v>
      </c>
      <c r="BQ26" s="223">
        <f t="shared" si="126"/>
        <v>-50</v>
      </c>
      <c r="BR26" s="223">
        <f>-$A$45*BR9</f>
        <v>-50</v>
      </c>
      <c r="BS26" s="223">
        <f>-$A$45*BS9</f>
        <v>-50</v>
      </c>
      <c r="BT26" s="223">
        <f t="shared" ref="BT26:BW26" si="127">-$A$45*BT9</f>
        <v>-50</v>
      </c>
      <c r="BU26" s="223">
        <f t="shared" si="127"/>
        <v>-50</v>
      </c>
      <c r="BV26" s="223">
        <f t="shared" si="127"/>
        <v>-50</v>
      </c>
      <c r="BW26" s="223">
        <f t="shared" si="127"/>
        <v>-50</v>
      </c>
      <c r="BX26" s="223">
        <f t="shared" ref="BX26:BZ26" si="128">-$A$45*BX9</f>
        <v>-50</v>
      </c>
      <c r="BY26" s="223">
        <f t="shared" si="128"/>
        <v>-50</v>
      </c>
      <c r="BZ26" s="223">
        <f t="shared" si="128"/>
        <v>-50</v>
      </c>
      <c r="CA26" s="223">
        <f t="shared" ref="CA26:CC26" si="129">-$A$45*CA9</f>
        <v>-50</v>
      </c>
      <c r="CB26" s="223">
        <f t="shared" si="129"/>
        <v>-50</v>
      </c>
      <c r="CC26" s="223">
        <f t="shared" si="129"/>
        <v>-50</v>
      </c>
    </row>
    <row r="28" spans="1:81" ht="14.65" thickBot="1" x14ac:dyDescent="0.5"/>
    <row r="29" spans="1:81" ht="18.399999999999999" thickBot="1" x14ac:dyDescent="0.6">
      <c r="A29" s="231" t="str" cm="1">
        <f t="array" ref="A29">SUM(COUNTIF(A13:A25, {"📜","👤"})) &amp; "/10 Permessi"</f>
        <v>2/10 Permessi</v>
      </c>
      <c r="BU29" s="24" t="s">
        <v>434</v>
      </c>
      <c r="BV29" s="24">
        <v>300</v>
      </c>
    </row>
    <row r="30" spans="1:81" ht="28.5" x14ac:dyDescent="0.45">
      <c r="B30" s="153"/>
      <c r="C30" s="25" t="s">
        <v>119</v>
      </c>
      <c r="AJ30" s="24" t="s">
        <v>399</v>
      </c>
      <c r="AK30" s="24">
        <v>150</v>
      </c>
    </row>
    <row r="31" spans="1:81" x14ac:dyDescent="0.45">
      <c r="C31" s="24">
        <v>5000</v>
      </c>
      <c r="E31" s="25"/>
      <c r="AA31" s="24" t="s">
        <v>336</v>
      </c>
      <c r="AB31" s="109">
        <f>-6000-1500-500</f>
        <v>-8000</v>
      </c>
      <c r="AD31" s="24" t="s">
        <v>352</v>
      </c>
      <c r="AE31" s="109">
        <v>-500</v>
      </c>
      <c r="CB31" s="24" t="s">
        <v>439</v>
      </c>
      <c r="CC31" s="24">
        <f>10000/4</f>
        <v>2500</v>
      </c>
    </row>
    <row r="32" spans="1:81" x14ac:dyDescent="0.45">
      <c r="F32" s="25"/>
    </row>
    <row r="33" spans="1:31" ht="71.25" x14ac:dyDescent="0.45">
      <c r="C33" s="25" t="s">
        <v>112</v>
      </c>
      <c r="D33" s="25" t="s">
        <v>161</v>
      </c>
      <c r="G33" s="24" t="s">
        <v>190</v>
      </c>
      <c r="O33" s="24" t="s">
        <v>217</v>
      </c>
      <c r="X33" s="115" t="s">
        <v>314</v>
      </c>
      <c r="AA33" s="24" t="s">
        <v>334</v>
      </c>
      <c r="AB33" s="109">
        <v>-300</v>
      </c>
      <c r="AD33" s="115" t="s">
        <v>353</v>
      </c>
      <c r="AE33" s="24">
        <v>300</v>
      </c>
    </row>
    <row r="34" spans="1:31" x14ac:dyDescent="0.45">
      <c r="C34" s="109">
        <f>-700</f>
        <v>-700</v>
      </c>
      <c r="D34" s="24">
        <v>-400</v>
      </c>
      <c r="E34" s="215"/>
      <c r="G34" s="24">
        <v>30</v>
      </c>
      <c r="O34" s="24">
        <v>300</v>
      </c>
      <c r="X34" s="115" t="s">
        <v>312</v>
      </c>
      <c r="AA34" s="24" t="s">
        <v>335</v>
      </c>
      <c r="AB34" s="109">
        <v>-50</v>
      </c>
      <c r="AD34" s="115" t="s">
        <v>354</v>
      </c>
      <c r="AE34" s="24">
        <v>3500</v>
      </c>
    </row>
    <row r="35" spans="1:31" x14ac:dyDescent="0.45">
      <c r="X35" s="115" t="s">
        <v>313</v>
      </c>
    </row>
    <row r="36" spans="1:31" ht="28.5" x14ac:dyDescent="0.45">
      <c r="D36" s="25" t="s">
        <v>113</v>
      </c>
      <c r="O36" s="24" t="s">
        <v>218</v>
      </c>
      <c r="AD36" s="24" t="s">
        <v>355</v>
      </c>
      <c r="AE36" s="24">
        <v>30</v>
      </c>
    </row>
    <row r="37" spans="1:31" x14ac:dyDescent="0.45">
      <c r="D37" s="24">
        <v>-20</v>
      </c>
      <c r="O37" s="24">
        <f>100 * 5 * 6</f>
        <v>3000</v>
      </c>
    </row>
    <row r="40" spans="1:31" s="203" customFormat="1" ht="14.65" thickBot="1" x14ac:dyDescent="0.5">
      <c r="A40" s="230"/>
      <c r="B40" s="202"/>
    </row>
    <row r="41" spans="1:31" ht="14.65" thickTop="1" x14ac:dyDescent="0.45">
      <c r="A41" s="214">
        <v>425</v>
      </c>
      <c r="B41" s="154" t="s">
        <v>272</v>
      </c>
    </row>
    <row r="42" spans="1:31" x14ac:dyDescent="0.45">
      <c r="A42" s="214">
        <v>500</v>
      </c>
      <c r="B42" s="154" t="s">
        <v>273</v>
      </c>
    </row>
    <row r="43" spans="1:31" x14ac:dyDescent="0.45">
      <c r="A43" s="214">
        <v>575</v>
      </c>
      <c r="B43" s="154" t="s">
        <v>274</v>
      </c>
    </row>
    <row r="44" spans="1:31" x14ac:dyDescent="0.45">
      <c r="A44" s="214">
        <v>240</v>
      </c>
      <c r="B44" s="154" t="s">
        <v>153</v>
      </c>
    </row>
    <row r="45" spans="1:31" x14ac:dyDescent="0.45">
      <c r="A45" s="23">
        <v>0.5</v>
      </c>
      <c r="B45" s="154" t="s">
        <v>178</v>
      </c>
    </row>
    <row r="46" spans="1:31" x14ac:dyDescent="0.45">
      <c r="A46" s="23">
        <v>20</v>
      </c>
      <c r="B46" s="154" t="s">
        <v>156</v>
      </c>
    </row>
    <row r="47" spans="1:31" x14ac:dyDescent="0.45">
      <c r="A47" s="23">
        <v>25</v>
      </c>
      <c r="B47" s="154" t="s">
        <v>157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B72F-D0DB-4F28-A2F1-6E7313A243E9}">
  <sheetPr>
    <tabColor rgb="FF00B050"/>
  </sheetPr>
  <dimension ref="A1:CR73"/>
  <sheetViews>
    <sheetView workbookViewId="0">
      <selection activeCell="A6" sqref="A6"/>
    </sheetView>
  </sheetViews>
  <sheetFormatPr defaultColWidth="11.59765625" defaultRowHeight="14.25" x14ac:dyDescent="0.45"/>
  <cols>
    <col min="1" max="1" width="30.53125" style="57" bestFit="1" customWidth="1"/>
    <col min="2" max="2" width="31.33203125" style="154" bestFit="1" customWidth="1"/>
    <col min="3" max="16384" width="11.59765625" style="24"/>
  </cols>
  <sheetData>
    <row r="1" spans="1:96" s="48" customFormat="1" ht="21" x14ac:dyDescent="0.65">
      <c r="A1" s="179"/>
      <c r="B1" s="180" t="s">
        <v>125</v>
      </c>
      <c r="C1" s="169"/>
      <c r="D1" s="170" t="s">
        <v>98</v>
      </c>
      <c r="E1" s="170" t="s">
        <v>99</v>
      </c>
      <c r="F1" s="170" t="s">
        <v>100</v>
      </c>
      <c r="G1" s="171" t="s">
        <v>101</v>
      </c>
      <c r="H1" s="171" t="s">
        <v>102</v>
      </c>
      <c r="I1" s="171" t="s">
        <v>103</v>
      </c>
      <c r="J1" s="172" t="s">
        <v>104</v>
      </c>
      <c r="K1" s="172" t="s">
        <v>105</v>
      </c>
      <c r="L1" s="172" t="s">
        <v>106</v>
      </c>
      <c r="M1" s="173" t="s">
        <v>107</v>
      </c>
      <c r="N1" s="173" t="s">
        <v>108</v>
      </c>
      <c r="O1" s="173" t="s">
        <v>109</v>
      </c>
      <c r="P1" s="170" t="s">
        <v>98</v>
      </c>
      <c r="Q1" s="170" t="s">
        <v>99</v>
      </c>
      <c r="R1" s="170" t="s">
        <v>100</v>
      </c>
      <c r="S1" s="171" t="s">
        <v>101</v>
      </c>
      <c r="T1" s="171" t="s">
        <v>102</v>
      </c>
      <c r="U1" s="171" t="s">
        <v>103</v>
      </c>
      <c r="V1" s="172" t="s">
        <v>104</v>
      </c>
      <c r="W1" s="172" t="s">
        <v>105</v>
      </c>
      <c r="X1" s="172" t="s">
        <v>106</v>
      </c>
      <c r="Y1" s="173" t="s">
        <v>107</v>
      </c>
      <c r="Z1" s="173" t="s">
        <v>108</v>
      </c>
      <c r="AA1" s="173" t="s">
        <v>109</v>
      </c>
      <c r="AB1" s="170" t="s">
        <v>98</v>
      </c>
      <c r="AC1" s="170" t="s">
        <v>99</v>
      </c>
      <c r="AD1" s="170" t="s">
        <v>100</v>
      </c>
      <c r="AE1" s="171" t="s">
        <v>101</v>
      </c>
      <c r="AF1" s="171" t="s">
        <v>102</v>
      </c>
      <c r="AG1" s="171" t="s">
        <v>103</v>
      </c>
      <c r="AH1" s="172" t="s">
        <v>104</v>
      </c>
      <c r="AI1" s="172" t="s">
        <v>105</v>
      </c>
      <c r="AJ1" s="172" t="s">
        <v>106</v>
      </c>
      <c r="AK1" s="173" t="s">
        <v>107</v>
      </c>
      <c r="AL1" s="173" t="s">
        <v>108</v>
      </c>
      <c r="AM1" s="173" t="s">
        <v>109</v>
      </c>
      <c r="AN1" s="170" t="s">
        <v>98</v>
      </c>
      <c r="AO1" s="170" t="s">
        <v>99</v>
      </c>
      <c r="AP1" s="170" t="s">
        <v>100</v>
      </c>
      <c r="AQ1" s="171" t="s">
        <v>101</v>
      </c>
      <c r="AR1" s="171" t="s">
        <v>102</v>
      </c>
      <c r="AS1" s="171" t="s">
        <v>103</v>
      </c>
      <c r="AT1" s="172" t="s">
        <v>104</v>
      </c>
      <c r="AU1" s="172" t="s">
        <v>105</v>
      </c>
      <c r="AV1" s="172" t="s">
        <v>106</v>
      </c>
      <c r="AW1" s="173" t="s">
        <v>107</v>
      </c>
      <c r="AX1" s="173" t="s">
        <v>108</v>
      </c>
      <c r="AY1" s="173" t="s">
        <v>109</v>
      </c>
      <c r="AZ1" s="170" t="s">
        <v>98</v>
      </c>
      <c r="BA1" s="170" t="s">
        <v>99</v>
      </c>
      <c r="BB1" s="170" t="s">
        <v>100</v>
      </c>
      <c r="BC1" s="171" t="s">
        <v>101</v>
      </c>
      <c r="BD1" s="171" t="s">
        <v>102</v>
      </c>
      <c r="BE1" s="171" t="s">
        <v>103</v>
      </c>
      <c r="BF1" s="172" t="s">
        <v>104</v>
      </c>
      <c r="BG1" s="172" t="s">
        <v>105</v>
      </c>
      <c r="BH1" s="172" t="s">
        <v>106</v>
      </c>
      <c r="BI1" s="173" t="s">
        <v>107</v>
      </c>
      <c r="BJ1" s="173" t="s">
        <v>108</v>
      </c>
      <c r="BK1" s="173" t="s">
        <v>109</v>
      </c>
      <c r="BL1" s="170" t="s">
        <v>98</v>
      </c>
      <c r="BM1" s="170" t="s">
        <v>99</v>
      </c>
      <c r="BN1" s="170" t="s">
        <v>100</v>
      </c>
      <c r="BO1" s="171" t="s">
        <v>101</v>
      </c>
      <c r="BP1" s="171" t="s">
        <v>102</v>
      </c>
      <c r="BQ1" s="171" t="s">
        <v>103</v>
      </c>
      <c r="BR1" s="172" t="s">
        <v>104</v>
      </c>
      <c r="BS1" s="172" t="s">
        <v>105</v>
      </c>
      <c r="BT1" s="172" t="s">
        <v>106</v>
      </c>
      <c r="BU1" s="173" t="s">
        <v>107</v>
      </c>
      <c r="BV1" s="173" t="s">
        <v>108</v>
      </c>
      <c r="BW1" s="173" t="s">
        <v>109</v>
      </c>
      <c r="BX1" s="170" t="s">
        <v>98</v>
      </c>
      <c r="BY1" s="170" t="s">
        <v>99</v>
      </c>
      <c r="BZ1" s="170" t="s">
        <v>100</v>
      </c>
      <c r="CA1" s="171" t="s">
        <v>101</v>
      </c>
      <c r="CB1" s="171" t="s">
        <v>102</v>
      </c>
      <c r="CC1" s="171" t="s">
        <v>103</v>
      </c>
      <c r="CD1" s="172" t="s">
        <v>104</v>
      </c>
      <c r="CE1" s="172" t="s">
        <v>105</v>
      </c>
      <c r="CF1" s="172" t="s">
        <v>106</v>
      </c>
      <c r="CG1" s="173" t="s">
        <v>107</v>
      </c>
      <c r="CH1" s="173" t="s">
        <v>108</v>
      </c>
      <c r="CI1" s="173" t="s">
        <v>109</v>
      </c>
      <c r="CJ1" s="170" t="s">
        <v>98</v>
      </c>
      <c r="CK1" s="170" t="s">
        <v>99</v>
      </c>
      <c r="CL1" s="170" t="s">
        <v>100</v>
      </c>
      <c r="CM1" s="171" t="s">
        <v>101</v>
      </c>
      <c r="CN1" s="171" t="s">
        <v>102</v>
      </c>
      <c r="CO1" s="171" t="s">
        <v>103</v>
      </c>
      <c r="CP1" s="172" t="s">
        <v>104</v>
      </c>
      <c r="CQ1" s="172" t="s">
        <v>105</v>
      </c>
      <c r="CR1" s="172" t="s">
        <v>106</v>
      </c>
    </row>
    <row r="2" spans="1:96" s="83" customFormat="1" x14ac:dyDescent="0.45">
      <c r="A2" s="57"/>
      <c r="B2" s="146" t="s">
        <v>1</v>
      </c>
      <c r="D2" s="83">
        <v>1532</v>
      </c>
      <c r="E2" s="83">
        <f t="shared" ref="E2:AJ2" si="0">D2+IF(E1="Gennaio",1,0)</f>
        <v>1532</v>
      </c>
      <c r="F2" s="83">
        <f t="shared" si="0"/>
        <v>1532</v>
      </c>
      <c r="G2" s="83">
        <f t="shared" si="0"/>
        <v>1532</v>
      </c>
      <c r="H2" s="83">
        <f t="shared" si="0"/>
        <v>1532</v>
      </c>
      <c r="I2" s="83">
        <f t="shared" si="0"/>
        <v>1532</v>
      </c>
      <c r="J2" s="83">
        <f t="shared" si="0"/>
        <v>1532</v>
      </c>
      <c r="K2" s="83">
        <f t="shared" si="0"/>
        <v>1532</v>
      </c>
      <c r="L2" s="83">
        <f t="shared" si="0"/>
        <v>1532</v>
      </c>
      <c r="M2" s="83">
        <f t="shared" si="0"/>
        <v>1533</v>
      </c>
      <c r="N2" s="83">
        <f t="shared" si="0"/>
        <v>1533</v>
      </c>
      <c r="O2" s="83">
        <f t="shared" si="0"/>
        <v>1533</v>
      </c>
      <c r="P2" s="83">
        <f t="shared" si="0"/>
        <v>1533</v>
      </c>
      <c r="Q2" s="83">
        <f t="shared" si="0"/>
        <v>1533</v>
      </c>
      <c r="R2" s="83">
        <f t="shared" si="0"/>
        <v>1533</v>
      </c>
      <c r="S2" s="83">
        <f t="shared" si="0"/>
        <v>1533</v>
      </c>
      <c r="T2" s="83">
        <f t="shared" si="0"/>
        <v>1533</v>
      </c>
      <c r="U2" s="83">
        <f t="shared" si="0"/>
        <v>1533</v>
      </c>
      <c r="V2" s="83">
        <f t="shared" si="0"/>
        <v>1533</v>
      </c>
      <c r="W2" s="83">
        <f t="shared" si="0"/>
        <v>1533</v>
      </c>
      <c r="X2" s="83">
        <f t="shared" si="0"/>
        <v>1533</v>
      </c>
      <c r="Y2" s="83">
        <f t="shared" si="0"/>
        <v>1534</v>
      </c>
      <c r="Z2" s="83">
        <f t="shared" si="0"/>
        <v>1534</v>
      </c>
      <c r="AA2" s="83">
        <f t="shared" si="0"/>
        <v>1534</v>
      </c>
      <c r="AB2" s="83">
        <f t="shared" si="0"/>
        <v>1534</v>
      </c>
      <c r="AC2" s="83">
        <f t="shared" si="0"/>
        <v>1534</v>
      </c>
      <c r="AD2" s="83">
        <f t="shared" si="0"/>
        <v>1534</v>
      </c>
      <c r="AE2" s="83">
        <f t="shared" si="0"/>
        <v>1534</v>
      </c>
      <c r="AF2" s="83">
        <f t="shared" si="0"/>
        <v>1534</v>
      </c>
      <c r="AG2" s="83">
        <f t="shared" si="0"/>
        <v>1534</v>
      </c>
      <c r="AH2" s="83">
        <f t="shared" si="0"/>
        <v>1534</v>
      </c>
      <c r="AI2" s="83">
        <f t="shared" si="0"/>
        <v>1534</v>
      </c>
      <c r="AJ2" s="83">
        <f t="shared" si="0"/>
        <v>1534</v>
      </c>
      <c r="AK2" s="83">
        <f t="shared" ref="AK2:BP2" si="1">AJ2+IF(AK1="Gennaio",1,0)</f>
        <v>1535</v>
      </c>
      <c r="AL2" s="83">
        <f t="shared" si="1"/>
        <v>1535</v>
      </c>
      <c r="AM2" s="83">
        <f t="shared" si="1"/>
        <v>1535</v>
      </c>
      <c r="AN2" s="83">
        <f t="shared" si="1"/>
        <v>1535</v>
      </c>
      <c r="AO2" s="83">
        <f t="shared" si="1"/>
        <v>1535</v>
      </c>
      <c r="AP2" s="83">
        <f t="shared" si="1"/>
        <v>1535</v>
      </c>
      <c r="AQ2" s="83">
        <f t="shared" si="1"/>
        <v>1535</v>
      </c>
      <c r="AR2" s="83">
        <f t="shared" si="1"/>
        <v>1535</v>
      </c>
      <c r="AS2" s="83">
        <f t="shared" si="1"/>
        <v>1535</v>
      </c>
      <c r="AT2" s="83">
        <f t="shared" si="1"/>
        <v>1535</v>
      </c>
      <c r="AU2" s="83">
        <f t="shared" si="1"/>
        <v>1535</v>
      </c>
      <c r="AV2" s="83">
        <f t="shared" si="1"/>
        <v>1535</v>
      </c>
      <c r="AW2" s="83">
        <f t="shared" si="1"/>
        <v>1536</v>
      </c>
      <c r="AX2" s="83">
        <f t="shared" si="1"/>
        <v>1536</v>
      </c>
      <c r="AY2" s="83">
        <f t="shared" si="1"/>
        <v>1536</v>
      </c>
      <c r="AZ2" s="83">
        <f t="shared" si="1"/>
        <v>1536</v>
      </c>
      <c r="BA2" s="83">
        <f t="shared" si="1"/>
        <v>1536</v>
      </c>
      <c r="BB2" s="83">
        <f t="shared" si="1"/>
        <v>1536</v>
      </c>
      <c r="BC2" s="83">
        <f t="shared" si="1"/>
        <v>1536</v>
      </c>
      <c r="BD2" s="83">
        <f t="shared" si="1"/>
        <v>1536</v>
      </c>
      <c r="BE2" s="83">
        <f t="shared" si="1"/>
        <v>1536</v>
      </c>
      <c r="BF2" s="83">
        <f t="shared" si="1"/>
        <v>1536</v>
      </c>
      <c r="BG2" s="83">
        <f t="shared" si="1"/>
        <v>1536</v>
      </c>
      <c r="BH2" s="83">
        <f t="shared" si="1"/>
        <v>1536</v>
      </c>
      <c r="BI2" s="83">
        <f t="shared" si="1"/>
        <v>1537</v>
      </c>
      <c r="BJ2" s="83">
        <f t="shared" si="1"/>
        <v>1537</v>
      </c>
      <c r="BK2" s="83">
        <f t="shared" si="1"/>
        <v>1537</v>
      </c>
      <c r="BL2" s="83">
        <f t="shared" si="1"/>
        <v>1537</v>
      </c>
      <c r="BM2" s="83">
        <f t="shared" si="1"/>
        <v>1537</v>
      </c>
      <c r="BN2" s="83">
        <f t="shared" si="1"/>
        <v>1537</v>
      </c>
      <c r="BO2" s="83">
        <f t="shared" si="1"/>
        <v>1537</v>
      </c>
      <c r="BP2" s="83">
        <f t="shared" si="1"/>
        <v>1537</v>
      </c>
      <c r="BQ2" s="83">
        <f t="shared" ref="BQ2:CR2" si="2">BP2+IF(BQ1="Gennaio",1,0)</f>
        <v>1537</v>
      </c>
      <c r="BR2" s="83">
        <f t="shared" si="2"/>
        <v>1537</v>
      </c>
      <c r="BS2" s="83">
        <f t="shared" si="2"/>
        <v>1537</v>
      </c>
      <c r="BT2" s="83">
        <f t="shared" si="2"/>
        <v>1537</v>
      </c>
      <c r="BU2" s="83">
        <f t="shared" si="2"/>
        <v>1538</v>
      </c>
      <c r="BV2" s="83">
        <f t="shared" si="2"/>
        <v>1538</v>
      </c>
      <c r="BW2" s="83">
        <f t="shared" si="2"/>
        <v>1538</v>
      </c>
      <c r="BX2" s="83">
        <f t="shared" si="2"/>
        <v>1538</v>
      </c>
      <c r="BY2" s="83">
        <f t="shared" si="2"/>
        <v>1538</v>
      </c>
      <c r="BZ2" s="83">
        <f t="shared" si="2"/>
        <v>1538</v>
      </c>
      <c r="CA2" s="83">
        <f t="shared" si="2"/>
        <v>1538</v>
      </c>
      <c r="CB2" s="83">
        <f t="shared" si="2"/>
        <v>1538</v>
      </c>
      <c r="CC2" s="83">
        <f t="shared" si="2"/>
        <v>1538</v>
      </c>
      <c r="CD2" s="83">
        <f t="shared" si="2"/>
        <v>1538</v>
      </c>
      <c r="CE2" s="83">
        <f t="shared" si="2"/>
        <v>1538</v>
      </c>
      <c r="CF2" s="83">
        <f t="shared" si="2"/>
        <v>1538</v>
      </c>
      <c r="CG2" s="83">
        <f t="shared" si="2"/>
        <v>1539</v>
      </c>
      <c r="CH2" s="83">
        <f t="shared" si="2"/>
        <v>1539</v>
      </c>
      <c r="CI2" s="83">
        <f t="shared" si="2"/>
        <v>1539</v>
      </c>
      <c r="CJ2" s="83">
        <f t="shared" si="2"/>
        <v>1539</v>
      </c>
      <c r="CK2" s="83">
        <f t="shared" si="2"/>
        <v>1539</v>
      </c>
      <c r="CL2" s="83">
        <f t="shared" si="2"/>
        <v>1539</v>
      </c>
      <c r="CM2" s="83">
        <f t="shared" si="2"/>
        <v>1539</v>
      </c>
      <c r="CN2" s="83">
        <f t="shared" si="2"/>
        <v>1539</v>
      </c>
      <c r="CO2" s="83">
        <f t="shared" si="2"/>
        <v>1539</v>
      </c>
      <c r="CP2" s="83">
        <f t="shared" si="2"/>
        <v>1539</v>
      </c>
      <c r="CQ2" s="83">
        <f t="shared" si="2"/>
        <v>1539</v>
      </c>
      <c r="CR2" s="83">
        <f t="shared" si="2"/>
        <v>1539</v>
      </c>
    </row>
    <row r="3" spans="1:96" s="145" customFormat="1" x14ac:dyDescent="0.45">
      <c r="A3" s="65"/>
      <c r="B3" s="147" t="s">
        <v>94</v>
      </c>
      <c r="D3" s="145">
        <f>C3+1</f>
        <v>1</v>
      </c>
      <c r="E3" s="145">
        <f t="shared" ref="E3:BP3" si="3">D3+1</f>
        <v>2</v>
      </c>
      <c r="F3" s="145">
        <f t="shared" si="3"/>
        <v>3</v>
      </c>
      <c r="G3" s="145">
        <f t="shared" si="3"/>
        <v>4</v>
      </c>
      <c r="H3" s="145">
        <f t="shared" si="3"/>
        <v>5</v>
      </c>
      <c r="I3" s="145">
        <f t="shared" si="3"/>
        <v>6</v>
      </c>
      <c r="J3" s="145">
        <f t="shared" si="3"/>
        <v>7</v>
      </c>
      <c r="K3" s="145">
        <f t="shared" si="3"/>
        <v>8</v>
      </c>
      <c r="L3" s="145">
        <f t="shared" si="3"/>
        <v>9</v>
      </c>
      <c r="M3" s="145">
        <f t="shared" si="3"/>
        <v>10</v>
      </c>
      <c r="N3" s="145">
        <f t="shared" si="3"/>
        <v>11</v>
      </c>
      <c r="O3" s="145">
        <f t="shared" si="3"/>
        <v>12</v>
      </c>
      <c r="P3" s="145">
        <f t="shared" si="3"/>
        <v>13</v>
      </c>
      <c r="Q3" s="145">
        <f t="shared" si="3"/>
        <v>14</v>
      </c>
      <c r="R3" s="145">
        <f t="shared" si="3"/>
        <v>15</v>
      </c>
      <c r="S3" s="145">
        <f t="shared" si="3"/>
        <v>16</v>
      </c>
      <c r="T3" s="145">
        <f t="shared" si="3"/>
        <v>17</v>
      </c>
      <c r="U3" s="145">
        <f t="shared" si="3"/>
        <v>18</v>
      </c>
      <c r="V3" s="145">
        <f t="shared" si="3"/>
        <v>19</v>
      </c>
      <c r="W3" s="145">
        <f t="shared" si="3"/>
        <v>20</v>
      </c>
      <c r="X3" s="145">
        <f t="shared" si="3"/>
        <v>21</v>
      </c>
      <c r="Y3" s="145">
        <f t="shared" si="3"/>
        <v>22</v>
      </c>
      <c r="Z3" s="145">
        <f t="shared" si="3"/>
        <v>23</v>
      </c>
      <c r="AA3" s="145">
        <f t="shared" si="3"/>
        <v>24</v>
      </c>
      <c r="AB3" s="145">
        <f t="shared" si="3"/>
        <v>25</v>
      </c>
      <c r="AC3" s="145">
        <f t="shared" si="3"/>
        <v>26</v>
      </c>
      <c r="AD3" s="145">
        <f t="shared" si="3"/>
        <v>27</v>
      </c>
      <c r="AE3" s="145">
        <f t="shared" si="3"/>
        <v>28</v>
      </c>
      <c r="AF3" s="145">
        <f t="shared" si="3"/>
        <v>29</v>
      </c>
      <c r="AG3" s="145">
        <f t="shared" si="3"/>
        <v>30</v>
      </c>
      <c r="AH3" s="145">
        <f t="shared" si="3"/>
        <v>31</v>
      </c>
      <c r="AI3" s="145">
        <f t="shared" si="3"/>
        <v>32</v>
      </c>
      <c r="AJ3" s="145">
        <f t="shared" si="3"/>
        <v>33</v>
      </c>
      <c r="AK3" s="145">
        <f t="shared" si="3"/>
        <v>34</v>
      </c>
      <c r="AL3" s="145">
        <f t="shared" si="3"/>
        <v>35</v>
      </c>
      <c r="AM3" s="145">
        <f t="shared" si="3"/>
        <v>36</v>
      </c>
      <c r="AN3" s="145">
        <f t="shared" si="3"/>
        <v>37</v>
      </c>
      <c r="AO3" s="145">
        <f t="shared" si="3"/>
        <v>38</v>
      </c>
      <c r="AP3" s="145">
        <f t="shared" si="3"/>
        <v>39</v>
      </c>
      <c r="AQ3" s="145">
        <f t="shared" si="3"/>
        <v>40</v>
      </c>
      <c r="AR3" s="145">
        <f t="shared" si="3"/>
        <v>41</v>
      </c>
      <c r="AS3" s="145">
        <f t="shared" si="3"/>
        <v>42</v>
      </c>
      <c r="AT3" s="145">
        <f t="shared" si="3"/>
        <v>43</v>
      </c>
      <c r="AU3" s="145">
        <f t="shared" si="3"/>
        <v>44</v>
      </c>
      <c r="AV3" s="145">
        <f t="shared" si="3"/>
        <v>45</v>
      </c>
      <c r="AW3" s="145">
        <f t="shared" si="3"/>
        <v>46</v>
      </c>
      <c r="AX3" s="145">
        <f t="shared" si="3"/>
        <v>47</v>
      </c>
      <c r="AY3" s="145">
        <f t="shared" si="3"/>
        <v>48</v>
      </c>
      <c r="AZ3" s="145">
        <f t="shared" si="3"/>
        <v>49</v>
      </c>
      <c r="BA3" s="145">
        <f t="shared" si="3"/>
        <v>50</v>
      </c>
      <c r="BB3" s="145">
        <f t="shared" si="3"/>
        <v>51</v>
      </c>
      <c r="BC3" s="145">
        <f t="shared" si="3"/>
        <v>52</v>
      </c>
      <c r="BD3" s="145">
        <f t="shared" si="3"/>
        <v>53</v>
      </c>
      <c r="BE3" s="145">
        <f t="shared" si="3"/>
        <v>54</v>
      </c>
      <c r="BF3" s="145">
        <f t="shared" si="3"/>
        <v>55</v>
      </c>
      <c r="BG3" s="145">
        <f t="shared" si="3"/>
        <v>56</v>
      </c>
      <c r="BH3" s="145">
        <f t="shared" si="3"/>
        <v>57</v>
      </c>
      <c r="BI3" s="145">
        <f t="shared" si="3"/>
        <v>58</v>
      </c>
      <c r="BJ3" s="145">
        <f t="shared" si="3"/>
        <v>59</v>
      </c>
      <c r="BK3" s="145">
        <f t="shared" si="3"/>
        <v>60</v>
      </c>
      <c r="BL3" s="145">
        <f t="shared" si="3"/>
        <v>61</v>
      </c>
      <c r="BM3" s="145">
        <f t="shared" si="3"/>
        <v>62</v>
      </c>
      <c r="BN3" s="145">
        <f t="shared" si="3"/>
        <v>63</v>
      </c>
      <c r="BO3" s="145">
        <f t="shared" si="3"/>
        <v>64</v>
      </c>
      <c r="BP3" s="145">
        <f t="shared" si="3"/>
        <v>65</v>
      </c>
      <c r="BQ3" s="145">
        <f t="shared" ref="BQ3:CR3" si="4">BP3+1</f>
        <v>66</v>
      </c>
      <c r="BR3" s="145">
        <f t="shared" si="4"/>
        <v>67</v>
      </c>
      <c r="BS3" s="145">
        <f t="shared" si="4"/>
        <v>68</v>
      </c>
      <c r="BT3" s="145">
        <f t="shared" si="4"/>
        <v>69</v>
      </c>
      <c r="BU3" s="145">
        <f t="shared" si="4"/>
        <v>70</v>
      </c>
      <c r="BV3" s="145">
        <f t="shared" si="4"/>
        <v>71</v>
      </c>
      <c r="BW3" s="145">
        <f t="shared" si="4"/>
        <v>72</v>
      </c>
      <c r="BX3" s="145">
        <f t="shared" si="4"/>
        <v>73</v>
      </c>
      <c r="BY3" s="145">
        <f t="shared" si="4"/>
        <v>74</v>
      </c>
      <c r="BZ3" s="145">
        <f t="shared" si="4"/>
        <v>75</v>
      </c>
      <c r="CA3" s="145">
        <f t="shared" si="4"/>
        <v>76</v>
      </c>
      <c r="CB3" s="145">
        <f t="shared" si="4"/>
        <v>77</v>
      </c>
      <c r="CC3" s="145">
        <f t="shared" si="4"/>
        <v>78</v>
      </c>
      <c r="CD3" s="145">
        <f t="shared" si="4"/>
        <v>79</v>
      </c>
      <c r="CE3" s="145">
        <f t="shared" si="4"/>
        <v>80</v>
      </c>
      <c r="CF3" s="145">
        <f t="shared" si="4"/>
        <v>81</v>
      </c>
      <c r="CG3" s="145">
        <f t="shared" si="4"/>
        <v>82</v>
      </c>
      <c r="CH3" s="145">
        <f t="shared" si="4"/>
        <v>83</v>
      </c>
      <c r="CI3" s="145">
        <f t="shared" si="4"/>
        <v>84</v>
      </c>
      <c r="CJ3" s="145">
        <f t="shared" si="4"/>
        <v>85</v>
      </c>
      <c r="CK3" s="145">
        <f t="shared" si="4"/>
        <v>86</v>
      </c>
      <c r="CL3" s="145">
        <f t="shared" si="4"/>
        <v>87</v>
      </c>
      <c r="CM3" s="145">
        <f t="shared" si="4"/>
        <v>88</v>
      </c>
      <c r="CN3" s="145">
        <f t="shared" si="4"/>
        <v>89</v>
      </c>
      <c r="CO3" s="145">
        <f t="shared" si="4"/>
        <v>90</v>
      </c>
      <c r="CP3" s="145">
        <f t="shared" si="4"/>
        <v>91</v>
      </c>
      <c r="CQ3" s="145">
        <f t="shared" si="4"/>
        <v>92</v>
      </c>
      <c r="CR3" s="145">
        <f t="shared" si="4"/>
        <v>93</v>
      </c>
    </row>
    <row r="4" spans="1:96" s="36" customFormat="1" x14ac:dyDescent="0.45">
      <c r="A4" s="91"/>
      <c r="B4" s="148"/>
      <c r="Z4" s="106"/>
      <c r="AH4" s="37" t="s">
        <v>338</v>
      </c>
      <c r="AN4" s="36">
        <f>SUMIF(AN11:AN39, "&gt;=0")</f>
        <v>4608</v>
      </c>
    </row>
    <row r="5" spans="1:96" s="36" customFormat="1" x14ac:dyDescent="0.45">
      <c r="A5" s="236">
        <f>MAX(D8:CC8)</f>
        <v>2224.760000000002</v>
      </c>
      <c r="B5" s="149" t="s">
        <v>248</v>
      </c>
      <c r="C5" s="36">
        <f>ABS(C51)</f>
        <v>230</v>
      </c>
      <c r="D5" s="36">
        <f>ABS(D16+D51)</f>
        <v>1400</v>
      </c>
      <c r="G5" s="36">
        <f>ABS(G20)</f>
        <v>900</v>
      </c>
      <c r="J5" s="36">
        <f>ABS(J24)</f>
        <v>900</v>
      </c>
      <c r="M5" s="36">
        <f>ABS(M32+M51)</f>
        <v>5120</v>
      </c>
      <c r="Y5" s="106">
        <f>-Y28</f>
        <v>2700</v>
      </c>
      <c r="AG5" s="36">
        <f>ABS(SUM(Y53:AG53))</f>
        <v>27499.999999999996</v>
      </c>
      <c r="AI5" s="106"/>
      <c r="AQ5" s="36">
        <v>100</v>
      </c>
      <c r="BX5" s="36">
        <v>-5000</v>
      </c>
      <c r="BZ5" s="36">
        <f>12000+14000</f>
        <v>26000</v>
      </c>
      <c r="CA5" s="36">
        <f>ABS(CA50+CA53+CA57)</f>
        <v>8206.66</v>
      </c>
    </row>
    <row r="6" spans="1:96" s="48" customFormat="1" x14ac:dyDescent="0.45">
      <c r="A6" s="237">
        <f>MIN(D8:CC8)</f>
        <v>-24325.239999999998</v>
      </c>
      <c r="B6" s="150" t="s">
        <v>255</v>
      </c>
      <c r="D6" s="141">
        <f>SUM($C5:D5)+D7</f>
        <v>5427</v>
      </c>
      <c r="E6" s="141">
        <f>SUM($C5:E5)+E7</f>
        <v>5914</v>
      </c>
      <c r="F6" s="141">
        <f>SUM($C5:F5)+F7</f>
        <v>6401</v>
      </c>
      <c r="G6" s="141">
        <f>SUM($C5:G5)+G7</f>
        <v>7133.2</v>
      </c>
      <c r="H6" s="141">
        <f>SUM($C5:H5)+H7</f>
        <v>7865.4</v>
      </c>
      <c r="I6" s="141">
        <f>SUM($C5:I5)+I7</f>
        <v>8597.5999999999985</v>
      </c>
      <c r="J6" s="141">
        <f>SUM($C5:J5)+J7</f>
        <v>9600</v>
      </c>
      <c r="K6" s="141">
        <f>SUM($C5:K5)+K7</f>
        <v>11602.4</v>
      </c>
      <c r="L6" s="141">
        <f>SUM($C5:L5)+L7</f>
        <v>12204.8</v>
      </c>
      <c r="M6" s="141">
        <f>SUM($C5:M5)+M7</f>
        <v>13626.68</v>
      </c>
      <c r="N6" s="141">
        <f>SUM($C5:N5)+N7</f>
        <v>14748.56</v>
      </c>
      <c r="O6" s="141">
        <f>SUM($C5:O5)+O7</f>
        <v>15870.439999999999</v>
      </c>
      <c r="P6" s="141">
        <f>SUM($C5:P5)+P7</f>
        <v>16892.32</v>
      </c>
      <c r="Q6" s="141">
        <f>SUM($C5:Q5)+Q7</f>
        <v>18014.2</v>
      </c>
      <c r="R6" s="141">
        <f>SUM($C5:R5)+R7</f>
        <v>19136.080000000002</v>
      </c>
      <c r="S6" s="141">
        <f>SUM($C5:S5)+S7</f>
        <v>20128.160000000003</v>
      </c>
      <c r="T6" s="141">
        <f>SUM($C5:T5)+T7</f>
        <v>21620.240000000002</v>
      </c>
      <c r="U6" s="141">
        <f>SUM($C5:U5)+U7</f>
        <v>23112.32</v>
      </c>
      <c r="V6" s="141">
        <f>SUM($C5:V5)+V7</f>
        <v>24104.400000000001</v>
      </c>
      <c r="W6" s="141">
        <f>SUM($C5:W5)+W7</f>
        <v>25596.480000000003</v>
      </c>
      <c r="X6" s="141">
        <f>SUM($C5:X5)+X7</f>
        <v>27088.560000000005</v>
      </c>
      <c r="Y6" s="141">
        <f>SUM($C5:Y5)+Y7</f>
        <v>24939.884444444448</v>
      </c>
      <c r="Z6" s="141">
        <f>SUM($C5:Z5)+Z7</f>
        <v>22991.208888888894</v>
      </c>
      <c r="AA6" s="141">
        <f>SUM($C5:AA5)+AA7</f>
        <v>21042.53333333334</v>
      </c>
      <c r="AB6" s="141">
        <f>SUM($C5:AA5)+AB7</f>
        <v>19823.857777777783</v>
      </c>
      <c r="AC6" s="141">
        <f>SUM($C5:AC5)+AC7</f>
        <v>18705.182222222225</v>
      </c>
      <c r="AD6" s="141">
        <f>SUM($C5:AD5)+AD7</f>
        <v>17586.506666666672</v>
      </c>
      <c r="AE6" s="141">
        <f>SUM($C5:AD5)+AE7</f>
        <v>16079.311111111116</v>
      </c>
      <c r="AF6" s="141">
        <f>SUM($C5:AF5)+AF7</f>
        <v>14272.11555555556</v>
      </c>
      <c r="AG6" s="141">
        <f>SUM($C5:AG5)+AG7</f>
        <v>40131.320000000007</v>
      </c>
      <c r="AH6" s="141">
        <f>SUM($C5:AH5)+AH7</f>
        <v>41321.08</v>
      </c>
      <c r="AI6" s="141">
        <f>SUM($C5:AI5)+AI7</f>
        <v>41925.840000000004</v>
      </c>
      <c r="AJ6" s="141">
        <f>SUM($C5:AJ5)+AJ7</f>
        <v>42800.600000000006</v>
      </c>
      <c r="AK6" s="141">
        <f>SUM($C5:AK5)+AK7</f>
        <v>43725.360000000008</v>
      </c>
      <c r="AL6" s="141">
        <f>SUM($C5:AL5)+AL7</f>
        <v>44650.12</v>
      </c>
      <c r="AM6" s="141">
        <f>SUM($C5:AM5)+AM7</f>
        <v>45624.880000000005</v>
      </c>
      <c r="AN6" s="141">
        <f>SUM($C5:AN5)+AN7</f>
        <v>46599.640000000007</v>
      </c>
      <c r="AO6" s="141">
        <f>SUM($C5:AO5)+AO7</f>
        <v>47624.400000000009</v>
      </c>
      <c r="AP6" s="141">
        <f>SUM($C5:AP5)+AP7</f>
        <v>48649.16</v>
      </c>
      <c r="AQ6" s="141">
        <f>SUM($C5:AQ5)+AQ7</f>
        <v>44673.920000000006</v>
      </c>
      <c r="AR6" s="141">
        <f>SUM($C5:AR5)+AR7</f>
        <v>45698.680000000008</v>
      </c>
      <c r="AS6" s="141">
        <f>SUM($C5:AS5)+AS7</f>
        <v>46723.44</v>
      </c>
      <c r="AT6" s="141">
        <f>SUM($C5:AT5)+AT7</f>
        <v>47748.200000000004</v>
      </c>
      <c r="AU6" s="141">
        <f>SUM($C5:AU5)+AU7</f>
        <v>48772.960000000006</v>
      </c>
      <c r="AV6" s="141">
        <f>SUM($C5:AV5)+AV7</f>
        <v>49797.720000000008</v>
      </c>
      <c r="AW6" s="141">
        <f>SUM($C5:AW5)+AW7</f>
        <v>50822.48000000001</v>
      </c>
      <c r="AX6" s="141">
        <f>SUM($C5:AX5)+AX7</f>
        <v>51847.240000000005</v>
      </c>
      <c r="AY6" s="141">
        <f>SUM($C5:AY5)+AY7</f>
        <v>52872.000000000007</v>
      </c>
      <c r="AZ6" s="141">
        <f>SUM($C5:AZ5)+AZ7</f>
        <v>53896.760000000009</v>
      </c>
      <c r="BA6" s="141">
        <f>SUM($C5:BA5)+BA7</f>
        <v>54921.520000000004</v>
      </c>
      <c r="BB6" s="141">
        <f>SUM($C5:BB5)+BB7</f>
        <v>55946.280000000006</v>
      </c>
      <c r="BC6" s="141">
        <f>SUM($C5:BC5)+BC7</f>
        <v>56971.040000000008</v>
      </c>
      <c r="BD6" s="141">
        <f>SUM($C5:BD5)+BD7</f>
        <v>57995.8</v>
      </c>
      <c r="BE6" s="141">
        <f>SUM($C5:BE5)+BE7</f>
        <v>59020.56</v>
      </c>
      <c r="BF6" s="141">
        <f>SUM($C5:BF5)+BF7</f>
        <v>60045.32</v>
      </c>
      <c r="BG6" s="141">
        <f>SUM($C5:BG5)+BG7</f>
        <v>61070.080000000002</v>
      </c>
      <c r="BH6" s="141">
        <f>SUM($C5:BH5)+BH7</f>
        <v>62094.84</v>
      </c>
      <c r="BI6" s="141">
        <f>SUM($C5:BI5)+BI7</f>
        <v>63119.599999999991</v>
      </c>
      <c r="BJ6" s="141">
        <f>SUM($C5:BJ5)+BJ7</f>
        <v>64144.359999999993</v>
      </c>
      <c r="BK6" s="141">
        <f>SUM($C5:BK5)+BK7</f>
        <v>65169.119999999995</v>
      </c>
      <c r="BL6" s="141">
        <f>SUM($C5:BL5)+BL7</f>
        <v>66193.87999999999</v>
      </c>
      <c r="BM6" s="141">
        <f>SUM($C5:BM5)+BM7</f>
        <v>67218.639999999985</v>
      </c>
      <c r="BN6" s="141">
        <f>SUM($C5:BN5)+BN7</f>
        <v>68243.399999999994</v>
      </c>
      <c r="BO6" s="141">
        <f>SUM($C5:BO5)+BO7</f>
        <v>69268.159999999989</v>
      </c>
      <c r="BP6" s="141">
        <f>SUM($C5:BP5)+BP7</f>
        <v>70292.919999999984</v>
      </c>
      <c r="BQ6" s="141">
        <f>SUM($C5:BQ5)+BQ7</f>
        <v>71317.679999999978</v>
      </c>
      <c r="BR6" s="141">
        <f>SUM($C5:BR5)+BR7</f>
        <v>72342.439999999973</v>
      </c>
      <c r="BS6" s="141">
        <f>SUM($C5:BS5)+BS7</f>
        <v>73367.199999999983</v>
      </c>
      <c r="BT6" s="141">
        <f>SUM($C5:BT5)+BT7</f>
        <v>74391.959999999992</v>
      </c>
      <c r="BU6" s="141">
        <f>SUM($C5:BU5)+BU7</f>
        <v>75416.719999999987</v>
      </c>
      <c r="BV6" s="141">
        <f>SUM($C5:BV5)+BV7</f>
        <v>76441.479999999981</v>
      </c>
      <c r="BW6" s="141">
        <f>SUM($C5:BW5)+BW7</f>
        <v>77466.239999999991</v>
      </c>
      <c r="BX6" s="141">
        <f>SUM($C5:BX5)+BX7</f>
        <v>74691</v>
      </c>
      <c r="BY6" s="141">
        <f>SUM($C5:BY5)+BY7</f>
        <v>75715.759999999995</v>
      </c>
      <c r="BZ6" s="141">
        <f>SUM($C5:BZ5)+BZ7</f>
        <v>77390.51999999999</v>
      </c>
      <c r="CA6" s="141">
        <f>SUM($C5:CA5)+CA7</f>
        <v>80233.34</v>
      </c>
      <c r="CB6" s="141">
        <f>SUM($C5:CB5)+CB7</f>
        <v>82437.899999999994</v>
      </c>
      <c r="CC6" s="141">
        <f>SUM($C5:CC5)+CC7</f>
        <v>84642.459999999992</v>
      </c>
    </row>
    <row r="7" spans="1:96" x14ac:dyDescent="0.45">
      <c r="B7" s="151" t="s">
        <v>121</v>
      </c>
      <c r="C7" s="24">
        <f>SUM(C9:C1048576)</f>
        <v>4770</v>
      </c>
      <c r="D7" s="24">
        <f t="shared" ref="D7:AI7" si="5">C7+SUM(D9:D1048576)</f>
        <v>3797</v>
      </c>
      <c r="E7" s="24">
        <f t="shared" si="5"/>
        <v>4284</v>
      </c>
      <c r="F7" s="24">
        <f t="shared" si="5"/>
        <v>4771</v>
      </c>
      <c r="G7" s="24">
        <f t="shared" si="5"/>
        <v>4603.2</v>
      </c>
      <c r="H7" s="24">
        <f t="shared" si="5"/>
        <v>5335.4</v>
      </c>
      <c r="I7" s="24">
        <f t="shared" si="5"/>
        <v>6067.5999999999995</v>
      </c>
      <c r="J7" s="24">
        <f t="shared" si="5"/>
        <v>6169.9999999999991</v>
      </c>
      <c r="K7" s="24">
        <f t="shared" si="5"/>
        <v>8172.4</v>
      </c>
      <c r="L7" s="24">
        <f t="shared" si="5"/>
        <v>8774.7999999999993</v>
      </c>
      <c r="M7" s="24">
        <f t="shared" si="5"/>
        <v>5076.6799999999994</v>
      </c>
      <c r="N7" s="24">
        <f t="shared" si="5"/>
        <v>6198.5599999999995</v>
      </c>
      <c r="O7" s="24">
        <f t="shared" si="5"/>
        <v>7320.44</v>
      </c>
      <c r="P7" s="24">
        <f t="shared" si="5"/>
        <v>8342.32</v>
      </c>
      <c r="Q7" s="24">
        <f t="shared" si="5"/>
        <v>9464.2000000000007</v>
      </c>
      <c r="R7" s="24">
        <f t="shared" si="5"/>
        <v>10586.080000000002</v>
      </c>
      <c r="S7" s="24">
        <f t="shared" si="5"/>
        <v>11578.160000000002</v>
      </c>
      <c r="T7" s="24">
        <f t="shared" si="5"/>
        <v>13070.240000000002</v>
      </c>
      <c r="U7" s="24">
        <f t="shared" si="5"/>
        <v>14562.320000000002</v>
      </c>
      <c r="V7" s="24">
        <f t="shared" si="5"/>
        <v>15554.400000000001</v>
      </c>
      <c r="W7" s="24">
        <f t="shared" si="5"/>
        <v>17046.480000000003</v>
      </c>
      <c r="X7" s="24">
        <f t="shared" si="5"/>
        <v>18538.560000000005</v>
      </c>
      <c r="Y7" s="24">
        <f t="shared" si="5"/>
        <v>13689.884444444449</v>
      </c>
      <c r="Z7" s="24">
        <f t="shared" si="5"/>
        <v>11741.208888888894</v>
      </c>
      <c r="AA7" s="24">
        <f t="shared" si="5"/>
        <v>9792.5333333333383</v>
      </c>
      <c r="AB7" s="24">
        <f t="shared" si="5"/>
        <v>8573.8577777777828</v>
      </c>
      <c r="AC7" s="24">
        <f t="shared" si="5"/>
        <v>7455.1822222222272</v>
      </c>
      <c r="AD7" s="24">
        <f t="shared" si="5"/>
        <v>6336.5066666666717</v>
      </c>
      <c r="AE7" s="24">
        <f t="shared" si="5"/>
        <v>4829.3111111111157</v>
      </c>
      <c r="AF7" s="24">
        <f t="shared" si="5"/>
        <v>3022.1155555555601</v>
      </c>
      <c r="AG7" s="24">
        <f t="shared" si="5"/>
        <v>1381.3200000000045</v>
      </c>
      <c r="AH7" s="24">
        <f t="shared" si="5"/>
        <v>2571.0800000000045</v>
      </c>
      <c r="AI7" s="24">
        <f t="shared" si="5"/>
        <v>3175.8400000000047</v>
      </c>
      <c r="AJ7" s="24">
        <f t="shared" ref="AJ7:BO7" si="6">AI7+SUM(AJ9:AJ1048576)</f>
        <v>4050.6000000000049</v>
      </c>
      <c r="AK7" s="24">
        <f t="shared" si="6"/>
        <v>4975.3600000000051</v>
      </c>
      <c r="AL7" s="24">
        <f t="shared" si="6"/>
        <v>5900.1200000000053</v>
      </c>
      <c r="AM7" s="24">
        <f t="shared" si="6"/>
        <v>6874.8800000000056</v>
      </c>
      <c r="AN7" s="24">
        <f t="shared" si="6"/>
        <v>7849.6400000000058</v>
      </c>
      <c r="AO7" s="24">
        <f t="shared" si="6"/>
        <v>8874.4000000000051</v>
      </c>
      <c r="AP7" s="24">
        <f t="shared" si="6"/>
        <v>9899.1600000000053</v>
      </c>
      <c r="AQ7" s="24">
        <f t="shared" si="6"/>
        <v>5823.9200000000055</v>
      </c>
      <c r="AR7" s="24">
        <f t="shared" si="6"/>
        <v>6848.6800000000057</v>
      </c>
      <c r="AS7" s="24">
        <f t="shared" si="6"/>
        <v>7873.440000000006</v>
      </c>
      <c r="AT7" s="24">
        <f t="shared" si="6"/>
        <v>8898.2000000000062</v>
      </c>
      <c r="AU7" s="24">
        <f t="shared" si="6"/>
        <v>9922.9600000000064</v>
      </c>
      <c r="AV7" s="24">
        <f t="shared" si="6"/>
        <v>10947.720000000007</v>
      </c>
      <c r="AW7" s="24">
        <f t="shared" si="6"/>
        <v>11972.480000000007</v>
      </c>
      <c r="AX7" s="24">
        <f t="shared" si="6"/>
        <v>12997.240000000007</v>
      </c>
      <c r="AY7" s="24">
        <f t="shared" si="6"/>
        <v>14022.000000000007</v>
      </c>
      <c r="AZ7" s="24">
        <f t="shared" si="6"/>
        <v>15046.760000000007</v>
      </c>
      <c r="BA7" s="24">
        <f t="shared" si="6"/>
        <v>16071.520000000008</v>
      </c>
      <c r="BB7" s="24">
        <f t="shared" si="6"/>
        <v>17096.280000000006</v>
      </c>
      <c r="BC7" s="24">
        <f t="shared" si="6"/>
        <v>18121.040000000005</v>
      </c>
      <c r="BD7" s="24">
        <f t="shared" si="6"/>
        <v>19145.800000000003</v>
      </c>
      <c r="BE7" s="24">
        <f t="shared" si="6"/>
        <v>20170.560000000001</v>
      </c>
      <c r="BF7" s="24">
        <f t="shared" si="6"/>
        <v>21195.32</v>
      </c>
      <c r="BG7" s="24">
        <f t="shared" si="6"/>
        <v>22220.079999999998</v>
      </c>
      <c r="BH7" s="24">
        <f t="shared" si="6"/>
        <v>23244.839999999997</v>
      </c>
      <c r="BI7" s="24">
        <f t="shared" si="6"/>
        <v>24269.599999999995</v>
      </c>
      <c r="BJ7" s="24">
        <f t="shared" si="6"/>
        <v>25294.359999999993</v>
      </c>
      <c r="BK7" s="24">
        <f t="shared" si="6"/>
        <v>26319.119999999992</v>
      </c>
      <c r="BL7" s="24">
        <f t="shared" si="6"/>
        <v>27343.87999999999</v>
      </c>
      <c r="BM7" s="24">
        <f t="shared" si="6"/>
        <v>28368.639999999989</v>
      </c>
      <c r="BN7" s="24">
        <f t="shared" si="6"/>
        <v>29393.399999999987</v>
      </c>
      <c r="BO7" s="24">
        <f t="shared" si="6"/>
        <v>30418.159999999985</v>
      </c>
      <c r="BP7" s="24">
        <f t="shared" ref="BP7:CC7" si="7">BO7+SUM(BP9:BP1048576)</f>
        <v>31442.919999999984</v>
      </c>
      <c r="BQ7" s="24">
        <f t="shared" si="7"/>
        <v>32467.679999999982</v>
      </c>
      <c r="BR7" s="24">
        <f t="shared" si="7"/>
        <v>33492.439999999981</v>
      </c>
      <c r="BS7" s="24">
        <f t="shared" si="7"/>
        <v>34517.199999999983</v>
      </c>
      <c r="BT7" s="24">
        <f t="shared" si="7"/>
        <v>35541.959999999985</v>
      </c>
      <c r="BU7" s="24">
        <f t="shared" si="7"/>
        <v>36566.719999999987</v>
      </c>
      <c r="BV7" s="24">
        <f t="shared" si="7"/>
        <v>37591.479999999989</v>
      </c>
      <c r="BW7" s="24">
        <f t="shared" si="7"/>
        <v>38616.239999999991</v>
      </c>
      <c r="BX7" s="24">
        <f t="shared" si="7"/>
        <v>40840.999999999993</v>
      </c>
      <c r="BY7" s="24">
        <f t="shared" si="7"/>
        <v>41865.759999999995</v>
      </c>
      <c r="BZ7" s="24">
        <f t="shared" si="7"/>
        <v>17540.519999999997</v>
      </c>
      <c r="CA7" s="24">
        <f t="shared" si="7"/>
        <v>12176.679999999997</v>
      </c>
      <c r="CB7" s="24">
        <f t="shared" si="7"/>
        <v>14381.239999999996</v>
      </c>
      <c r="CC7" s="24">
        <f t="shared" si="7"/>
        <v>16585.799999999996</v>
      </c>
    </row>
    <row r="8" spans="1:96" s="144" customFormat="1" x14ac:dyDescent="0.45">
      <c r="A8" s="65"/>
      <c r="B8" s="152" t="s">
        <v>122</v>
      </c>
      <c r="C8" s="142"/>
      <c r="D8" s="143">
        <f>D7-C7</f>
        <v>-973</v>
      </c>
      <c r="E8" s="143">
        <f t="shared" ref="E8:L8" si="8">E7-D7</f>
        <v>487</v>
      </c>
      <c r="F8" s="143">
        <f t="shared" si="8"/>
        <v>487</v>
      </c>
      <c r="G8" s="143">
        <f t="shared" si="8"/>
        <v>-167.80000000000018</v>
      </c>
      <c r="H8" s="143">
        <f t="shared" si="8"/>
        <v>732.19999999999982</v>
      </c>
      <c r="I8" s="143">
        <f t="shared" si="8"/>
        <v>732.19999999999982</v>
      </c>
      <c r="J8" s="143">
        <f t="shared" si="8"/>
        <v>102.39999999999964</v>
      </c>
      <c r="K8" s="143">
        <f t="shared" si="8"/>
        <v>2002.4000000000005</v>
      </c>
      <c r="L8" s="143">
        <f t="shared" si="8"/>
        <v>602.39999999999964</v>
      </c>
      <c r="M8" s="143">
        <f t="shared" ref="M8" si="9">M7-L7</f>
        <v>-3698.12</v>
      </c>
      <c r="N8" s="143">
        <f t="shared" ref="N8" si="10">N7-M7</f>
        <v>1121.8800000000001</v>
      </c>
      <c r="O8" s="143">
        <f t="shared" ref="O8" si="11">O7-N7</f>
        <v>1121.8800000000001</v>
      </c>
      <c r="P8" s="143">
        <f t="shared" ref="P8" si="12">P7-O7</f>
        <v>1021.8800000000001</v>
      </c>
      <c r="Q8" s="143">
        <f t="shared" ref="Q8" si="13">Q7-P7</f>
        <v>1121.880000000001</v>
      </c>
      <c r="R8" s="143">
        <f t="shared" ref="R8" si="14">R7-Q7</f>
        <v>1121.880000000001</v>
      </c>
      <c r="S8" s="143">
        <f t="shared" ref="S8" si="15">S7-R7</f>
        <v>992.07999999999993</v>
      </c>
      <c r="T8" s="143">
        <f t="shared" ref="T8" si="16">T7-S7</f>
        <v>1492.08</v>
      </c>
      <c r="U8" s="143">
        <f t="shared" ref="U8" si="17">U7-T7</f>
        <v>1492.08</v>
      </c>
      <c r="V8" s="143">
        <f t="shared" ref="V8" si="18">V7-U7</f>
        <v>992.07999999999993</v>
      </c>
      <c r="W8" s="143">
        <f t="shared" ref="W8" si="19">W7-V7</f>
        <v>1492.0800000000017</v>
      </c>
      <c r="X8" s="143">
        <f t="shared" ref="X8" si="20">X7-W7</f>
        <v>1492.0800000000017</v>
      </c>
      <c r="Y8" s="143">
        <f t="shared" ref="Y8" si="21">Y7-X7</f>
        <v>-4848.6755555555555</v>
      </c>
      <c r="Z8" s="143">
        <f t="shared" ref="Z8" si="22">Z7-Y7</f>
        <v>-1948.6755555555555</v>
      </c>
      <c r="AA8" s="143">
        <f t="shared" ref="AA8" si="23">AA7-Z7</f>
        <v>-1948.6755555555555</v>
      </c>
      <c r="AB8" s="143">
        <f t="shared" ref="AB8" si="24">AB7-AA7</f>
        <v>-1218.6755555555555</v>
      </c>
      <c r="AC8" s="143">
        <f t="shared" ref="AC8" si="25">AC7-AB7</f>
        <v>-1118.6755555555555</v>
      </c>
      <c r="AD8" s="143">
        <f t="shared" ref="AD8" si="26">AD7-AC7</f>
        <v>-1118.6755555555555</v>
      </c>
      <c r="AE8" s="143">
        <f>AE7-AD7</f>
        <v>-1507.195555555556</v>
      </c>
      <c r="AF8" s="143">
        <f>AF7-AE7</f>
        <v>-1807.1955555555555</v>
      </c>
      <c r="AG8" s="143">
        <f t="shared" ref="AG8:AH8" si="27">AG7-AF7</f>
        <v>-1640.7955555555557</v>
      </c>
      <c r="AH8" s="143">
        <f t="shared" si="27"/>
        <v>1189.76</v>
      </c>
      <c r="AI8" s="143">
        <f>AI7-AH7</f>
        <v>604.76000000000022</v>
      </c>
      <c r="AJ8" s="143">
        <f t="shared" ref="AJ8" si="28">AJ7-AI7</f>
        <v>874.76000000000022</v>
      </c>
      <c r="AK8" s="143">
        <f t="shared" ref="AK8" si="29">AK7-AJ7</f>
        <v>924.76000000000022</v>
      </c>
      <c r="AL8" s="143">
        <f t="shared" ref="AL8" si="30">AL7-AK7</f>
        <v>924.76000000000022</v>
      </c>
      <c r="AM8" s="143">
        <f t="shared" ref="AM8:AN8" si="31">AM7-AL7</f>
        <v>974.76000000000022</v>
      </c>
      <c r="AN8" s="143">
        <f t="shared" si="31"/>
        <v>974.76000000000022</v>
      </c>
      <c r="AO8" s="143">
        <f t="shared" ref="AO8" si="32">AO7-AN7</f>
        <v>1024.7599999999993</v>
      </c>
      <c r="AP8" s="143">
        <f t="shared" ref="AP8" si="33">AP7-AO7</f>
        <v>1024.7600000000002</v>
      </c>
      <c r="AQ8" s="143">
        <f t="shared" ref="AQ8" si="34">AQ7-AP7</f>
        <v>-4075.24</v>
      </c>
      <c r="AR8" s="143">
        <f t="shared" ref="AR8" si="35">AR7-AQ7</f>
        <v>1024.7600000000002</v>
      </c>
      <c r="AS8" s="143">
        <f t="shared" ref="AS8" si="36">AS7-AR7</f>
        <v>1024.7600000000002</v>
      </c>
      <c r="AT8" s="143">
        <f t="shared" ref="AT8" si="37">AT7-AS7</f>
        <v>1024.7600000000002</v>
      </c>
      <c r="AU8" s="143">
        <f t="shared" ref="AU8" si="38">AU7-AT7</f>
        <v>1024.7600000000002</v>
      </c>
      <c r="AV8" s="143">
        <f t="shared" ref="AV8" si="39">AV7-AU7</f>
        <v>1024.7600000000002</v>
      </c>
      <c r="AW8" s="143">
        <f t="shared" ref="AW8" si="40">AW7-AV7</f>
        <v>1024.7600000000002</v>
      </c>
      <c r="AX8" s="143">
        <f t="shared" ref="AX8" si="41">AX7-AW7</f>
        <v>1024.7600000000002</v>
      </c>
      <c r="AY8" s="143">
        <f t="shared" ref="AY8" si="42">AY7-AX7</f>
        <v>1024.7600000000002</v>
      </c>
      <c r="AZ8" s="143">
        <f t="shared" ref="AZ8" si="43">AZ7-AY7</f>
        <v>1024.7600000000002</v>
      </c>
      <c r="BA8" s="143">
        <f t="shared" ref="BA8" si="44">BA7-AZ7</f>
        <v>1024.7600000000002</v>
      </c>
      <c r="BB8" s="143">
        <f t="shared" ref="BB8" si="45">BB7-BA7</f>
        <v>1024.7599999999984</v>
      </c>
      <c r="BC8" s="143">
        <f t="shared" ref="BC8" si="46">BC7-BB7</f>
        <v>1024.7599999999984</v>
      </c>
      <c r="BD8" s="143">
        <f t="shared" ref="BD8" si="47">BD7-BC7</f>
        <v>1024.7599999999984</v>
      </c>
      <c r="BE8" s="143">
        <f t="shared" ref="BE8" si="48">BE7-BD7</f>
        <v>1024.7599999999984</v>
      </c>
      <c r="BF8" s="143">
        <f t="shared" ref="BF8" si="49">BF7-BE7</f>
        <v>1024.7599999999984</v>
      </c>
      <c r="BG8" s="143">
        <f t="shared" ref="BG8" si="50">BG7-BF7</f>
        <v>1024.7599999999984</v>
      </c>
      <c r="BH8" s="143">
        <f t="shared" ref="BH8" si="51">BH7-BG7</f>
        <v>1024.7599999999984</v>
      </c>
      <c r="BI8" s="143">
        <f t="shared" ref="BI8" si="52">BI7-BH7</f>
        <v>1024.7599999999984</v>
      </c>
      <c r="BJ8" s="143">
        <f t="shared" ref="BJ8" si="53">BJ7-BI7</f>
        <v>1024.7599999999984</v>
      </c>
      <c r="BK8" s="143">
        <f t="shared" ref="BK8" si="54">BK7-BJ7</f>
        <v>1024.7599999999984</v>
      </c>
      <c r="BL8" s="143">
        <f t="shared" ref="BL8" si="55">BL7-BK7</f>
        <v>1024.7599999999984</v>
      </c>
      <c r="BM8" s="143">
        <f t="shared" ref="BM8" si="56">BM7-BL7</f>
        <v>1024.7599999999984</v>
      </c>
      <c r="BN8" s="143">
        <f t="shared" ref="BN8" si="57">BN7-BM7</f>
        <v>1024.7599999999984</v>
      </c>
      <c r="BO8" s="143">
        <f t="shared" ref="BO8" si="58">BO7-BN7</f>
        <v>1024.7599999999984</v>
      </c>
      <c r="BP8" s="143">
        <f t="shared" ref="BP8" si="59">BP7-BO7</f>
        <v>1024.7599999999984</v>
      </c>
      <c r="BQ8" s="143">
        <f t="shared" ref="BQ8" si="60">BQ7-BP7</f>
        <v>1024.7599999999984</v>
      </c>
      <c r="BR8" s="143">
        <f t="shared" ref="BR8" si="61">BR7-BQ7</f>
        <v>1024.7599999999984</v>
      </c>
      <c r="BS8" s="143">
        <f t="shared" ref="BS8" si="62">BS7-BR7</f>
        <v>1024.760000000002</v>
      </c>
      <c r="BT8" s="143">
        <f t="shared" ref="BT8" si="63">BT7-BS7</f>
        <v>1024.760000000002</v>
      </c>
      <c r="BU8" s="143">
        <f t="shared" ref="BU8" si="64">BU7-BT7</f>
        <v>1024.760000000002</v>
      </c>
      <c r="BV8" s="143">
        <f t="shared" ref="BV8" si="65">BV7-BU7</f>
        <v>1024.760000000002</v>
      </c>
      <c r="BW8" s="143">
        <f t="shared" ref="BW8" si="66">BW7-BV7</f>
        <v>1024.760000000002</v>
      </c>
      <c r="BX8" s="143">
        <f t="shared" ref="BX8" si="67">BX7-BW7</f>
        <v>2224.760000000002</v>
      </c>
      <c r="BY8" s="143">
        <f t="shared" ref="BY8" si="68">BY7-BX7</f>
        <v>1024.760000000002</v>
      </c>
      <c r="BZ8" s="143">
        <f t="shared" ref="BZ8" si="69">BZ7-BY7</f>
        <v>-24325.239999999998</v>
      </c>
      <c r="CA8" s="143">
        <f t="shared" ref="CA8" si="70">CA7-BZ7</f>
        <v>-5363.84</v>
      </c>
      <c r="CB8" s="143">
        <f t="shared" ref="CB8:CC8" si="71">CB7-CA7</f>
        <v>2204.5599999999995</v>
      </c>
      <c r="CC8" s="143">
        <f t="shared" si="71"/>
        <v>2204.5599999999995</v>
      </c>
    </row>
    <row r="9" spans="1:96" s="37" customFormat="1" x14ac:dyDescent="0.45">
      <c r="A9" s="91"/>
      <c r="B9" s="178" t="s">
        <v>95</v>
      </c>
      <c r="D9" s="37">
        <v>-270</v>
      </c>
      <c r="E9" s="37">
        <v>-270</v>
      </c>
      <c r="F9" s="37">
        <v>-270</v>
      </c>
      <c r="G9" s="37">
        <v>-270</v>
      </c>
      <c r="H9" s="37">
        <v>-270</v>
      </c>
      <c r="I9" s="37">
        <v>-270</v>
      </c>
      <c r="J9" s="37">
        <v>-270</v>
      </c>
      <c r="K9" s="37">
        <v>-270</v>
      </c>
      <c r="L9" s="37">
        <v>-270</v>
      </c>
      <c r="M9" s="37">
        <v>-270</v>
      </c>
      <c r="N9" s="37">
        <v>-270</v>
      </c>
      <c r="O9" s="37">
        <v>-270</v>
      </c>
      <c r="P9" s="37">
        <v>-270</v>
      </c>
      <c r="Q9" s="37">
        <v>-270</v>
      </c>
      <c r="R9" s="37">
        <v>-270</v>
      </c>
      <c r="S9" s="37">
        <v>-270</v>
      </c>
      <c r="T9" s="37">
        <v>-270</v>
      </c>
      <c r="U9" s="37">
        <v>-270</v>
      </c>
      <c r="V9" s="37">
        <v>-270</v>
      </c>
      <c r="W9" s="37">
        <v>-270</v>
      </c>
      <c r="X9" s="37">
        <v>-270</v>
      </c>
      <c r="Y9" s="37">
        <v>-270</v>
      </c>
      <c r="Z9" s="37">
        <v>-270</v>
      </c>
      <c r="AA9" s="37">
        <v>-270</v>
      </c>
      <c r="AB9" s="37">
        <v>-270</v>
      </c>
      <c r="AC9" s="37">
        <v>-270</v>
      </c>
      <c r="AD9" s="37">
        <v>-270</v>
      </c>
      <c r="AE9" s="37">
        <v>-270</v>
      </c>
      <c r="AF9" s="37">
        <v>-270</v>
      </c>
      <c r="AG9" s="37">
        <v>-270</v>
      </c>
      <c r="AH9" s="37">
        <v>-270</v>
      </c>
      <c r="AI9" s="37">
        <v>-270</v>
      </c>
      <c r="AJ9" s="37">
        <v>-270</v>
      </c>
      <c r="AK9" s="37">
        <v>-270</v>
      </c>
      <c r="AL9" s="37">
        <v>-270</v>
      </c>
      <c r="AM9" s="37">
        <v>-270</v>
      </c>
      <c r="AN9" s="37">
        <v>-270</v>
      </c>
      <c r="AO9" s="37">
        <v>-270</v>
      </c>
      <c r="AP9" s="37">
        <v>-270</v>
      </c>
      <c r="AQ9" s="37">
        <v>-270</v>
      </c>
      <c r="AR9" s="37">
        <v>-270</v>
      </c>
      <c r="AS9" s="37">
        <v>-270</v>
      </c>
      <c r="AT9" s="37">
        <v>-270</v>
      </c>
      <c r="AU9" s="37">
        <v>-270</v>
      </c>
      <c r="AV9" s="37">
        <v>-270</v>
      </c>
      <c r="AW9" s="37">
        <v>-270</v>
      </c>
      <c r="AX9" s="37">
        <v>-270</v>
      </c>
      <c r="AY9" s="37">
        <v>-270</v>
      </c>
      <c r="AZ9" s="37">
        <v>-270</v>
      </c>
      <c r="BA9" s="37">
        <v>-270</v>
      </c>
      <c r="BB9" s="37">
        <v>-270</v>
      </c>
      <c r="BC9" s="37">
        <v>-270</v>
      </c>
      <c r="BD9" s="37">
        <v>-270</v>
      </c>
      <c r="BE9" s="37">
        <v>-270</v>
      </c>
      <c r="BF9" s="37">
        <v>-270</v>
      </c>
      <c r="BG9" s="37">
        <v>-270</v>
      </c>
      <c r="BH9" s="37">
        <v>-270</v>
      </c>
      <c r="BI9" s="37">
        <v>-270</v>
      </c>
      <c r="BJ9" s="37">
        <v>-270</v>
      </c>
      <c r="BK9" s="37">
        <v>-270</v>
      </c>
      <c r="BL9" s="37">
        <v>-270</v>
      </c>
      <c r="BM9" s="37">
        <v>-270</v>
      </c>
      <c r="BN9" s="37">
        <v>-270</v>
      </c>
      <c r="BO9" s="37">
        <v>-270</v>
      </c>
      <c r="BP9" s="37">
        <v>-270</v>
      </c>
      <c r="BQ9" s="37">
        <v>-270</v>
      </c>
      <c r="BR9" s="37">
        <v>-270</v>
      </c>
      <c r="BS9" s="37">
        <v>-270</v>
      </c>
      <c r="BT9" s="37">
        <v>-270</v>
      </c>
      <c r="BU9" s="37">
        <v>-270</v>
      </c>
      <c r="BV9" s="37">
        <v>-270</v>
      </c>
      <c r="BW9" s="37">
        <v>-270</v>
      </c>
      <c r="BX9" s="37">
        <v>-270</v>
      </c>
      <c r="BY9" s="37">
        <v>-270</v>
      </c>
      <c r="BZ9" s="37">
        <v>-270</v>
      </c>
      <c r="CA9" s="37">
        <v>-270</v>
      </c>
      <c r="CB9" s="37">
        <v>-270</v>
      </c>
      <c r="CC9" s="37">
        <v>-270</v>
      </c>
    </row>
    <row r="10" spans="1:96" s="52" customFormat="1" x14ac:dyDescent="0.45">
      <c r="A10" s="177"/>
      <c r="B10" s="182" t="s">
        <v>96</v>
      </c>
      <c r="D10" s="52">
        <v>-160</v>
      </c>
      <c r="E10" s="52">
        <v>-160</v>
      </c>
      <c r="F10" s="52">
        <v>-160</v>
      </c>
      <c r="G10" s="52">
        <v>-160</v>
      </c>
      <c r="H10" s="52">
        <v>-160</v>
      </c>
      <c r="I10" s="52">
        <v>-160</v>
      </c>
      <c r="J10" s="52">
        <v>-160</v>
      </c>
      <c r="K10" s="52">
        <v>-160</v>
      </c>
      <c r="L10" s="52">
        <v>-160</v>
      </c>
      <c r="M10" s="52">
        <v>-160</v>
      </c>
      <c r="N10" s="52">
        <v>-160</v>
      </c>
      <c r="O10" s="52">
        <v>-160</v>
      </c>
      <c r="P10" s="52">
        <v>-160</v>
      </c>
      <c r="Q10" s="52">
        <v>-160</v>
      </c>
      <c r="R10" s="52">
        <v>-160</v>
      </c>
      <c r="S10" s="52">
        <v>-160</v>
      </c>
      <c r="T10" s="52">
        <v>-160</v>
      </c>
      <c r="U10" s="52">
        <v>-160</v>
      </c>
      <c r="V10" s="52">
        <v>-160</v>
      </c>
      <c r="W10" s="52">
        <v>-160</v>
      </c>
      <c r="X10" s="52">
        <v>-160</v>
      </c>
      <c r="Y10" s="52">
        <v>-160</v>
      </c>
      <c r="Z10" s="52">
        <v>-160</v>
      </c>
      <c r="AA10" s="52">
        <v>-160</v>
      </c>
      <c r="AB10" s="52">
        <v>-160</v>
      </c>
      <c r="AC10" s="52">
        <v>-160</v>
      </c>
      <c r="AD10" s="52">
        <v>-160</v>
      </c>
      <c r="AE10" s="52">
        <v>-160</v>
      </c>
      <c r="AF10" s="52">
        <v>-160</v>
      </c>
      <c r="AG10" s="52">
        <v>-160</v>
      </c>
      <c r="AH10" s="52">
        <v>-160</v>
      </c>
      <c r="AI10" s="52">
        <v>-160</v>
      </c>
      <c r="AJ10" s="52">
        <v>-160</v>
      </c>
      <c r="AK10" s="52">
        <v>-160</v>
      </c>
      <c r="AL10" s="52">
        <v>-160</v>
      </c>
      <c r="AM10" s="52">
        <v>-160</v>
      </c>
      <c r="AN10" s="52">
        <v>-160</v>
      </c>
      <c r="AO10" s="52">
        <v>-160</v>
      </c>
      <c r="AP10" s="52">
        <v>-160</v>
      </c>
      <c r="AQ10" s="52">
        <v>-160</v>
      </c>
      <c r="AR10" s="52">
        <v>-160</v>
      </c>
      <c r="AS10" s="52">
        <v>-160</v>
      </c>
      <c r="AT10" s="52">
        <v>-160</v>
      </c>
      <c r="AU10" s="52">
        <v>-160</v>
      </c>
      <c r="AV10" s="52">
        <v>-160</v>
      </c>
      <c r="AW10" s="52">
        <v>-160</v>
      </c>
      <c r="AX10" s="52">
        <v>-160</v>
      </c>
      <c r="AY10" s="52">
        <v>-160</v>
      </c>
      <c r="AZ10" s="52">
        <v>-160</v>
      </c>
      <c r="BA10" s="52">
        <v>-160</v>
      </c>
      <c r="BB10" s="52">
        <v>-160</v>
      </c>
      <c r="BC10" s="52">
        <v>-160</v>
      </c>
      <c r="BD10" s="52">
        <v>-160</v>
      </c>
      <c r="BE10" s="52">
        <v>-160</v>
      </c>
      <c r="BF10" s="52">
        <v>-160</v>
      </c>
      <c r="BG10" s="52">
        <v>-160</v>
      </c>
      <c r="BH10" s="52">
        <v>-160</v>
      </c>
      <c r="BI10" s="52">
        <v>-160</v>
      </c>
      <c r="BJ10" s="52">
        <v>-160</v>
      </c>
      <c r="BK10" s="52">
        <v>-160</v>
      </c>
      <c r="BL10" s="52">
        <v>-160</v>
      </c>
      <c r="BM10" s="52">
        <v>-160</v>
      </c>
      <c r="BN10" s="52">
        <v>-160</v>
      </c>
      <c r="BO10" s="52">
        <v>-160</v>
      </c>
      <c r="BP10" s="52">
        <v>-160</v>
      </c>
      <c r="BQ10" s="52">
        <v>-160</v>
      </c>
      <c r="BR10" s="52">
        <v>-160</v>
      </c>
      <c r="BS10" s="52">
        <v>-160</v>
      </c>
      <c r="BT10" s="52">
        <v>-160</v>
      </c>
      <c r="BU10" s="52">
        <v>-160</v>
      </c>
      <c r="BV10" s="52">
        <v>-160</v>
      </c>
      <c r="BW10" s="52">
        <v>-160</v>
      </c>
      <c r="BX10" s="52">
        <v>-160</v>
      </c>
      <c r="BY10" s="52">
        <v>-160</v>
      </c>
      <c r="BZ10" s="52">
        <v>-160</v>
      </c>
      <c r="CA10" s="52">
        <v>-160</v>
      </c>
      <c r="CB10" s="52">
        <v>-160</v>
      </c>
      <c r="CC10" s="52">
        <v>-160</v>
      </c>
    </row>
    <row r="11" spans="1:96" ht="18" x14ac:dyDescent="0.55000000000000004">
      <c r="A11" s="190" t="s">
        <v>169</v>
      </c>
      <c r="B11" s="234">
        <f>SUM(D11:BZ16)</f>
        <v>85980</v>
      </c>
      <c r="D11" s="24">
        <f t="shared" ref="D11:BO11" si="72">$A$59</f>
        <v>1100</v>
      </c>
      <c r="E11" s="24">
        <f t="shared" si="72"/>
        <v>1100</v>
      </c>
      <c r="F11" s="24">
        <f t="shared" si="72"/>
        <v>1100</v>
      </c>
      <c r="G11" s="24">
        <f t="shared" si="72"/>
        <v>1100</v>
      </c>
      <c r="H11" s="24">
        <f t="shared" si="72"/>
        <v>1100</v>
      </c>
      <c r="I11" s="24">
        <f t="shared" si="72"/>
        <v>1100</v>
      </c>
      <c r="J11" s="24">
        <f t="shared" si="72"/>
        <v>1100</v>
      </c>
      <c r="K11" s="24">
        <f t="shared" si="72"/>
        <v>1100</v>
      </c>
      <c r="L11" s="24">
        <f t="shared" si="72"/>
        <v>1100</v>
      </c>
      <c r="M11" s="24">
        <f t="shared" si="72"/>
        <v>1100</v>
      </c>
      <c r="N11" s="24">
        <f t="shared" si="72"/>
        <v>1100</v>
      </c>
      <c r="O11" s="24">
        <f t="shared" si="72"/>
        <v>1100</v>
      </c>
      <c r="P11" s="24">
        <f t="shared" si="72"/>
        <v>1100</v>
      </c>
      <c r="Q11" s="24">
        <f t="shared" si="72"/>
        <v>1100</v>
      </c>
      <c r="R11" s="24">
        <f t="shared" si="72"/>
        <v>1100</v>
      </c>
      <c r="S11" s="24">
        <f t="shared" si="72"/>
        <v>1100</v>
      </c>
      <c r="T11" s="24">
        <f t="shared" si="72"/>
        <v>1100</v>
      </c>
      <c r="U11" s="24">
        <f t="shared" si="72"/>
        <v>1100</v>
      </c>
      <c r="V11" s="24">
        <f t="shared" si="72"/>
        <v>1100</v>
      </c>
      <c r="W11" s="24">
        <f t="shared" si="72"/>
        <v>1100</v>
      </c>
      <c r="X11" s="24">
        <f t="shared" si="72"/>
        <v>1100</v>
      </c>
      <c r="Y11" s="24">
        <f t="shared" si="72"/>
        <v>1100</v>
      </c>
      <c r="Z11" s="24">
        <f t="shared" si="72"/>
        <v>1100</v>
      </c>
      <c r="AA11" s="24">
        <f t="shared" si="72"/>
        <v>1100</v>
      </c>
      <c r="AB11" s="24">
        <f t="shared" si="72"/>
        <v>1100</v>
      </c>
      <c r="AC11" s="24">
        <f t="shared" si="72"/>
        <v>1100</v>
      </c>
      <c r="AD11" s="24">
        <f t="shared" si="72"/>
        <v>1100</v>
      </c>
      <c r="AE11" s="24">
        <f t="shared" si="72"/>
        <v>1100</v>
      </c>
      <c r="AF11" s="24">
        <f t="shared" si="72"/>
        <v>1100</v>
      </c>
      <c r="AG11" s="24">
        <f t="shared" si="72"/>
        <v>1100</v>
      </c>
      <c r="AH11" s="24">
        <f t="shared" si="72"/>
        <v>1100</v>
      </c>
      <c r="AI11" s="24">
        <f t="shared" si="72"/>
        <v>1100</v>
      </c>
      <c r="AJ11" s="24">
        <f t="shared" si="72"/>
        <v>1100</v>
      </c>
      <c r="AK11" s="24">
        <f t="shared" si="72"/>
        <v>1100</v>
      </c>
      <c r="AL11" s="24">
        <f t="shared" si="72"/>
        <v>1100</v>
      </c>
      <c r="AM11" s="24">
        <f t="shared" si="72"/>
        <v>1100</v>
      </c>
      <c r="AN11" s="24">
        <f t="shared" si="72"/>
        <v>1100</v>
      </c>
      <c r="AO11" s="24">
        <f t="shared" si="72"/>
        <v>1100</v>
      </c>
      <c r="AP11" s="24">
        <f t="shared" si="72"/>
        <v>1100</v>
      </c>
      <c r="AQ11" s="24">
        <f t="shared" si="72"/>
        <v>1100</v>
      </c>
      <c r="AR11" s="24">
        <f t="shared" si="72"/>
        <v>1100</v>
      </c>
      <c r="AS11" s="24">
        <f t="shared" si="72"/>
        <v>1100</v>
      </c>
      <c r="AT11" s="24">
        <f t="shared" si="72"/>
        <v>1100</v>
      </c>
      <c r="AU11" s="24">
        <f t="shared" si="72"/>
        <v>1100</v>
      </c>
      <c r="AV11" s="24">
        <f t="shared" si="72"/>
        <v>1100</v>
      </c>
      <c r="AW11" s="24">
        <f t="shared" si="72"/>
        <v>1100</v>
      </c>
      <c r="AX11" s="24">
        <f t="shared" si="72"/>
        <v>1100</v>
      </c>
      <c r="AY11" s="24">
        <f t="shared" si="72"/>
        <v>1100</v>
      </c>
      <c r="AZ11" s="24">
        <f t="shared" si="72"/>
        <v>1100</v>
      </c>
      <c r="BA11" s="24">
        <f t="shared" si="72"/>
        <v>1100</v>
      </c>
      <c r="BB11" s="24">
        <f t="shared" si="72"/>
        <v>1100</v>
      </c>
      <c r="BC11" s="24">
        <f t="shared" si="72"/>
        <v>1100</v>
      </c>
      <c r="BD11" s="24">
        <f t="shared" si="72"/>
        <v>1100</v>
      </c>
      <c r="BE11" s="24">
        <f t="shared" si="72"/>
        <v>1100</v>
      </c>
      <c r="BF11" s="24">
        <f t="shared" si="72"/>
        <v>1100</v>
      </c>
      <c r="BG11" s="24">
        <f t="shared" si="72"/>
        <v>1100</v>
      </c>
      <c r="BH11" s="24">
        <f t="shared" si="72"/>
        <v>1100</v>
      </c>
      <c r="BI11" s="24">
        <f t="shared" si="72"/>
        <v>1100</v>
      </c>
      <c r="BJ11" s="24">
        <f t="shared" si="72"/>
        <v>1100</v>
      </c>
      <c r="BK11" s="24">
        <f t="shared" si="72"/>
        <v>1100</v>
      </c>
      <c r="BL11" s="24">
        <f t="shared" si="72"/>
        <v>1100</v>
      </c>
      <c r="BM11" s="24">
        <f t="shared" si="72"/>
        <v>1100</v>
      </c>
      <c r="BN11" s="24">
        <f t="shared" si="72"/>
        <v>1100</v>
      </c>
      <c r="BO11" s="24">
        <f t="shared" si="72"/>
        <v>1100</v>
      </c>
      <c r="BP11" s="24">
        <f t="shared" ref="BP11:CC11" si="73">$A$59</f>
        <v>1100</v>
      </c>
      <c r="BQ11" s="24">
        <f t="shared" si="73"/>
        <v>1100</v>
      </c>
      <c r="BR11" s="24">
        <f t="shared" si="73"/>
        <v>1100</v>
      </c>
      <c r="BS11" s="24">
        <f t="shared" si="73"/>
        <v>1100</v>
      </c>
      <c r="BT11" s="24">
        <f t="shared" si="73"/>
        <v>1100</v>
      </c>
      <c r="BU11" s="24">
        <f t="shared" si="73"/>
        <v>1100</v>
      </c>
      <c r="BV11" s="24">
        <f t="shared" si="73"/>
        <v>1100</v>
      </c>
      <c r="BW11" s="24">
        <f t="shared" si="73"/>
        <v>1100</v>
      </c>
      <c r="BX11" s="24">
        <f t="shared" si="73"/>
        <v>1100</v>
      </c>
      <c r="BY11" s="24">
        <f t="shared" si="73"/>
        <v>1100</v>
      </c>
      <c r="BZ11" s="24">
        <f t="shared" si="73"/>
        <v>1100</v>
      </c>
      <c r="CA11" s="24">
        <f t="shared" si="73"/>
        <v>1100</v>
      </c>
      <c r="CB11" s="24">
        <f t="shared" si="73"/>
        <v>1100</v>
      </c>
      <c r="CC11" s="24">
        <f t="shared" si="73"/>
        <v>1100</v>
      </c>
    </row>
    <row r="12" spans="1:96" ht="18" x14ac:dyDescent="0.55000000000000004">
      <c r="A12" s="190" t="s">
        <v>184</v>
      </c>
      <c r="B12" s="174" t="s">
        <v>188</v>
      </c>
      <c r="D12" s="24">
        <f t="shared" ref="D12:BO12" si="74">-$A$66</f>
        <v>-100</v>
      </c>
      <c r="E12" s="24">
        <f t="shared" si="74"/>
        <v>-100</v>
      </c>
      <c r="F12" s="24">
        <f t="shared" si="74"/>
        <v>-100</v>
      </c>
      <c r="G12" s="24">
        <f t="shared" si="74"/>
        <v>-100</v>
      </c>
      <c r="H12" s="24">
        <f t="shared" si="74"/>
        <v>-100</v>
      </c>
      <c r="I12" s="24">
        <f t="shared" si="74"/>
        <v>-100</v>
      </c>
      <c r="J12" s="24">
        <f t="shared" si="74"/>
        <v>-100</v>
      </c>
      <c r="K12" s="24">
        <f t="shared" si="74"/>
        <v>-100</v>
      </c>
      <c r="L12" s="24">
        <f t="shared" si="74"/>
        <v>-100</v>
      </c>
      <c r="M12" s="24">
        <f t="shared" si="74"/>
        <v>-100</v>
      </c>
      <c r="N12" s="24">
        <f t="shared" si="74"/>
        <v>-100</v>
      </c>
      <c r="O12" s="24">
        <f t="shared" si="74"/>
        <v>-100</v>
      </c>
      <c r="P12" s="24">
        <f t="shared" si="74"/>
        <v>-100</v>
      </c>
      <c r="Q12" s="24">
        <f t="shared" si="74"/>
        <v>-100</v>
      </c>
      <c r="R12" s="24">
        <f t="shared" si="74"/>
        <v>-100</v>
      </c>
      <c r="S12" s="24">
        <f t="shared" si="74"/>
        <v>-100</v>
      </c>
      <c r="T12" s="24">
        <f t="shared" si="74"/>
        <v>-100</v>
      </c>
      <c r="U12" s="24">
        <f t="shared" si="74"/>
        <v>-100</v>
      </c>
      <c r="V12" s="24">
        <f t="shared" si="74"/>
        <v>-100</v>
      </c>
      <c r="W12" s="24">
        <f t="shared" si="74"/>
        <v>-100</v>
      </c>
      <c r="X12" s="24">
        <f t="shared" si="74"/>
        <v>-100</v>
      </c>
      <c r="Y12" s="24">
        <f t="shared" si="74"/>
        <v>-100</v>
      </c>
      <c r="Z12" s="24">
        <f t="shared" si="74"/>
        <v>-100</v>
      </c>
      <c r="AA12" s="24">
        <f t="shared" si="74"/>
        <v>-100</v>
      </c>
      <c r="AB12" s="24">
        <f t="shared" si="74"/>
        <v>-100</v>
      </c>
      <c r="AC12" s="24">
        <f t="shared" si="74"/>
        <v>-100</v>
      </c>
      <c r="AD12" s="24">
        <f t="shared" si="74"/>
        <v>-100</v>
      </c>
      <c r="AE12" s="24">
        <f t="shared" si="74"/>
        <v>-100</v>
      </c>
      <c r="AF12" s="24">
        <f t="shared" si="74"/>
        <v>-100</v>
      </c>
      <c r="AG12" s="24">
        <f t="shared" si="74"/>
        <v>-100</v>
      </c>
      <c r="AH12" s="24">
        <f t="shared" si="74"/>
        <v>-100</v>
      </c>
      <c r="AI12" s="24">
        <f t="shared" si="74"/>
        <v>-100</v>
      </c>
      <c r="AJ12" s="24">
        <f t="shared" si="74"/>
        <v>-100</v>
      </c>
      <c r="AK12" s="24">
        <f t="shared" si="74"/>
        <v>-100</v>
      </c>
      <c r="AL12" s="24">
        <f t="shared" si="74"/>
        <v>-100</v>
      </c>
      <c r="AM12" s="24">
        <f t="shared" si="74"/>
        <v>-100</v>
      </c>
      <c r="AN12" s="24">
        <f t="shared" si="74"/>
        <v>-100</v>
      </c>
      <c r="AO12" s="24">
        <f t="shared" si="74"/>
        <v>-100</v>
      </c>
      <c r="AP12" s="24">
        <f t="shared" si="74"/>
        <v>-100</v>
      </c>
      <c r="AQ12" s="24">
        <f t="shared" si="74"/>
        <v>-100</v>
      </c>
      <c r="AR12" s="24">
        <f t="shared" si="74"/>
        <v>-100</v>
      </c>
      <c r="AS12" s="24">
        <f t="shared" si="74"/>
        <v>-100</v>
      </c>
      <c r="AT12" s="24">
        <f t="shared" si="74"/>
        <v>-100</v>
      </c>
      <c r="AU12" s="24">
        <f t="shared" si="74"/>
        <v>-100</v>
      </c>
      <c r="AV12" s="24">
        <f t="shared" si="74"/>
        <v>-100</v>
      </c>
      <c r="AW12" s="24">
        <f t="shared" si="74"/>
        <v>-100</v>
      </c>
      <c r="AX12" s="24">
        <f t="shared" si="74"/>
        <v>-100</v>
      </c>
      <c r="AY12" s="24">
        <f t="shared" si="74"/>
        <v>-100</v>
      </c>
      <c r="AZ12" s="24">
        <f t="shared" si="74"/>
        <v>-100</v>
      </c>
      <c r="BA12" s="24">
        <f t="shared" si="74"/>
        <v>-100</v>
      </c>
      <c r="BB12" s="24">
        <f t="shared" si="74"/>
        <v>-100</v>
      </c>
      <c r="BC12" s="24">
        <f t="shared" si="74"/>
        <v>-100</v>
      </c>
      <c r="BD12" s="24">
        <f t="shared" si="74"/>
        <v>-100</v>
      </c>
      <c r="BE12" s="24">
        <f t="shared" si="74"/>
        <v>-100</v>
      </c>
      <c r="BF12" s="24">
        <f t="shared" si="74"/>
        <v>-100</v>
      </c>
      <c r="BG12" s="24">
        <f t="shared" si="74"/>
        <v>-100</v>
      </c>
      <c r="BH12" s="24">
        <f t="shared" si="74"/>
        <v>-100</v>
      </c>
      <c r="BI12" s="24">
        <f t="shared" si="74"/>
        <v>-100</v>
      </c>
      <c r="BJ12" s="24">
        <f t="shared" si="74"/>
        <v>-100</v>
      </c>
      <c r="BK12" s="24">
        <f t="shared" si="74"/>
        <v>-100</v>
      </c>
      <c r="BL12" s="24">
        <f t="shared" si="74"/>
        <v>-100</v>
      </c>
      <c r="BM12" s="24">
        <f t="shared" si="74"/>
        <v>-100</v>
      </c>
      <c r="BN12" s="24">
        <f t="shared" si="74"/>
        <v>-100</v>
      </c>
      <c r="BO12" s="24">
        <f t="shared" si="74"/>
        <v>-100</v>
      </c>
      <c r="BP12" s="24">
        <f t="shared" ref="BP12:CC12" si="75">-$A$66</f>
        <v>-100</v>
      </c>
      <c r="BQ12" s="24">
        <f t="shared" si="75"/>
        <v>-100</v>
      </c>
      <c r="BR12" s="24">
        <f t="shared" si="75"/>
        <v>-100</v>
      </c>
      <c r="BS12" s="24">
        <f t="shared" si="75"/>
        <v>-100</v>
      </c>
      <c r="BT12" s="24">
        <f t="shared" si="75"/>
        <v>-100</v>
      </c>
      <c r="BU12" s="24">
        <f t="shared" si="75"/>
        <v>-100</v>
      </c>
      <c r="BV12" s="24">
        <f t="shared" si="75"/>
        <v>-100</v>
      </c>
      <c r="BW12" s="24">
        <f t="shared" si="75"/>
        <v>-100</v>
      </c>
      <c r="BX12" s="24">
        <f t="shared" si="75"/>
        <v>-100</v>
      </c>
      <c r="BY12" s="24">
        <f t="shared" si="75"/>
        <v>-100</v>
      </c>
      <c r="BZ12" s="24">
        <f t="shared" si="75"/>
        <v>-100</v>
      </c>
      <c r="CA12" s="24">
        <f t="shared" si="75"/>
        <v>-100</v>
      </c>
      <c r="CB12" s="24">
        <f t="shared" si="75"/>
        <v>-100</v>
      </c>
      <c r="CC12" s="24">
        <f t="shared" si="75"/>
        <v>-100</v>
      </c>
    </row>
    <row r="13" spans="1:96" ht="18" x14ac:dyDescent="0.55000000000000004">
      <c r="A13" s="190" t="s">
        <v>147</v>
      </c>
      <c r="B13" s="174" t="s">
        <v>437</v>
      </c>
    </row>
    <row r="14" spans="1:96" ht="18" x14ac:dyDescent="0.55000000000000004">
      <c r="A14" s="190" t="s">
        <v>146</v>
      </c>
      <c r="B14" s="174" t="s">
        <v>139</v>
      </c>
      <c r="S14" s="24">
        <f t="shared" ref="S14:BH14" si="76">$A$59*$A$61</f>
        <v>660</v>
      </c>
      <c r="T14" s="24">
        <f t="shared" si="76"/>
        <v>660</v>
      </c>
      <c r="U14" s="24">
        <f t="shared" si="76"/>
        <v>660</v>
      </c>
      <c r="V14" s="24">
        <f t="shared" si="76"/>
        <v>660</v>
      </c>
      <c r="W14" s="24">
        <f t="shared" si="76"/>
        <v>660</v>
      </c>
      <c r="X14" s="24">
        <f t="shared" si="76"/>
        <v>660</v>
      </c>
      <c r="Y14" s="24">
        <f t="shared" si="76"/>
        <v>660</v>
      </c>
      <c r="Z14" s="24">
        <f t="shared" si="76"/>
        <v>660</v>
      </c>
      <c r="AA14" s="24">
        <f t="shared" si="76"/>
        <v>660</v>
      </c>
      <c r="AB14" s="24">
        <f t="shared" si="76"/>
        <v>660</v>
      </c>
      <c r="AC14" s="24">
        <f t="shared" si="76"/>
        <v>660</v>
      </c>
      <c r="AD14" s="24">
        <f t="shared" si="76"/>
        <v>660</v>
      </c>
      <c r="AE14" s="24">
        <f t="shared" si="76"/>
        <v>660</v>
      </c>
      <c r="AF14" s="24">
        <f t="shared" si="76"/>
        <v>660</v>
      </c>
      <c r="AG14" s="24">
        <f t="shared" si="76"/>
        <v>660</v>
      </c>
      <c r="AH14" s="24">
        <f t="shared" si="76"/>
        <v>660</v>
      </c>
      <c r="AI14" s="24">
        <f t="shared" si="76"/>
        <v>660</v>
      </c>
      <c r="AJ14" s="24">
        <f t="shared" si="76"/>
        <v>660</v>
      </c>
      <c r="AK14" s="24">
        <f t="shared" si="76"/>
        <v>660</v>
      </c>
      <c r="AL14" s="24">
        <f t="shared" si="76"/>
        <v>660</v>
      </c>
      <c r="AM14" s="24">
        <f t="shared" si="76"/>
        <v>660</v>
      </c>
      <c r="AN14" s="24">
        <f t="shared" si="76"/>
        <v>660</v>
      </c>
      <c r="AO14" s="24">
        <f t="shared" si="76"/>
        <v>660</v>
      </c>
      <c r="AP14" s="24">
        <f t="shared" si="76"/>
        <v>660</v>
      </c>
      <c r="AQ14" s="24">
        <f t="shared" si="76"/>
        <v>660</v>
      </c>
      <c r="AR14" s="24">
        <f t="shared" si="76"/>
        <v>660</v>
      </c>
      <c r="AS14" s="24">
        <f t="shared" si="76"/>
        <v>660</v>
      </c>
      <c r="AT14" s="24">
        <f t="shared" si="76"/>
        <v>660</v>
      </c>
      <c r="AU14" s="24">
        <f t="shared" si="76"/>
        <v>660</v>
      </c>
      <c r="AV14" s="24">
        <f t="shared" si="76"/>
        <v>660</v>
      </c>
      <c r="AW14" s="24">
        <f t="shared" si="76"/>
        <v>660</v>
      </c>
      <c r="AX14" s="24">
        <f t="shared" si="76"/>
        <v>660</v>
      </c>
      <c r="AY14" s="24">
        <f t="shared" si="76"/>
        <v>660</v>
      </c>
      <c r="AZ14" s="24">
        <f t="shared" si="76"/>
        <v>660</v>
      </c>
      <c r="BA14" s="24">
        <f t="shared" si="76"/>
        <v>660</v>
      </c>
      <c r="BB14" s="24">
        <f t="shared" si="76"/>
        <v>660</v>
      </c>
      <c r="BC14" s="24">
        <f t="shared" si="76"/>
        <v>660</v>
      </c>
      <c r="BD14" s="24">
        <f t="shared" si="76"/>
        <v>660</v>
      </c>
      <c r="BE14" s="24">
        <f t="shared" si="76"/>
        <v>660</v>
      </c>
      <c r="BF14" s="24">
        <f t="shared" si="76"/>
        <v>660</v>
      </c>
      <c r="BG14" s="24">
        <f t="shared" si="76"/>
        <v>660</v>
      </c>
      <c r="BH14" s="24">
        <f t="shared" si="76"/>
        <v>660</v>
      </c>
      <c r="BI14" s="24">
        <f>BH14</f>
        <v>660</v>
      </c>
      <c r="BJ14" s="24">
        <f t="shared" ref="BJ14:BZ15" si="77">BI14</f>
        <v>660</v>
      </c>
      <c r="BK14" s="24">
        <f t="shared" si="77"/>
        <v>660</v>
      </c>
      <c r="BL14" s="24">
        <f t="shared" si="77"/>
        <v>660</v>
      </c>
      <c r="BM14" s="24">
        <f t="shared" si="77"/>
        <v>660</v>
      </c>
      <c r="BN14" s="24">
        <f t="shared" si="77"/>
        <v>660</v>
      </c>
      <c r="BO14" s="24">
        <f t="shared" si="77"/>
        <v>660</v>
      </c>
      <c r="BP14" s="24">
        <f t="shared" si="77"/>
        <v>660</v>
      </c>
      <c r="BQ14" s="24">
        <f t="shared" si="77"/>
        <v>660</v>
      </c>
      <c r="BR14" s="24">
        <f t="shared" si="77"/>
        <v>660</v>
      </c>
      <c r="BS14" s="24">
        <f t="shared" si="77"/>
        <v>660</v>
      </c>
      <c r="BT14" s="24">
        <f t="shared" si="77"/>
        <v>660</v>
      </c>
      <c r="BU14" s="24">
        <f t="shared" si="77"/>
        <v>660</v>
      </c>
      <c r="BV14" s="24">
        <f t="shared" si="77"/>
        <v>660</v>
      </c>
      <c r="BW14" s="24">
        <f t="shared" si="77"/>
        <v>660</v>
      </c>
      <c r="BX14" s="24">
        <f t="shared" si="77"/>
        <v>660</v>
      </c>
      <c r="BY14" s="24">
        <f t="shared" si="77"/>
        <v>660</v>
      </c>
      <c r="BZ14" s="24">
        <f t="shared" si="77"/>
        <v>660</v>
      </c>
    </row>
    <row r="15" spans="1:96" x14ac:dyDescent="0.45">
      <c r="A15" s="191"/>
      <c r="B15" s="174" t="s">
        <v>137</v>
      </c>
      <c r="S15" s="24">
        <f t="shared" ref="S15:AD15" si="78">-$A$60</f>
        <v>-270</v>
      </c>
      <c r="T15" s="24">
        <f t="shared" si="78"/>
        <v>-270</v>
      </c>
      <c r="U15" s="24">
        <f t="shared" si="78"/>
        <v>-270</v>
      </c>
      <c r="V15" s="24">
        <f t="shared" si="78"/>
        <v>-270</v>
      </c>
      <c r="W15" s="24">
        <f t="shared" si="78"/>
        <v>-270</v>
      </c>
      <c r="X15" s="24">
        <f t="shared" si="78"/>
        <v>-270</v>
      </c>
      <c r="Y15" s="24">
        <f t="shared" si="78"/>
        <v>-270</v>
      </c>
      <c r="Z15" s="24">
        <f t="shared" si="78"/>
        <v>-270</v>
      </c>
      <c r="AA15" s="24">
        <f t="shared" si="78"/>
        <v>-270</v>
      </c>
      <c r="AB15" s="24">
        <f t="shared" si="78"/>
        <v>-270</v>
      </c>
      <c r="AC15" s="24">
        <f t="shared" si="78"/>
        <v>-270</v>
      </c>
      <c r="AD15" s="24">
        <f t="shared" si="78"/>
        <v>-270</v>
      </c>
      <c r="AE15" s="24">
        <v>-400</v>
      </c>
      <c r="AF15" s="24">
        <v>-400</v>
      </c>
      <c r="AG15" s="24">
        <v>-400</v>
      </c>
      <c r="AH15" s="24">
        <v>-440</v>
      </c>
      <c r="AI15" s="24">
        <v>-480</v>
      </c>
      <c r="AJ15" s="24">
        <v>-520</v>
      </c>
      <c r="AK15" s="24">
        <v>-520</v>
      </c>
      <c r="AL15" s="24">
        <v>-520</v>
      </c>
      <c r="AM15" s="24">
        <v>-520</v>
      </c>
      <c r="AN15" s="24">
        <v>-520</v>
      </c>
      <c r="AO15" s="24">
        <v>-520</v>
      </c>
      <c r="AP15" s="24">
        <v>-520</v>
      </c>
      <c r="AQ15" s="24">
        <v>-520</v>
      </c>
      <c r="AR15" s="24">
        <v>-520</v>
      </c>
      <c r="AS15" s="24">
        <v>-520</v>
      </c>
      <c r="AT15" s="24">
        <v>-520</v>
      </c>
      <c r="AU15" s="24">
        <v>-520</v>
      </c>
      <c r="AV15" s="24">
        <v>-520</v>
      </c>
      <c r="AW15" s="24">
        <v>-520</v>
      </c>
      <c r="AX15" s="24">
        <v>-520</v>
      </c>
      <c r="AY15" s="24">
        <v>-520</v>
      </c>
      <c r="AZ15" s="24">
        <v>-520</v>
      </c>
      <c r="BA15" s="24">
        <v>-520</v>
      </c>
      <c r="BB15" s="24">
        <v>-520</v>
      </c>
      <c r="BC15" s="24">
        <v>-520</v>
      </c>
      <c r="BD15" s="24">
        <v>-520</v>
      </c>
      <c r="BE15" s="24">
        <v>-520</v>
      </c>
      <c r="BF15" s="24">
        <v>-520</v>
      </c>
      <c r="BG15" s="24">
        <v>-520</v>
      </c>
      <c r="BH15" s="24">
        <v>-520</v>
      </c>
      <c r="BI15" s="24">
        <v>-520</v>
      </c>
      <c r="BJ15" s="24">
        <v>-520</v>
      </c>
      <c r="BK15" s="24">
        <v>-520</v>
      </c>
      <c r="BL15" s="24">
        <v>-520</v>
      </c>
      <c r="BM15" s="24">
        <v>-520</v>
      </c>
      <c r="BN15" s="24">
        <v>-520</v>
      </c>
      <c r="BO15" s="24">
        <f>BN15</f>
        <v>-520</v>
      </c>
      <c r="BP15" s="24">
        <f t="shared" si="77"/>
        <v>-520</v>
      </c>
      <c r="BQ15" s="24">
        <f t="shared" si="77"/>
        <v>-520</v>
      </c>
      <c r="BR15" s="24">
        <f t="shared" si="77"/>
        <v>-520</v>
      </c>
      <c r="BS15" s="24">
        <f t="shared" si="77"/>
        <v>-520</v>
      </c>
      <c r="BT15" s="24">
        <f t="shared" si="77"/>
        <v>-520</v>
      </c>
      <c r="BU15" s="24">
        <f t="shared" si="77"/>
        <v>-520</v>
      </c>
      <c r="BV15" s="24">
        <f t="shared" si="77"/>
        <v>-520</v>
      </c>
      <c r="BW15" s="24">
        <f t="shared" si="77"/>
        <v>-520</v>
      </c>
      <c r="BX15" s="24">
        <f t="shared" si="77"/>
        <v>-520</v>
      </c>
      <c r="BY15" s="24">
        <f t="shared" si="77"/>
        <v>-520</v>
      </c>
      <c r="BZ15" s="24">
        <f t="shared" si="77"/>
        <v>-520</v>
      </c>
    </row>
    <row r="16" spans="1:96" s="144" customFormat="1" x14ac:dyDescent="0.45">
      <c r="A16" s="192"/>
      <c r="B16" s="175" t="s">
        <v>143</v>
      </c>
      <c r="D16" s="168">
        <v>-900</v>
      </c>
      <c r="AN16" s="144" t="s">
        <v>395</v>
      </c>
    </row>
    <row r="17" spans="1:81" s="37" customFormat="1" ht="18" x14ac:dyDescent="0.55000000000000004">
      <c r="A17" s="190" t="s">
        <v>170</v>
      </c>
      <c r="B17" s="234">
        <f>SUM(D17:BZ20)</f>
        <v>8460</v>
      </c>
      <c r="G17" s="37">
        <f t="shared" ref="G17:AL17" si="79">$A$59*$A$61</f>
        <v>660</v>
      </c>
      <c r="H17" s="37">
        <f t="shared" si="79"/>
        <v>660</v>
      </c>
      <c r="I17" s="37">
        <f t="shared" si="79"/>
        <v>660</v>
      </c>
      <c r="J17" s="37">
        <f t="shared" si="79"/>
        <v>660</v>
      </c>
      <c r="K17" s="37">
        <f t="shared" si="79"/>
        <v>660</v>
      </c>
      <c r="L17" s="37">
        <f t="shared" si="79"/>
        <v>660</v>
      </c>
      <c r="M17" s="37">
        <f t="shared" si="79"/>
        <v>660</v>
      </c>
      <c r="N17" s="37">
        <f t="shared" si="79"/>
        <v>660</v>
      </c>
      <c r="O17" s="37">
        <f t="shared" si="79"/>
        <v>660</v>
      </c>
      <c r="P17" s="37">
        <f t="shared" si="79"/>
        <v>660</v>
      </c>
      <c r="Q17" s="37">
        <f t="shared" si="79"/>
        <v>660</v>
      </c>
      <c r="R17" s="37">
        <f t="shared" si="79"/>
        <v>660</v>
      </c>
      <c r="S17" s="37">
        <f t="shared" si="79"/>
        <v>660</v>
      </c>
      <c r="T17" s="37">
        <f t="shared" si="79"/>
        <v>660</v>
      </c>
      <c r="U17" s="37">
        <f t="shared" si="79"/>
        <v>660</v>
      </c>
      <c r="V17" s="37">
        <f t="shared" si="79"/>
        <v>660</v>
      </c>
      <c r="W17" s="37">
        <f t="shared" si="79"/>
        <v>660</v>
      </c>
      <c r="X17" s="37">
        <f t="shared" si="79"/>
        <v>660</v>
      </c>
      <c r="Y17" s="37">
        <f t="shared" si="79"/>
        <v>660</v>
      </c>
      <c r="Z17" s="37">
        <f t="shared" si="79"/>
        <v>660</v>
      </c>
      <c r="AA17" s="37">
        <f t="shared" si="79"/>
        <v>660</v>
      </c>
      <c r="AB17" s="37">
        <f t="shared" si="79"/>
        <v>660</v>
      </c>
      <c r="AC17" s="37">
        <f t="shared" si="79"/>
        <v>660</v>
      </c>
      <c r="AD17" s="37">
        <f t="shared" si="79"/>
        <v>660</v>
      </c>
      <c r="AE17" s="37">
        <f t="shared" si="79"/>
        <v>660</v>
      </c>
      <c r="AF17" s="37">
        <f t="shared" si="79"/>
        <v>660</v>
      </c>
      <c r="AG17" s="37">
        <f t="shared" si="79"/>
        <v>660</v>
      </c>
      <c r="AH17" s="37">
        <f t="shared" si="79"/>
        <v>660</v>
      </c>
      <c r="AI17" s="37">
        <f t="shared" si="79"/>
        <v>660</v>
      </c>
      <c r="AJ17" s="37">
        <f t="shared" si="79"/>
        <v>660</v>
      </c>
      <c r="AK17" s="37">
        <f t="shared" si="79"/>
        <v>660</v>
      </c>
      <c r="AL17" s="37">
        <f t="shared" si="79"/>
        <v>660</v>
      </c>
      <c r="AM17" s="37">
        <f t="shared" ref="AM17:BH17" si="80">$A$59*$A$61</f>
        <v>660</v>
      </c>
      <c r="AN17" s="37">
        <f t="shared" si="80"/>
        <v>660</v>
      </c>
      <c r="AO17" s="37">
        <f t="shared" si="80"/>
        <v>660</v>
      </c>
      <c r="AP17" s="37">
        <f t="shared" si="80"/>
        <v>660</v>
      </c>
      <c r="AQ17" s="37">
        <f t="shared" si="80"/>
        <v>660</v>
      </c>
      <c r="AR17" s="37">
        <f t="shared" si="80"/>
        <v>660</v>
      </c>
      <c r="AS17" s="37">
        <f t="shared" si="80"/>
        <v>660</v>
      </c>
      <c r="AT17" s="37">
        <f t="shared" si="80"/>
        <v>660</v>
      </c>
      <c r="AU17" s="37">
        <f t="shared" si="80"/>
        <v>660</v>
      </c>
      <c r="AV17" s="37">
        <f t="shared" si="80"/>
        <v>660</v>
      </c>
      <c r="AW17" s="37">
        <f t="shared" si="80"/>
        <v>660</v>
      </c>
      <c r="AX17" s="37">
        <f t="shared" si="80"/>
        <v>660</v>
      </c>
      <c r="AY17" s="37">
        <f t="shared" si="80"/>
        <v>660</v>
      </c>
      <c r="AZ17" s="37">
        <f t="shared" si="80"/>
        <v>660</v>
      </c>
      <c r="BA17" s="37">
        <f t="shared" si="80"/>
        <v>660</v>
      </c>
      <c r="BB17" s="37">
        <f t="shared" si="80"/>
        <v>660</v>
      </c>
      <c r="BC17" s="37">
        <f t="shared" si="80"/>
        <v>660</v>
      </c>
      <c r="BD17" s="37">
        <f t="shared" si="80"/>
        <v>660</v>
      </c>
      <c r="BE17" s="37">
        <f t="shared" si="80"/>
        <v>660</v>
      </c>
      <c r="BF17" s="37">
        <f t="shared" si="80"/>
        <v>660</v>
      </c>
      <c r="BG17" s="37">
        <f t="shared" si="80"/>
        <v>660</v>
      </c>
      <c r="BH17" s="37">
        <f t="shared" si="80"/>
        <v>660</v>
      </c>
      <c r="BI17" s="37">
        <f>BH17</f>
        <v>660</v>
      </c>
      <c r="BJ17" s="37">
        <f t="shared" ref="BJ17:BZ17" si="81">BI17</f>
        <v>660</v>
      </c>
      <c r="BK17" s="37">
        <f t="shared" si="81"/>
        <v>660</v>
      </c>
      <c r="BL17" s="37">
        <f t="shared" si="81"/>
        <v>660</v>
      </c>
      <c r="BM17" s="37">
        <f t="shared" si="81"/>
        <v>660</v>
      </c>
      <c r="BN17" s="37">
        <f t="shared" si="81"/>
        <v>660</v>
      </c>
      <c r="BO17" s="37">
        <f t="shared" si="81"/>
        <v>660</v>
      </c>
      <c r="BP17" s="37">
        <f t="shared" si="81"/>
        <v>660</v>
      </c>
      <c r="BQ17" s="37">
        <f t="shared" si="81"/>
        <v>660</v>
      </c>
      <c r="BR17" s="37">
        <f t="shared" si="81"/>
        <v>660</v>
      </c>
      <c r="BS17" s="37">
        <f t="shared" si="81"/>
        <v>660</v>
      </c>
      <c r="BT17" s="37">
        <f t="shared" si="81"/>
        <v>660</v>
      </c>
      <c r="BU17" s="37">
        <f t="shared" si="81"/>
        <v>660</v>
      </c>
      <c r="BV17" s="37">
        <f t="shared" si="81"/>
        <v>660</v>
      </c>
      <c r="BW17" s="37">
        <f t="shared" si="81"/>
        <v>660</v>
      </c>
      <c r="BX17" s="37">
        <f t="shared" si="81"/>
        <v>660</v>
      </c>
      <c r="BY17" s="37">
        <f t="shared" si="81"/>
        <v>660</v>
      </c>
      <c r="BZ17" s="37">
        <f t="shared" si="81"/>
        <v>660</v>
      </c>
      <c r="CA17" s="37">
        <f t="shared" ref="CA17" si="82">BZ17</f>
        <v>660</v>
      </c>
      <c r="CB17" s="37">
        <f t="shared" ref="CB17:CC17" si="83">CA17</f>
        <v>660</v>
      </c>
      <c r="CC17" s="37">
        <f t="shared" si="83"/>
        <v>660</v>
      </c>
    </row>
    <row r="18" spans="1:81" s="37" customFormat="1" ht="18" x14ac:dyDescent="0.55000000000000004">
      <c r="A18" s="190" t="s">
        <v>184</v>
      </c>
      <c r="B18" s="174" t="s">
        <v>188</v>
      </c>
      <c r="G18" s="37">
        <f t="shared" ref="G18:BR18" si="84">- $A$66</f>
        <v>-100</v>
      </c>
      <c r="H18" s="37">
        <f t="shared" si="84"/>
        <v>-100</v>
      </c>
      <c r="I18" s="37">
        <f t="shared" si="84"/>
        <v>-100</v>
      </c>
      <c r="J18" s="37">
        <f t="shared" si="84"/>
        <v>-100</v>
      </c>
      <c r="K18" s="37">
        <f t="shared" si="84"/>
        <v>-100</v>
      </c>
      <c r="L18" s="37">
        <f t="shared" si="84"/>
        <v>-100</v>
      </c>
      <c r="M18" s="37">
        <f t="shared" si="84"/>
        <v>-100</v>
      </c>
      <c r="N18" s="37">
        <f t="shared" si="84"/>
        <v>-100</v>
      </c>
      <c r="O18" s="37">
        <f t="shared" si="84"/>
        <v>-100</v>
      </c>
      <c r="P18" s="37">
        <f t="shared" si="84"/>
        <v>-100</v>
      </c>
      <c r="Q18" s="37">
        <f t="shared" si="84"/>
        <v>-100</v>
      </c>
      <c r="R18" s="37">
        <f t="shared" si="84"/>
        <v>-100</v>
      </c>
      <c r="S18" s="37">
        <f t="shared" si="84"/>
        <v>-100</v>
      </c>
      <c r="T18" s="37">
        <f t="shared" si="84"/>
        <v>-100</v>
      </c>
      <c r="U18" s="37">
        <f t="shared" si="84"/>
        <v>-100</v>
      </c>
      <c r="V18" s="37">
        <f t="shared" si="84"/>
        <v>-100</v>
      </c>
      <c r="W18" s="37">
        <f t="shared" si="84"/>
        <v>-100</v>
      </c>
      <c r="X18" s="37">
        <f t="shared" si="84"/>
        <v>-100</v>
      </c>
      <c r="Y18" s="37">
        <f t="shared" si="84"/>
        <v>-100</v>
      </c>
      <c r="Z18" s="37">
        <f t="shared" si="84"/>
        <v>-100</v>
      </c>
      <c r="AA18" s="37">
        <f t="shared" si="84"/>
        <v>-100</v>
      </c>
      <c r="AB18" s="37">
        <f t="shared" si="84"/>
        <v>-100</v>
      </c>
      <c r="AC18" s="37">
        <f t="shared" si="84"/>
        <v>-100</v>
      </c>
      <c r="AD18" s="37">
        <f t="shared" si="84"/>
        <v>-100</v>
      </c>
      <c r="AE18" s="37">
        <f t="shared" si="84"/>
        <v>-100</v>
      </c>
      <c r="AF18" s="37">
        <f t="shared" si="84"/>
        <v>-100</v>
      </c>
      <c r="AG18" s="37">
        <f t="shared" si="84"/>
        <v>-100</v>
      </c>
      <c r="AH18" s="37">
        <f t="shared" si="84"/>
        <v>-100</v>
      </c>
      <c r="AI18" s="37">
        <f t="shared" si="84"/>
        <v>-100</v>
      </c>
      <c r="AJ18" s="37">
        <f t="shared" si="84"/>
        <v>-100</v>
      </c>
      <c r="AK18" s="37">
        <f t="shared" si="84"/>
        <v>-100</v>
      </c>
      <c r="AL18" s="37">
        <f t="shared" si="84"/>
        <v>-100</v>
      </c>
      <c r="AM18" s="37">
        <f t="shared" si="84"/>
        <v>-100</v>
      </c>
      <c r="AN18" s="37">
        <f t="shared" si="84"/>
        <v>-100</v>
      </c>
      <c r="AO18" s="37">
        <f t="shared" si="84"/>
        <v>-100</v>
      </c>
      <c r="AP18" s="37">
        <f t="shared" si="84"/>
        <v>-100</v>
      </c>
      <c r="AQ18" s="37">
        <f t="shared" si="84"/>
        <v>-100</v>
      </c>
      <c r="AR18" s="37">
        <f t="shared" si="84"/>
        <v>-100</v>
      </c>
      <c r="AS18" s="37">
        <f t="shared" si="84"/>
        <v>-100</v>
      </c>
      <c r="AT18" s="37">
        <f t="shared" si="84"/>
        <v>-100</v>
      </c>
      <c r="AU18" s="37">
        <f t="shared" si="84"/>
        <v>-100</v>
      </c>
      <c r="AV18" s="37">
        <f t="shared" si="84"/>
        <v>-100</v>
      </c>
      <c r="AW18" s="37">
        <f t="shared" si="84"/>
        <v>-100</v>
      </c>
      <c r="AX18" s="37">
        <f t="shared" si="84"/>
        <v>-100</v>
      </c>
      <c r="AY18" s="37">
        <f t="shared" si="84"/>
        <v>-100</v>
      </c>
      <c r="AZ18" s="37">
        <f t="shared" si="84"/>
        <v>-100</v>
      </c>
      <c r="BA18" s="37">
        <f t="shared" si="84"/>
        <v>-100</v>
      </c>
      <c r="BB18" s="37">
        <f t="shared" si="84"/>
        <v>-100</v>
      </c>
      <c r="BC18" s="37">
        <f t="shared" si="84"/>
        <v>-100</v>
      </c>
      <c r="BD18" s="37">
        <f t="shared" si="84"/>
        <v>-100</v>
      </c>
      <c r="BE18" s="37">
        <f t="shared" si="84"/>
        <v>-100</v>
      </c>
      <c r="BF18" s="37">
        <f t="shared" si="84"/>
        <v>-100</v>
      </c>
      <c r="BG18" s="37">
        <f t="shared" si="84"/>
        <v>-100</v>
      </c>
      <c r="BH18" s="37">
        <f t="shared" si="84"/>
        <v>-100</v>
      </c>
      <c r="BI18" s="37">
        <f t="shared" si="84"/>
        <v>-100</v>
      </c>
      <c r="BJ18" s="37">
        <f t="shared" si="84"/>
        <v>-100</v>
      </c>
      <c r="BK18" s="37">
        <f t="shared" si="84"/>
        <v>-100</v>
      </c>
      <c r="BL18" s="37">
        <f t="shared" si="84"/>
        <v>-100</v>
      </c>
      <c r="BM18" s="37">
        <f t="shared" si="84"/>
        <v>-100</v>
      </c>
      <c r="BN18" s="37">
        <f t="shared" si="84"/>
        <v>-100</v>
      </c>
      <c r="BO18" s="37">
        <f t="shared" si="84"/>
        <v>-100</v>
      </c>
      <c r="BP18" s="37">
        <f t="shared" si="84"/>
        <v>-100</v>
      </c>
      <c r="BQ18" s="37">
        <f t="shared" si="84"/>
        <v>-100</v>
      </c>
      <c r="BR18" s="37">
        <f t="shared" si="84"/>
        <v>-100</v>
      </c>
      <c r="BS18" s="37">
        <f t="shared" ref="BS18:CC18" si="85">- $A$66</f>
        <v>-100</v>
      </c>
      <c r="BT18" s="37">
        <f t="shared" si="85"/>
        <v>-100</v>
      </c>
      <c r="BU18" s="37">
        <f t="shared" si="85"/>
        <v>-100</v>
      </c>
      <c r="BV18" s="37">
        <f t="shared" si="85"/>
        <v>-100</v>
      </c>
      <c r="BW18" s="37">
        <f t="shared" si="85"/>
        <v>-100</v>
      </c>
      <c r="BX18" s="37">
        <f t="shared" si="85"/>
        <v>-100</v>
      </c>
      <c r="BY18" s="37">
        <f t="shared" si="85"/>
        <v>-100</v>
      </c>
      <c r="BZ18" s="37">
        <f t="shared" si="85"/>
        <v>-100</v>
      </c>
      <c r="CA18" s="37">
        <f t="shared" si="85"/>
        <v>-100</v>
      </c>
      <c r="CB18" s="37">
        <f t="shared" si="85"/>
        <v>-100</v>
      </c>
      <c r="CC18" s="37">
        <f t="shared" si="85"/>
        <v>-100</v>
      </c>
    </row>
    <row r="19" spans="1:81" s="37" customFormat="1" ht="18" x14ac:dyDescent="0.55000000000000004">
      <c r="A19" s="190" t="s">
        <v>146</v>
      </c>
      <c r="B19" s="174" t="s">
        <v>139</v>
      </c>
      <c r="G19" s="37">
        <f t="shared" ref="G19:AD19" si="86">-$A$60</f>
        <v>-270</v>
      </c>
      <c r="H19" s="37">
        <f t="shared" si="86"/>
        <v>-270</v>
      </c>
      <c r="I19" s="37">
        <f t="shared" si="86"/>
        <v>-270</v>
      </c>
      <c r="J19" s="37">
        <f t="shared" si="86"/>
        <v>-270</v>
      </c>
      <c r="K19" s="37">
        <f t="shared" si="86"/>
        <v>-270</v>
      </c>
      <c r="L19" s="37">
        <f t="shared" si="86"/>
        <v>-270</v>
      </c>
      <c r="M19" s="37">
        <f t="shared" si="86"/>
        <v>-270</v>
      </c>
      <c r="N19" s="37">
        <f t="shared" si="86"/>
        <v>-270</v>
      </c>
      <c r="O19" s="37">
        <f t="shared" si="86"/>
        <v>-270</v>
      </c>
      <c r="P19" s="37">
        <f t="shared" si="86"/>
        <v>-270</v>
      </c>
      <c r="Q19" s="37">
        <f t="shared" si="86"/>
        <v>-270</v>
      </c>
      <c r="R19" s="37">
        <f t="shared" si="86"/>
        <v>-270</v>
      </c>
      <c r="S19" s="37">
        <f t="shared" si="86"/>
        <v>-270</v>
      </c>
      <c r="T19" s="37">
        <f t="shared" si="86"/>
        <v>-270</v>
      </c>
      <c r="U19" s="37">
        <f t="shared" si="86"/>
        <v>-270</v>
      </c>
      <c r="V19" s="37">
        <f t="shared" si="86"/>
        <v>-270</v>
      </c>
      <c r="W19" s="37">
        <f t="shared" si="86"/>
        <v>-270</v>
      </c>
      <c r="X19" s="37">
        <f t="shared" si="86"/>
        <v>-270</v>
      </c>
      <c r="Y19" s="37">
        <f t="shared" si="86"/>
        <v>-270</v>
      </c>
      <c r="Z19" s="37">
        <f t="shared" si="86"/>
        <v>-270</v>
      </c>
      <c r="AA19" s="37">
        <f t="shared" si="86"/>
        <v>-270</v>
      </c>
      <c r="AB19" s="37">
        <f t="shared" si="86"/>
        <v>-270</v>
      </c>
      <c r="AC19" s="37">
        <f t="shared" si="86"/>
        <v>-270</v>
      </c>
      <c r="AD19" s="37">
        <f t="shared" si="86"/>
        <v>-270</v>
      </c>
      <c r="AE19" s="37">
        <v>-400</v>
      </c>
      <c r="AF19" s="37">
        <v>-400</v>
      </c>
      <c r="AG19" s="37">
        <v>-400</v>
      </c>
      <c r="AH19" s="37">
        <v>-440</v>
      </c>
      <c r="AI19" s="37">
        <v>-480</v>
      </c>
      <c r="AJ19" s="37">
        <v>-520</v>
      </c>
      <c r="AK19" s="37">
        <v>-520</v>
      </c>
      <c r="AL19" s="37">
        <v>-520</v>
      </c>
      <c r="AM19" s="37">
        <v>-520</v>
      </c>
      <c r="AN19" s="37">
        <v>-520</v>
      </c>
      <c r="AO19" s="37">
        <v>-520</v>
      </c>
      <c r="AP19" s="37">
        <v>-520</v>
      </c>
      <c r="AQ19" s="37">
        <v>-520</v>
      </c>
      <c r="AR19" s="37">
        <v>-520</v>
      </c>
      <c r="AS19" s="37">
        <v>-520</v>
      </c>
      <c r="AT19" s="37">
        <v>-520</v>
      </c>
      <c r="AU19" s="37">
        <v>-520</v>
      </c>
      <c r="AV19" s="37">
        <v>-520</v>
      </c>
      <c r="AW19" s="37">
        <v>-520</v>
      </c>
      <c r="AX19" s="37">
        <v>-520</v>
      </c>
      <c r="AY19" s="37">
        <v>-520</v>
      </c>
      <c r="AZ19" s="37">
        <v>-520</v>
      </c>
      <c r="BA19" s="37">
        <v>-520</v>
      </c>
      <c r="BB19" s="37">
        <v>-520</v>
      </c>
      <c r="BC19" s="37">
        <v>-520</v>
      </c>
      <c r="BD19" s="37">
        <v>-520</v>
      </c>
      <c r="BE19" s="37">
        <v>-520</v>
      </c>
      <c r="BF19" s="37">
        <v>-520</v>
      </c>
      <c r="BG19" s="37">
        <v>-520</v>
      </c>
      <c r="BH19" s="37">
        <v>-520</v>
      </c>
      <c r="BI19" s="37">
        <v>-520</v>
      </c>
      <c r="BJ19" s="37">
        <v>-520</v>
      </c>
      <c r="BK19" s="37">
        <v>-520</v>
      </c>
      <c r="BL19" s="37">
        <v>-520</v>
      </c>
      <c r="BM19" s="37">
        <v>-520</v>
      </c>
      <c r="BN19" s="37">
        <v>-520</v>
      </c>
      <c r="BO19" s="37">
        <v>-520</v>
      </c>
      <c r="BP19" s="37">
        <v>-520</v>
      </c>
      <c r="BQ19" s="37">
        <v>-520</v>
      </c>
      <c r="BR19" s="37">
        <v>-520</v>
      </c>
      <c r="BS19" s="37">
        <v>-520</v>
      </c>
      <c r="BT19" s="37">
        <v>-520</v>
      </c>
      <c r="BU19" s="37">
        <v>-520</v>
      </c>
      <c r="BV19" s="37">
        <f>BU19</f>
        <v>-520</v>
      </c>
      <c r="BW19" s="37">
        <f t="shared" ref="BW19:CC19" si="87">BV19</f>
        <v>-520</v>
      </c>
      <c r="BX19" s="37">
        <f t="shared" si="87"/>
        <v>-520</v>
      </c>
      <c r="BY19" s="37">
        <f t="shared" si="87"/>
        <v>-520</v>
      </c>
      <c r="BZ19" s="37">
        <f t="shared" si="87"/>
        <v>-520</v>
      </c>
      <c r="CA19" s="37">
        <f t="shared" si="87"/>
        <v>-520</v>
      </c>
      <c r="CB19" s="37">
        <f t="shared" si="87"/>
        <v>-520</v>
      </c>
      <c r="CC19" s="37">
        <f t="shared" si="87"/>
        <v>-520</v>
      </c>
    </row>
    <row r="20" spans="1:81" s="52" customFormat="1" ht="18" x14ac:dyDescent="0.55000000000000004">
      <c r="A20" s="193"/>
      <c r="B20" s="175" t="s">
        <v>143</v>
      </c>
      <c r="G20" s="52">
        <v>-900</v>
      </c>
    </row>
    <row r="21" spans="1:81" ht="18" x14ac:dyDescent="0.55000000000000004">
      <c r="A21" s="190" t="s">
        <v>192</v>
      </c>
      <c r="B21" s="234">
        <f>SUM(D21:BZ24)</f>
        <v>7590</v>
      </c>
      <c r="J21" s="24">
        <f t="shared" ref="J21:AO21" si="88">$A$59*$A$61</f>
        <v>660</v>
      </c>
      <c r="K21" s="24">
        <f t="shared" si="88"/>
        <v>660</v>
      </c>
      <c r="L21" s="24">
        <f t="shared" si="88"/>
        <v>660</v>
      </c>
      <c r="M21" s="24">
        <f t="shared" si="88"/>
        <v>660</v>
      </c>
      <c r="N21" s="24">
        <f t="shared" si="88"/>
        <v>660</v>
      </c>
      <c r="O21" s="24">
        <f t="shared" si="88"/>
        <v>660</v>
      </c>
      <c r="P21" s="24">
        <f t="shared" si="88"/>
        <v>660</v>
      </c>
      <c r="Q21" s="24">
        <f t="shared" si="88"/>
        <v>660</v>
      </c>
      <c r="R21" s="24">
        <f t="shared" si="88"/>
        <v>660</v>
      </c>
      <c r="S21" s="24">
        <f t="shared" si="88"/>
        <v>660</v>
      </c>
      <c r="T21" s="24">
        <f t="shared" si="88"/>
        <v>660</v>
      </c>
      <c r="U21" s="24">
        <f t="shared" si="88"/>
        <v>660</v>
      </c>
      <c r="V21" s="24">
        <f t="shared" si="88"/>
        <v>660</v>
      </c>
      <c r="W21" s="24">
        <f t="shared" si="88"/>
        <v>660</v>
      </c>
      <c r="X21" s="24">
        <f t="shared" si="88"/>
        <v>660</v>
      </c>
      <c r="Y21" s="24">
        <f t="shared" si="88"/>
        <v>660</v>
      </c>
      <c r="Z21" s="24">
        <f t="shared" si="88"/>
        <v>660</v>
      </c>
      <c r="AA21" s="24">
        <f t="shared" si="88"/>
        <v>660</v>
      </c>
      <c r="AB21" s="24">
        <f t="shared" si="88"/>
        <v>660</v>
      </c>
      <c r="AC21" s="24">
        <f t="shared" si="88"/>
        <v>660</v>
      </c>
      <c r="AD21" s="24">
        <f t="shared" si="88"/>
        <v>660</v>
      </c>
      <c r="AE21" s="24">
        <f t="shared" si="88"/>
        <v>660</v>
      </c>
      <c r="AF21" s="24">
        <f t="shared" si="88"/>
        <v>660</v>
      </c>
      <c r="AG21" s="24">
        <f t="shared" si="88"/>
        <v>660</v>
      </c>
      <c r="AH21" s="24">
        <f t="shared" si="88"/>
        <v>660</v>
      </c>
      <c r="AI21" s="24">
        <f t="shared" si="88"/>
        <v>660</v>
      </c>
      <c r="AJ21" s="24">
        <f t="shared" si="88"/>
        <v>660</v>
      </c>
      <c r="AK21" s="24">
        <f t="shared" si="88"/>
        <v>660</v>
      </c>
      <c r="AL21" s="24">
        <f t="shared" si="88"/>
        <v>660</v>
      </c>
      <c r="AM21" s="24">
        <f t="shared" si="88"/>
        <v>660</v>
      </c>
      <c r="AN21" s="24">
        <f t="shared" si="88"/>
        <v>660</v>
      </c>
      <c r="AO21" s="24">
        <f t="shared" si="88"/>
        <v>660</v>
      </c>
      <c r="AP21" s="24">
        <f t="shared" ref="AP21:BI21" si="89">$A$59*$A$61</f>
        <v>660</v>
      </c>
      <c r="AQ21" s="24">
        <f t="shared" si="89"/>
        <v>660</v>
      </c>
      <c r="AR21" s="24">
        <f t="shared" si="89"/>
        <v>660</v>
      </c>
      <c r="AS21" s="24">
        <f t="shared" si="89"/>
        <v>660</v>
      </c>
      <c r="AT21" s="24">
        <f t="shared" si="89"/>
        <v>660</v>
      </c>
      <c r="AU21" s="24">
        <f t="shared" si="89"/>
        <v>660</v>
      </c>
      <c r="AV21" s="24">
        <f t="shared" si="89"/>
        <v>660</v>
      </c>
      <c r="AW21" s="24">
        <f t="shared" si="89"/>
        <v>660</v>
      </c>
      <c r="AX21" s="24">
        <f t="shared" si="89"/>
        <v>660</v>
      </c>
      <c r="AY21" s="24">
        <f t="shared" si="89"/>
        <v>660</v>
      </c>
      <c r="AZ21" s="24">
        <f t="shared" si="89"/>
        <v>660</v>
      </c>
      <c r="BA21" s="24">
        <f t="shared" si="89"/>
        <v>660</v>
      </c>
      <c r="BB21" s="24">
        <f t="shared" si="89"/>
        <v>660</v>
      </c>
      <c r="BC21" s="24">
        <f t="shared" si="89"/>
        <v>660</v>
      </c>
      <c r="BD21" s="24">
        <f t="shared" si="89"/>
        <v>660</v>
      </c>
      <c r="BE21" s="24">
        <f t="shared" si="89"/>
        <v>660</v>
      </c>
      <c r="BF21" s="24">
        <f t="shared" si="89"/>
        <v>660</v>
      </c>
      <c r="BG21" s="24">
        <f t="shared" si="89"/>
        <v>660</v>
      </c>
      <c r="BH21" s="24">
        <f t="shared" si="89"/>
        <v>660</v>
      </c>
      <c r="BI21" s="24">
        <f t="shared" si="89"/>
        <v>660</v>
      </c>
      <c r="BJ21" s="24">
        <f>BI21</f>
        <v>660</v>
      </c>
      <c r="BK21" s="24">
        <f t="shared" ref="BK21:BZ21" si="90">BJ21</f>
        <v>660</v>
      </c>
      <c r="BL21" s="24">
        <f t="shared" si="90"/>
        <v>660</v>
      </c>
      <c r="BM21" s="24">
        <f t="shared" si="90"/>
        <v>660</v>
      </c>
      <c r="BN21" s="24">
        <f t="shared" si="90"/>
        <v>660</v>
      </c>
      <c r="BO21" s="24">
        <f t="shared" si="90"/>
        <v>660</v>
      </c>
      <c r="BP21" s="24">
        <f t="shared" si="90"/>
        <v>660</v>
      </c>
      <c r="BQ21" s="24">
        <f t="shared" si="90"/>
        <v>660</v>
      </c>
      <c r="BR21" s="24">
        <f t="shared" si="90"/>
        <v>660</v>
      </c>
      <c r="BS21" s="24">
        <f t="shared" si="90"/>
        <v>660</v>
      </c>
      <c r="BT21" s="24">
        <f t="shared" si="90"/>
        <v>660</v>
      </c>
      <c r="BU21" s="24">
        <f t="shared" si="90"/>
        <v>660</v>
      </c>
      <c r="BV21" s="24">
        <f t="shared" si="90"/>
        <v>660</v>
      </c>
      <c r="BW21" s="24">
        <f t="shared" si="90"/>
        <v>660</v>
      </c>
      <c r="BX21" s="24">
        <f t="shared" si="90"/>
        <v>660</v>
      </c>
      <c r="BY21" s="24">
        <f t="shared" si="90"/>
        <v>660</v>
      </c>
      <c r="BZ21" s="24">
        <f t="shared" si="90"/>
        <v>660</v>
      </c>
      <c r="CA21" s="24">
        <f t="shared" ref="CA21" si="91">BZ21</f>
        <v>660</v>
      </c>
      <c r="CB21" s="24">
        <f t="shared" ref="CB21:CC21" si="92">CA21</f>
        <v>660</v>
      </c>
      <c r="CC21" s="24">
        <f t="shared" si="92"/>
        <v>660</v>
      </c>
    </row>
    <row r="22" spans="1:81" ht="18" x14ac:dyDescent="0.55000000000000004">
      <c r="A22" s="190" t="s">
        <v>184</v>
      </c>
      <c r="B22" s="174" t="s">
        <v>188</v>
      </c>
      <c r="J22" s="24">
        <f t="shared" ref="J22:BU22" si="93">- $A$66</f>
        <v>-100</v>
      </c>
      <c r="K22" s="24">
        <f t="shared" si="93"/>
        <v>-100</v>
      </c>
      <c r="L22" s="24">
        <f t="shared" si="93"/>
        <v>-100</v>
      </c>
      <c r="M22" s="24">
        <f t="shared" si="93"/>
        <v>-100</v>
      </c>
      <c r="N22" s="24">
        <f t="shared" si="93"/>
        <v>-100</v>
      </c>
      <c r="O22" s="24">
        <f t="shared" si="93"/>
        <v>-100</v>
      </c>
      <c r="P22" s="24">
        <f t="shared" si="93"/>
        <v>-100</v>
      </c>
      <c r="Q22" s="24">
        <f t="shared" si="93"/>
        <v>-100</v>
      </c>
      <c r="R22" s="24">
        <f t="shared" si="93"/>
        <v>-100</v>
      </c>
      <c r="S22" s="24">
        <f t="shared" si="93"/>
        <v>-100</v>
      </c>
      <c r="T22" s="24">
        <f t="shared" si="93"/>
        <v>-100</v>
      </c>
      <c r="U22" s="24">
        <f t="shared" si="93"/>
        <v>-100</v>
      </c>
      <c r="V22" s="24">
        <f t="shared" si="93"/>
        <v>-100</v>
      </c>
      <c r="W22" s="24">
        <f t="shared" si="93"/>
        <v>-100</v>
      </c>
      <c r="X22" s="24">
        <f t="shared" si="93"/>
        <v>-100</v>
      </c>
      <c r="Y22" s="24">
        <f t="shared" si="93"/>
        <v>-100</v>
      </c>
      <c r="Z22" s="24">
        <f t="shared" si="93"/>
        <v>-100</v>
      </c>
      <c r="AA22" s="24">
        <f t="shared" si="93"/>
        <v>-100</v>
      </c>
      <c r="AB22" s="24">
        <f t="shared" si="93"/>
        <v>-100</v>
      </c>
      <c r="AC22" s="24">
        <f t="shared" si="93"/>
        <v>-100</v>
      </c>
      <c r="AD22" s="24">
        <f t="shared" si="93"/>
        <v>-100</v>
      </c>
      <c r="AE22" s="24">
        <f t="shared" si="93"/>
        <v>-100</v>
      </c>
      <c r="AF22" s="24">
        <f t="shared" si="93"/>
        <v>-100</v>
      </c>
      <c r="AG22" s="24">
        <f t="shared" si="93"/>
        <v>-100</v>
      </c>
      <c r="AH22" s="24">
        <f t="shared" si="93"/>
        <v>-100</v>
      </c>
      <c r="AI22" s="24">
        <f t="shared" si="93"/>
        <v>-100</v>
      </c>
      <c r="AJ22" s="24">
        <f t="shared" si="93"/>
        <v>-100</v>
      </c>
      <c r="AK22" s="24">
        <f t="shared" si="93"/>
        <v>-100</v>
      </c>
      <c r="AL22" s="24">
        <f t="shared" si="93"/>
        <v>-100</v>
      </c>
      <c r="AM22" s="24">
        <f t="shared" si="93"/>
        <v>-100</v>
      </c>
      <c r="AN22" s="24">
        <f t="shared" si="93"/>
        <v>-100</v>
      </c>
      <c r="AO22" s="24">
        <f t="shared" si="93"/>
        <v>-100</v>
      </c>
      <c r="AP22" s="24">
        <f t="shared" si="93"/>
        <v>-100</v>
      </c>
      <c r="AQ22" s="24">
        <f t="shared" si="93"/>
        <v>-100</v>
      </c>
      <c r="AR22" s="24">
        <f t="shared" si="93"/>
        <v>-100</v>
      </c>
      <c r="AS22" s="24">
        <f t="shared" si="93"/>
        <v>-100</v>
      </c>
      <c r="AT22" s="24">
        <f t="shared" si="93"/>
        <v>-100</v>
      </c>
      <c r="AU22" s="24">
        <f t="shared" si="93"/>
        <v>-100</v>
      </c>
      <c r="AV22" s="24">
        <f t="shared" si="93"/>
        <v>-100</v>
      </c>
      <c r="AW22" s="24">
        <f t="shared" si="93"/>
        <v>-100</v>
      </c>
      <c r="AX22" s="24">
        <f t="shared" si="93"/>
        <v>-100</v>
      </c>
      <c r="AY22" s="24">
        <f t="shared" si="93"/>
        <v>-100</v>
      </c>
      <c r="AZ22" s="24">
        <f t="shared" si="93"/>
        <v>-100</v>
      </c>
      <c r="BA22" s="24">
        <f t="shared" si="93"/>
        <v>-100</v>
      </c>
      <c r="BB22" s="24">
        <f t="shared" si="93"/>
        <v>-100</v>
      </c>
      <c r="BC22" s="24">
        <f t="shared" si="93"/>
        <v>-100</v>
      </c>
      <c r="BD22" s="24">
        <f t="shared" si="93"/>
        <v>-100</v>
      </c>
      <c r="BE22" s="24">
        <f t="shared" si="93"/>
        <v>-100</v>
      </c>
      <c r="BF22" s="24">
        <f t="shared" si="93"/>
        <v>-100</v>
      </c>
      <c r="BG22" s="24">
        <f t="shared" si="93"/>
        <v>-100</v>
      </c>
      <c r="BH22" s="24">
        <f t="shared" si="93"/>
        <v>-100</v>
      </c>
      <c r="BI22" s="24">
        <f t="shared" si="93"/>
        <v>-100</v>
      </c>
      <c r="BJ22" s="24">
        <f t="shared" si="93"/>
        <v>-100</v>
      </c>
      <c r="BK22" s="24">
        <f t="shared" si="93"/>
        <v>-100</v>
      </c>
      <c r="BL22" s="24">
        <f t="shared" si="93"/>
        <v>-100</v>
      </c>
      <c r="BM22" s="24">
        <f t="shared" si="93"/>
        <v>-100</v>
      </c>
      <c r="BN22" s="24">
        <f t="shared" si="93"/>
        <v>-100</v>
      </c>
      <c r="BO22" s="24">
        <f t="shared" si="93"/>
        <v>-100</v>
      </c>
      <c r="BP22" s="24">
        <f t="shared" si="93"/>
        <v>-100</v>
      </c>
      <c r="BQ22" s="24">
        <f t="shared" si="93"/>
        <v>-100</v>
      </c>
      <c r="BR22" s="24">
        <f t="shared" si="93"/>
        <v>-100</v>
      </c>
      <c r="BS22" s="24">
        <f t="shared" si="93"/>
        <v>-100</v>
      </c>
      <c r="BT22" s="24">
        <f t="shared" si="93"/>
        <v>-100</v>
      </c>
      <c r="BU22" s="24">
        <f t="shared" si="93"/>
        <v>-100</v>
      </c>
      <c r="BV22" s="24">
        <f t="shared" ref="BV22:CC22" si="94">- $A$66</f>
        <v>-100</v>
      </c>
      <c r="BW22" s="24">
        <f t="shared" si="94"/>
        <v>-100</v>
      </c>
      <c r="BX22" s="24">
        <f t="shared" si="94"/>
        <v>-100</v>
      </c>
      <c r="BY22" s="24">
        <f t="shared" si="94"/>
        <v>-100</v>
      </c>
      <c r="BZ22" s="24">
        <f t="shared" si="94"/>
        <v>-100</v>
      </c>
      <c r="CA22" s="24">
        <f t="shared" si="94"/>
        <v>-100</v>
      </c>
      <c r="CB22" s="24">
        <f t="shared" si="94"/>
        <v>-100</v>
      </c>
      <c r="CC22" s="24">
        <f t="shared" si="94"/>
        <v>-100</v>
      </c>
    </row>
    <row r="23" spans="1:81" ht="18" x14ac:dyDescent="0.55000000000000004">
      <c r="A23" s="190" t="s">
        <v>146</v>
      </c>
      <c r="B23" s="174" t="s">
        <v>139</v>
      </c>
      <c r="J23" s="24">
        <f t="shared" ref="J23:AD23" si="95">-$A$60</f>
        <v>-270</v>
      </c>
      <c r="K23" s="24">
        <f t="shared" si="95"/>
        <v>-270</v>
      </c>
      <c r="L23" s="24">
        <f t="shared" si="95"/>
        <v>-270</v>
      </c>
      <c r="M23" s="24">
        <f t="shared" si="95"/>
        <v>-270</v>
      </c>
      <c r="N23" s="24">
        <f t="shared" si="95"/>
        <v>-270</v>
      </c>
      <c r="O23" s="24">
        <f t="shared" si="95"/>
        <v>-270</v>
      </c>
      <c r="P23" s="24">
        <f t="shared" si="95"/>
        <v>-270</v>
      </c>
      <c r="Q23" s="24">
        <f t="shared" si="95"/>
        <v>-270</v>
      </c>
      <c r="R23" s="24">
        <f t="shared" si="95"/>
        <v>-270</v>
      </c>
      <c r="S23" s="24">
        <f t="shared" si="95"/>
        <v>-270</v>
      </c>
      <c r="T23" s="24">
        <f t="shared" si="95"/>
        <v>-270</v>
      </c>
      <c r="U23" s="24">
        <f t="shared" si="95"/>
        <v>-270</v>
      </c>
      <c r="V23" s="24">
        <f t="shared" si="95"/>
        <v>-270</v>
      </c>
      <c r="W23" s="24">
        <f t="shared" si="95"/>
        <v>-270</v>
      </c>
      <c r="X23" s="24">
        <f t="shared" si="95"/>
        <v>-270</v>
      </c>
      <c r="Y23" s="24">
        <f t="shared" si="95"/>
        <v>-270</v>
      </c>
      <c r="Z23" s="24">
        <f t="shared" si="95"/>
        <v>-270</v>
      </c>
      <c r="AA23" s="24">
        <f t="shared" si="95"/>
        <v>-270</v>
      </c>
      <c r="AB23" s="24">
        <f t="shared" si="95"/>
        <v>-270</v>
      </c>
      <c r="AC23" s="24">
        <f t="shared" si="95"/>
        <v>-270</v>
      </c>
      <c r="AD23" s="24">
        <f t="shared" si="95"/>
        <v>-270</v>
      </c>
      <c r="AE23" s="24">
        <v>-400</v>
      </c>
      <c r="AF23" s="24">
        <v>-400</v>
      </c>
      <c r="AG23" s="24">
        <v>-400</v>
      </c>
      <c r="AH23" s="24">
        <v>-440</v>
      </c>
      <c r="AI23" s="24">
        <v>-480</v>
      </c>
      <c r="AJ23" s="24">
        <v>-520</v>
      </c>
      <c r="AK23" s="24">
        <f>AJ23</f>
        <v>-520</v>
      </c>
      <c r="AL23" s="24">
        <f t="shared" ref="AL23:CC23" si="96">AK23</f>
        <v>-520</v>
      </c>
      <c r="AM23" s="24">
        <f t="shared" si="96"/>
        <v>-520</v>
      </c>
      <c r="AN23" s="24">
        <f t="shared" si="96"/>
        <v>-520</v>
      </c>
      <c r="AO23" s="24">
        <f t="shared" si="96"/>
        <v>-520</v>
      </c>
      <c r="AP23" s="24">
        <f t="shared" si="96"/>
        <v>-520</v>
      </c>
      <c r="AQ23" s="24">
        <f t="shared" si="96"/>
        <v>-520</v>
      </c>
      <c r="AR23" s="24">
        <f t="shared" si="96"/>
        <v>-520</v>
      </c>
      <c r="AS23" s="24">
        <f t="shared" si="96"/>
        <v>-520</v>
      </c>
      <c r="AT23" s="24">
        <f t="shared" si="96"/>
        <v>-520</v>
      </c>
      <c r="AU23" s="24">
        <f t="shared" si="96"/>
        <v>-520</v>
      </c>
      <c r="AV23" s="24">
        <f t="shared" si="96"/>
        <v>-520</v>
      </c>
      <c r="AW23" s="24">
        <f t="shared" si="96"/>
        <v>-520</v>
      </c>
      <c r="AX23" s="24">
        <f t="shared" si="96"/>
        <v>-520</v>
      </c>
      <c r="AY23" s="24">
        <f t="shared" si="96"/>
        <v>-520</v>
      </c>
      <c r="AZ23" s="24">
        <f t="shared" si="96"/>
        <v>-520</v>
      </c>
      <c r="BA23" s="24">
        <f t="shared" si="96"/>
        <v>-520</v>
      </c>
      <c r="BB23" s="24">
        <f t="shared" si="96"/>
        <v>-520</v>
      </c>
      <c r="BC23" s="24">
        <f t="shared" si="96"/>
        <v>-520</v>
      </c>
      <c r="BD23" s="24">
        <f t="shared" si="96"/>
        <v>-520</v>
      </c>
      <c r="BE23" s="24">
        <f t="shared" si="96"/>
        <v>-520</v>
      </c>
      <c r="BF23" s="24">
        <f t="shared" si="96"/>
        <v>-520</v>
      </c>
      <c r="BG23" s="24">
        <f t="shared" si="96"/>
        <v>-520</v>
      </c>
      <c r="BH23" s="24">
        <f t="shared" si="96"/>
        <v>-520</v>
      </c>
      <c r="BI23" s="24">
        <f t="shared" si="96"/>
        <v>-520</v>
      </c>
      <c r="BJ23" s="24">
        <f t="shared" si="96"/>
        <v>-520</v>
      </c>
      <c r="BK23" s="24">
        <f t="shared" si="96"/>
        <v>-520</v>
      </c>
      <c r="BL23" s="24">
        <f t="shared" si="96"/>
        <v>-520</v>
      </c>
      <c r="BM23" s="24">
        <f t="shared" si="96"/>
        <v>-520</v>
      </c>
      <c r="BN23" s="24">
        <f t="shared" si="96"/>
        <v>-520</v>
      </c>
      <c r="BO23" s="24">
        <f t="shared" si="96"/>
        <v>-520</v>
      </c>
      <c r="BP23" s="24">
        <f t="shared" si="96"/>
        <v>-520</v>
      </c>
      <c r="BQ23" s="24">
        <f t="shared" si="96"/>
        <v>-520</v>
      </c>
      <c r="BR23" s="24">
        <f t="shared" si="96"/>
        <v>-520</v>
      </c>
      <c r="BS23" s="24">
        <f t="shared" si="96"/>
        <v>-520</v>
      </c>
      <c r="BT23" s="24">
        <f t="shared" si="96"/>
        <v>-520</v>
      </c>
      <c r="BU23" s="24">
        <f t="shared" si="96"/>
        <v>-520</v>
      </c>
      <c r="BV23" s="24">
        <f t="shared" si="96"/>
        <v>-520</v>
      </c>
      <c r="BW23" s="24">
        <f t="shared" si="96"/>
        <v>-520</v>
      </c>
      <c r="BX23" s="24">
        <f t="shared" si="96"/>
        <v>-520</v>
      </c>
      <c r="BY23" s="24">
        <f t="shared" si="96"/>
        <v>-520</v>
      </c>
      <c r="BZ23" s="24">
        <f t="shared" si="96"/>
        <v>-520</v>
      </c>
      <c r="CA23" s="24">
        <f t="shared" si="96"/>
        <v>-520</v>
      </c>
      <c r="CB23" s="24">
        <f t="shared" si="96"/>
        <v>-520</v>
      </c>
      <c r="CC23" s="24">
        <f t="shared" si="96"/>
        <v>-520</v>
      </c>
    </row>
    <row r="24" spans="1:81" s="144" customFormat="1" ht="18" x14ac:dyDescent="0.55000000000000004">
      <c r="A24" s="193"/>
      <c r="B24" s="175" t="s">
        <v>143</v>
      </c>
      <c r="J24" s="168">
        <v>-900</v>
      </c>
    </row>
    <row r="25" spans="1:81" s="37" customFormat="1" ht="18" x14ac:dyDescent="0.55000000000000004">
      <c r="A25" s="190" t="s">
        <v>290</v>
      </c>
      <c r="B25" s="234">
        <f>SUM(D25:BZ28)</f>
        <v>11560</v>
      </c>
      <c r="Y25" s="37">
        <f t="shared" ref="Y25:AD25" si="97">$A$67</f>
        <v>700</v>
      </c>
      <c r="Z25" s="37">
        <f t="shared" si="97"/>
        <v>700</v>
      </c>
      <c r="AA25" s="37">
        <f t="shared" si="97"/>
        <v>700</v>
      </c>
      <c r="AB25" s="37">
        <f t="shared" si="97"/>
        <v>700</v>
      </c>
      <c r="AC25" s="37">
        <f t="shared" si="97"/>
        <v>700</v>
      </c>
      <c r="AD25" s="37">
        <f t="shared" si="97"/>
        <v>700</v>
      </c>
      <c r="AE25" s="37">
        <f>$A$67*1.1</f>
        <v>770.00000000000011</v>
      </c>
      <c r="AF25" s="37">
        <f>$A$67*1.1</f>
        <v>770.00000000000011</v>
      </c>
      <c r="AG25" s="37">
        <v>870</v>
      </c>
      <c r="AH25" s="37">
        <f>AG25</f>
        <v>870</v>
      </c>
      <c r="AI25" s="37">
        <f t="shared" ref="AI25:BZ25" si="98">AH25</f>
        <v>870</v>
      </c>
      <c r="AJ25" s="37">
        <f t="shared" si="98"/>
        <v>870</v>
      </c>
      <c r="AK25" s="37">
        <f t="shared" si="98"/>
        <v>870</v>
      </c>
      <c r="AL25" s="37">
        <f t="shared" si="98"/>
        <v>870</v>
      </c>
      <c r="AM25" s="37">
        <f t="shared" si="98"/>
        <v>870</v>
      </c>
      <c r="AN25" s="37">
        <f t="shared" si="98"/>
        <v>870</v>
      </c>
      <c r="AO25" s="37">
        <f t="shared" si="98"/>
        <v>870</v>
      </c>
      <c r="AP25" s="37">
        <f t="shared" si="98"/>
        <v>870</v>
      </c>
      <c r="AQ25" s="37">
        <f t="shared" si="98"/>
        <v>870</v>
      </c>
      <c r="AR25" s="37">
        <f t="shared" si="98"/>
        <v>870</v>
      </c>
      <c r="AS25" s="37">
        <f t="shared" si="98"/>
        <v>870</v>
      </c>
      <c r="AT25" s="37">
        <f t="shared" si="98"/>
        <v>870</v>
      </c>
      <c r="AU25" s="37">
        <f t="shared" si="98"/>
        <v>870</v>
      </c>
      <c r="AV25" s="37">
        <f t="shared" si="98"/>
        <v>870</v>
      </c>
      <c r="AW25" s="37">
        <f t="shared" si="98"/>
        <v>870</v>
      </c>
      <c r="AX25" s="37">
        <f t="shared" si="98"/>
        <v>870</v>
      </c>
      <c r="AY25" s="37">
        <f t="shared" si="98"/>
        <v>870</v>
      </c>
      <c r="AZ25" s="37">
        <f t="shared" si="98"/>
        <v>870</v>
      </c>
      <c r="BA25" s="37">
        <f t="shared" si="98"/>
        <v>870</v>
      </c>
      <c r="BB25" s="37">
        <f t="shared" si="98"/>
        <v>870</v>
      </c>
      <c r="BC25" s="37">
        <f t="shared" si="98"/>
        <v>870</v>
      </c>
      <c r="BD25" s="37">
        <f t="shared" si="98"/>
        <v>870</v>
      </c>
      <c r="BE25" s="37">
        <f t="shared" si="98"/>
        <v>870</v>
      </c>
      <c r="BF25" s="37">
        <f t="shared" si="98"/>
        <v>870</v>
      </c>
      <c r="BG25" s="37">
        <f t="shared" si="98"/>
        <v>870</v>
      </c>
      <c r="BH25" s="37">
        <f t="shared" si="98"/>
        <v>870</v>
      </c>
      <c r="BI25" s="37">
        <f t="shared" si="98"/>
        <v>870</v>
      </c>
      <c r="BJ25" s="37">
        <f t="shared" si="98"/>
        <v>870</v>
      </c>
      <c r="BK25" s="37">
        <f t="shared" si="98"/>
        <v>870</v>
      </c>
      <c r="BL25" s="37">
        <f t="shared" si="98"/>
        <v>870</v>
      </c>
      <c r="BM25" s="37">
        <f t="shared" si="98"/>
        <v>870</v>
      </c>
      <c r="BN25" s="37">
        <f t="shared" si="98"/>
        <v>870</v>
      </c>
      <c r="BO25" s="37">
        <f t="shared" si="98"/>
        <v>870</v>
      </c>
      <c r="BP25" s="37">
        <f t="shared" si="98"/>
        <v>870</v>
      </c>
      <c r="BQ25" s="37">
        <f t="shared" si="98"/>
        <v>870</v>
      </c>
      <c r="BR25" s="37">
        <f t="shared" si="98"/>
        <v>870</v>
      </c>
      <c r="BS25" s="37">
        <f t="shared" si="98"/>
        <v>870</v>
      </c>
      <c r="BT25" s="37">
        <f t="shared" si="98"/>
        <v>870</v>
      </c>
      <c r="BU25" s="37">
        <f t="shared" si="98"/>
        <v>870</v>
      </c>
      <c r="BV25" s="37">
        <f t="shared" si="98"/>
        <v>870</v>
      </c>
      <c r="BW25" s="37">
        <f t="shared" si="98"/>
        <v>870</v>
      </c>
      <c r="BX25" s="37">
        <f t="shared" si="98"/>
        <v>870</v>
      </c>
      <c r="BY25" s="37">
        <f t="shared" si="98"/>
        <v>870</v>
      </c>
      <c r="BZ25" s="37">
        <f t="shared" si="98"/>
        <v>870</v>
      </c>
      <c r="CA25" s="37">
        <f t="shared" ref="CA25" si="99">BZ25</f>
        <v>870</v>
      </c>
      <c r="CB25" s="37">
        <f t="shared" ref="CB25:CC25" si="100">CA25</f>
        <v>870</v>
      </c>
      <c r="CC25" s="37">
        <f t="shared" si="100"/>
        <v>870</v>
      </c>
    </row>
    <row r="26" spans="1:81" s="37" customFormat="1" ht="18" x14ac:dyDescent="0.55000000000000004">
      <c r="A26" s="190" t="s">
        <v>184</v>
      </c>
      <c r="B26" s="174" t="s">
        <v>339</v>
      </c>
      <c r="Y26" s="37">
        <f t="shared" ref="Y26:CC26" si="101">- $A$66</f>
        <v>-100</v>
      </c>
      <c r="Z26" s="37">
        <f t="shared" si="101"/>
        <v>-100</v>
      </c>
      <c r="AA26" s="37">
        <f t="shared" si="101"/>
        <v>-100</v>
      </c>
      <c r="AB26" s="37">
        <f t="shared" si="101"/>
        <v>-100</v>
      </c>
      <c r="AC26" s="37">
        <f t="shared" si="101"/>
        <v>-100</v>
      </c>
      <c r="AD26" s="37">
        <f t="shared" si="101"/>
        <v>-100</v>
      </c>
      <c r="AE26" s="37">
        <f t="shared" si="101"/>
        <v>-100</v>
      </c>
      <c r="AF26" s="37">
        <f t="shared" si="101"/>
        <v>-100</v>
      </c>
      <c r="AG26" s="37">
        <f t="shared" si="101"/>
        <v>-100</v>
      </c>
      <c r="AH26" s="37">
        <f t="shared" si="101"/>
        <v>-100</v>
      </c>
      <c r="AI26" s="37">
        <f t="shared" si="101"/>
        <v>-100</v>
      </c>
      <c r="AJ26" s="37">
        <f t="shared" si="101"/>
        <v>-100</v>
      </c>
      <c r="AK26" s="37">
        <f t="shared" si="101"/>
        <v>-100</v>
      </c>
      <c r="AL26" s="37">
        <f t="shared" si="101"/>
        <v>-100</v>
      </c>
      <c r="AM26" s="37">
        <f t="shared" si="101"/>
        <v>-100</v>
      </c>
      <c r="AN26" s="37">
        <f t="shared" si="101"/>
        <v>-100</v>
      </c>
      <c r="AO26" s="37">
        <f t="shared" si="101"/>
        <v>-100</v>
      </c>
      <c r="AP26" s="37">
        <f t="shared" si="101"/>
        <v>-100</v>
      </c>
      <c r="AQ26" s="37">
        <f t="shared" si="101"/>
        <v>-100</v>
      </c>
      <c r="AR26" s="37">
        <f t="shared" si="101"/>
        <v>-100</v>
      </c>
      <c r="AS26" s="37">
        <f t="shared" si="101"/>
        <v>-100</v>
      </c>
      <c r="AT26" s="37">
        <f t="shared" si="101"/>
        <v>-100</v>
      </c>
      <c r="AU26" s="37">
        <f t="shared" si="101"/>
        <v>-100</v>
      </c>
      <c r="AV26" s="37">
        <f t="shared" si="101"/>
        <v>-100</v>
      </c>
      <c r="AW26" s="37">
        <f t="shared" si="101"/>
        <v>-100</v>
      </c>
      <c r="AX26" s="37">
        <f t="shared" si="101"/>
        <v>-100</v>
      </c>
      <c r="AY26" s="37">
        <f t="shared" si="101"/>
        <v>-100</v>
      </c>
      <c r="AZ26" s="37">
        <f t="shared" si="101"/>
        <v>-100</v>
      </c>
      <c r="BA26" s="37">
        <f t="shared" si="101"/>
        <v>-100</v>
      </c>
      <c r="BB26" s="37">
        <f t="shared" si="101"/>
        <v>-100</v>
      </c>
      <c r="BC26" s="37">
        <f t="shared" si="101"/>
        <v>-100</v>
      </c>
      <c r="BD26" s="37">
        <f t="shared" si="101"/>
        <v>-100</v>
      </c>
      <c r="BE26" s="37">
        <f t="shared" si="101"/>
        <v>-100</v>
      </c>
      <c r="BF26" s="37">
        <f t="shared" si="101"/>
        <v>-100</v>
      </c>
      <c r="BG26" s="37">
        <f t="shared" si="101"/>
        <v>-100</v>
      </c>
      <c r="BH26" s="37">
        <f t="shared" si="101"/>
        <v>-100</v>
      </c>
      <c r="BI26" s="37">
        <f t="shared" si="101"/>
        <v>-100</v>
      </c>
      <c r="BJ26" s="37">
        <f t="shared" si="101"/>
        <v>-100</v>
      </c>
      <c r="BK26" s="37">
        <f t="shared" si="101"/>
        <v>-100</v>
      </c>
      <c r="BL26" s="37">
        <f t="shared" si="101"/>
        <v>-100</v>
      </c>
      <c r="BM26" s="37">
        <f t="shared" si="101"/>
        <v>-100</v>
      </c>
      <c r="BN26" s="37">
        <f t="shared" si="101"/>
        <v>-100</v>
      </c>
      <c r="BO26" s="37">
        <f t="shared" si="101"/>
        <v>-100</v>
      </c>
      <c r="BP26" s="37">
        <f t="shared" si="101"/>
        <v>-100</v>
      </c>
      <c r="BQ26" s="37">
        <f t="shared" si="101"/>
        <v>-100</v>
      </c>
      <c r="BR26" s="37">
        <f t="shared" si="101"/>
        <v>-100</v>
      </c>
      <c r="BS26" s="37">
        <f t="shared" si="101"/>
        <v>-100</v>
      </c>
      <c r="BT26" s="37">
        <f t="shared" si="101"/>
        <v>-100</v>
      </c>
      <c r="BU26" s="37">
        <f t="shared" si="101"/>
        <v>-100</v>
      </c>
      <c r="BV26" s="37">
        <f t="shared" si="101"/>
        <v>-100</v>
      </c>
      <c r="BW26" s="37">
        <f t="shared" si="101"/>
        <v>-100</v>
      </c>
      <c r="BX26" s="37">
        <f t="shared" si="101"/>
        <v>-100</v>
      </c>
      <c r="BY26" s="37">
        <f t="shared" si="101"/>
        <v>-100</v>
      </c>
      <c r="BZ26" s="37">
        <f t="shared" si="101"/>
        <v>-100</v>
      </c>
      <c r="CA26" s="37">
        <f t="shared" si="101"/>
        <v>-100</v>
      </c>
      <c r="CB26" s="37">
        <f t="shared" si="101"/>
        <v>-100</v>
      </c>
      <c r="CC26" s="37">
        <f t="shared" si="101"/>
        <v>-100</v>
      </c>
    </row>
    <row r="27" spans="1:81" s="37" customFormat="1" ht="18" x14ac:dyDescent="0.55000000000000004">
      <c r="A27" s="190" t="s">
        <v>146</v>
      </c>
      <c r="B27" s="174" t="s">
        <v>139</v>
      </c>
      <c r="Y27" s="37">
        <f t="shared" ref="Y27:AD27" si="102">-$A$60</f>
        <v>-270</v>
      </c>
      <c r="Z27" s="37">
        <f t="shared" si="102"/>
        <v>-270</v>
      </c>
      <c r="AA27" s="37">
        <f t="shared" si="102"/>
        <v>-270</v>
      </c>
      <c r="AB27" s="37">
        <f t="shared" si="102"/>
        <v>-270</v>
      </c>
      <c r="AC27" s="37">
        <f t="shared" si="102"/>
        <v>-270</v>
      </c>
      <c r="AD27" s="37">
        <f t="shared" si="102"/>
        <v>-270</v>
      </c>
      <c r="AE27" s="37">
        <v>-400</v>
      </c>
      <c r="AF27" s="37">
        <v>-400</v>
      </c>
      <c r="AG27" s="37">
        <v>-400</v>
      </c>
      <c r="AH27" s="37">
        <v>-440</v>
      </c>
      <c r="AI27" s="37">
        <v>-480</v>
      </c>
      <c r="AJ27" s="37">
        <v>-520</v>
      </c>
      <c r="AK27" s="37">
        <v>-520</v>
      </c>
      <c r="AL27" s="37">
        <v>-520</v>
      </c>
      <c r="AM27" s="37">
        <v>-520</v>
      </c>
      <c r="AN27" s="37">
        <v>-520</v>
      </c>
      <c r="AO27" s="37">
        <v>-520</v>
      </c>
      <c r="AP27" s="37">
        <v>-520</v>
      </c>
      <c r="AQ27" s="37">
        <v>-520</v>
      </c>
      <c r="AR27" s="37">
        <v>-520</v>
      </c>
      <c r="AS27" s="37">
        <v>-520</v>
      </c>
      <c r="AT27" s="37">
        <v>-520</v>
      </c>
      <c r="AU27" s="37">
        <v>-520</v>
      </c>
      <c r="AV27" s="37">
        <v>-520</v>
      </c>
      <c r="AW27" s="37">
        <v>-520</v>
      </c>
      <c r="AX27" s="37">
        <v>-520</v>
      </c>
      <c r="AY27" s="37">
        <v>-520</v>
      </c>
      <c r="AZ27" s="37">
        <v>-520</v>
      </c>
      <c r="BA27" s="37">
        <v>-520</v>
      </c>
      <c r="BB27" s="37">
        <v>-520</v>
      </c>
      <c r="BC27" s="37">
        <v>-520</v>
      </c>
      <c r="BD27" s="37">
        <v>-520</v>
      </c>
      <c r="BE27" s="37">
        <v>-520</v>
      </c>
      <c r="BF27" s="37">
        <v>-520</v>
      </c>
      <c r="BG27" s="37">
        <v>-520</v>
      </c>
      <c r="BH27" s="37">
        <v>-520</v>
      </c>
      <c r="BI27" s="37">
        <v>-520</v>
      </c>
      <c r="BJ27" s="37">
        <v>-520</v>
      </c>
      <c r="BK27" s="37">
        <v>-520</v>
      </c>
      <c r="BL27" s="37">
        <v>-520</v>
      </c>
      <c r="BM27" s="37">
        <v>-520</v>
      </c>
      <c r="BN27" s="37">
        <v>-520</v>
      </c>
      <c r="BO27" s="37">
        <v>-520</v>
      </c>
      <c r="BP27" s="37">
        <v>-520</v>
      </c>
      <c r="BQ27" s="37">
        <v>-520</v>
      </c>
      <c r="BR27" s="37">
        <v>-520</v>
      </c>
      <c r="BS27" s="37">
        <v>-520</v>
      </c>
      <c r="BT27" s="37">
        <v>-520</v>
      </c>
      <c r="BU27" s="37">
        <v>-520</v>
      </c>
      <c r="BV27" s="37">
        <f>BU27</f>
        <v>-520</v>
      </c>
      <c r="BW27" s="37">
        <f t="shared" ref="BW27:CC27" si="103">BV27</f>
        <v>-520</v>
      </c>
      <c r="BX27" s="37">
        <f t="shared" si="103"/>
        <v>-520</v>
      </c>
      <c r="BY27" s="37">
        <f t="shared" si="103"/>
        <v>-520</v>
      </c>
      <c r="BZ27" s="37">
        <f t="shared" si="103"/>
        <v>-520</v>
      </c>
      <c r="CA27" s="37">
        <f t="shared" si="103"/>
        <v>-520</v>
      </c>
      <c r="CB27" s="37">
        <f t="shared" si="103"/>
        <v>-520</v>
      </c>
      <c r="CC27" s="37">
        <f t="shared" si="103"/>
        <v>-520</v>
      </c>
    </row>
    <row r="28" spans="1:81" s="52" customFormat="1" ht="18" x14ac:dyDescent="0.55000000000000004">
      <c r="A28" s="193"/>
      <c r="B28" s="175" t="s">
        <v>328</v>
      </c>
      <c r="Y28" s="52">
        <v>-2700</v>
      </c>
    </row>
    <row r="29" spans="1:81" ht="36" x14ac:dyDescent="0.45">
      <c r="A29" s="194" t="s">
        <v>374</v>
      </c>
      <c r="B29" s="234">
        <f>SUM(D29:BZ32)</f>
        <v>7956</v>
      </c>
    </row>
    <row r="30" spans="1:81" ht="18" x14ac:dyDescent="0.55000000000000004">
      <c r="A30" s="190" t="s">
        <v>184</v>
      </c>
      <c r="B30" s="174" t="s">
        <v>164</v>
      </c>
      <c r="M30" s="24">
        <f t="shared" ref="M30:X30" si="104">(M11+M17+M21)*$A$62</f>
        <v>484</v>
      </c>
      <c r="N30" s="24">
        <f t="shared" si="104"/>
        <v>484</v>
      </c>
      <c r="O30" s="24">
        <f t="shared" si="104"/>
        <v>484</v>
      </c>
      <c r="P30" s="24">
        <f t="shared" si="104"/>
        <v>484</v>
      </c>
      <c r="Q30" s="24">
        <f t="shared" si="104"/>
        <v>484</v>
      </c>
      <c r="R30" s="24">
        <f t="shared" si="104"/>
        <v>484</v>
      </c>
      <c r="S30" s="24">
        <f t="shared" si="104"/>
        <v>484</v>
      </c>
      <c r="T30" s="24">
        <f t="shared" si="104"/>
        <v>484</v>
      </c>
      <c r="U30" s="24">
        <f t="shared" si="104"/>
        <v>484</v>
      </c>
      <c r="V30" s="24">
        <f t="shared" si="104"/>
        <v>484</v>
      </c>
      <c r="W30" s="24">
        <f t="shared" si="104"/>
        <v>484</v>
      </c>
      <c r="X30" s="24">
        <f t="shared" si="104"/>
        <v>484</v>
      </c>
      <c r="Y30" s="24">
        <f t="shared" ref="Y30:BD30" si="105">(Y11+Y17+Y21+Y25)*$A$62</f>
        <v>624</v>
      </c>
      <c r="Z30" s="24">
        <f t="shared" si="105"/>
        <v>624</v>
      </c>
      <c r="AA30" s="24">
        <f t="shared" si="105"/>
        <v>624</v>
      </c>
      <c r="AB30" s="24">
        <f t="shared" si="105"/>
        <v>624</v>
      </c>
      <c r="AC30" s="24">
        <f t="shared" si="105"/>
        <v>624</v>
      </c>
      <c r="AD30" s="24">
        <f t="shared" si="105"/>
        <v>624</v>
      </c>
      <c r="AE30" s="24">
        <f t="shared" si="105"/>
        <v>638</v>
      </c>
      <c r="AF30" s="24">
        <f t="shared" si="105"/>
        <v>638</v>
      </c>
      <c r="AG30" s="24">
        <f t="shared" si="105"/>
        <v>658</v>
      </c>
      <c r="AH30" s="24">
        <f t="shared" si="105"/>
        <v>658</v>
      </c>
      <c r="AI30" s="24">
        <f t="shared" si="105"/>
        <v>658</v>
      </c>
      <c r="AJ30" s="24">
        <f t="shared" si="105"/>
        <v>658</v>
      </c>
      <c r="AK30" s="24">
        <f t="shared" si="105"/>
        <v>658</v>
      </c>
      <c r="AL30" s="24">
        <f t="shared" si="105"/>
        <v>658</v>
      </c>
      <c r="AM30" s="24">
        <f t="shared" si="105"/>
        <v>658</v>
      </c>
      <c r="AN30" s="24">
        <f t="shared" si="105"/>
        <v>658</v>
      </c>
      <c r="AO30" s="24">
        <f t="shared" si="105"/>
        <v>658</v>
      </c>
      <c r="AP30" s="24">
        <f t="shared" si="105"/>
        <v>658</v>
      </c>
      <c r="AQ30" s="24">
        <f t="shared" si="105"/>
        <v>658</v>
      </c>
      <c r="AR30" s="24">
        <f t="shared" si="105"/>
        <v>658</v>
      </c>
      <c r="AS30" s="24">
        <f t="shared" si="105"/>
        <v>658</v>
      </c>
      <c r="AT30" s="24">
        <f t="shared" si="105"/>
        <v>658</v>
      </c>
      <c r="AU30" s="24">
        <f t="shared" si="105"/>
        <v>658</v>
      </c>
      <c r="AV30" s="24">
        <f t="shared" si="105"/>
        <v>658</v>
      </c>
      <c r="AW30" s="24">
        <f t="shared" si="105"/>
        <v>658</v>
      </c>
      <c r="AX30" s="24">
        <f t="shared" si="105"/>
        <v>658</v>
      </c>
      <c r="AY30" s="24">
        <f t="shared" si="105"/>
        <v>658</v>
      </c>
      <c r="AZ30" s="24">
        <f t="shared" si="105"/>
        <v>658</v>
      </c>
      <c r="BA30" s="24">
        <f t="shared" si="105"/>
        <v>658</v>
      </c>
      <c r="BB30" s="24">
        <f t="shared" si="105"/>
        <v>658</v>
      </c>
      <c r="BC30" s="24">
        <f t="shared" si="105"/>
        <v>658</v>
      </c>
      <c r="BD30" s="24">
        <f t="shared" si="105"/>
        <v>658</v>
      </c>
      <c r="BE30" s="24">
        <f t="shared" ref="BE30:BZ30" si="106">(BE11+BE17+BE21+BE25)*$A$62</f>
        <v>658</v>
      </c>
      <c r="BF30" s="24">
        <f t="shared" si="106"/>
        <v>658</v>
      </c>
      <c r="BG30" s="24">
        <f t="shared" si="106"/>
        <v>658</v>
      </c>
      <c r="BH30" s="24">
        <f t="shared" si="106"/>
        <v>658</v>
      </c>
      <c r="BI30" s="24">
        <f t="shared" si="106"/>
        <v>658</v>
      </c>
      <c r="BJ30" s="24">
        <f t="shared" si="106"/>
        <v>658</v>
      </c>
      <c r="BK30" s="24">
        <f t="shared" si="106"/>
        <v>658</v>
      </c>
      <c r="BL30" s="24">
        <f t="shared" si="106"/>
        <v>658</v>
      </c>
      <c r="BM30" s="24">
        <f t="shared" si="106"/>
        <v>658</v>
      </c>
      <c r="BN30" s="24">
        <f t="shared" si="106"/>
        <v>658</v>
      </c>
      <c r="BO30" s="24">
        <f t="shared" si="106"/>
        <v>658</v>
      </c>
      <c r="BP30" s="24">
        <f t="shared" si="106"/>
        <v>658</v>
      </c>
      <c r="BQ30" s="24">
        <f t="shared" si="106"/>
        <v>658</v>
      </c>
      <c r="BR30" s="24">
        <f t="shared" si="106"/>
        <v>658</v>
      </c>
      <c r="BS30" s="24">
        <f t="shared" si="106"/>
        <v>658</v>
      </c>
      <c r="BT30" s="24">
        <f t="shared" si="106"/>
        <v>658</v>
      </c>
      <c r="BU30" s="24">
        <f t="shared" si="106"/>
        <v>658</v>
      </c>
      <c r="BV30" s="24">
        <f t="shared" si="106"/>
        <v>658</v>
      </c>
      <c r="BW30" s="24">
        <f t="shared" si="106"/>
        <v>658</v>
      </c>
      <c r="BX30" s="24">
        <f t="shared" si="106"/>
        <v>658</v>
      </c>
      <c r="BY30" s="24">
        <f t="shared" si="106"/>
        <v>658</v>
      </c>
      <c r="BZ30" s="24">
        <f t="shared" si="106"/>
        <v>658</v>
      </c>
      <c r="CA30" s="24">
        <f>(CA11+CA17+CA21+CA25)*$A$72</f>
        <v>1316</v>
      </c>
      <c r="CB30" s="24">
        <f t="shared" ref="CB30:CC30" si="107">(CB11+CB17+CB21+CB25)*$A$62</f>
        <v>658</v>
      </c>
      <c r="CC30" s="24">
        <f t="shared" si="107"/>
        <v>658</v>
      </c>
    </row>
    <row r="31" spans="1:81" ht="18" x14ac:dyDescent="0.55000000000000004">
      <c r="A31" s="190" t="s">
        <v>146</v>
      </c>
      <c r="B31" s="174" t="s">
        <v>167</v>
      </c>
      <c r="M31" s="24">
        <f t="shared" ref="M31:AD31" si="108">-$A$64</f>
        <v>-350</v>
      </c>
      <c r="N31" s="24">
        <f t="shared" si="108"/>
        <v>-350</v>
      </c>
      <c r="O31" s="24">
        <f t="shared" si="108"/>
        <v>-350</v>
      </c>
      <c r="P31" s="24">
        <f t="shared" si="108"/>
        <v>-350</v>
      </c>
      <c r="Q31" s="24">
        <f t="shared" si="108"/>
        <v>-350</v>
      </c>
      <c r="R31" s="24">
        <f t="shared" si="108"/>
        <v>-350</v>
      </c>
      <c r="S31" s="24">
        <f t="shared" si="108"/>
        <v>-350</v>
      </c>
      <c r="T31" s="24">
        <f t="shared" si="108"/>
        <v>-350</v>
      </c>
      <c r="U31" s="24">
        <f t="shared" si="108"/>
        <v>-350</v>
      </c>
      <c r="V31" s="24">
        <f t="shared" si="108"/>
        <v>-350</v>
      </c>
      <c r="W31" s="24">
        <f t="shared" si="108"/>
        <v>-350</v>
      </c>
      <c r="X31" s="24">
        <f t="shared" si="108"/>
        <v>-350</v>
      </c>
      <c r="Y31" s="24">
        <f t="shared" si="108"/>
        <v>-350</v>
      </c>
      <c r="Z31" s="24">
        <f t="shared" si="108"/>
        <v>-350</v>
      </c>
      <c r="AA31" s="24">
        <f t="shared" si="108"/>
        <v>-350</v>
      </c>
      <c r="AB31" s="24">
        <f t="shared" si="108"/>
        <v>-350</v>
      </c>
      <c r="AC31" s="24">
        <f t="shared" si="108"/>
        <v>-350</v>
      </c>
      <c r="AD31" s="24">
        <f t="shared" si="108"/>
        <v>-350</v>
      </c>
      <c r="AE31" s="24">
        <v>-400</v>
      </c>
      <c r="AF31" s="24">
        <v>-400</v>
      </c>
      <c r="AG31" s="24">
        <v>-400</v>
      </c>
      <c r="AH31" s="24">
        <v>-420</v>
      </c>
      <c r="AI31" s="24">
        <v>-440</v>
      </c>
      <c r="AJ31" s="24">
        <v>-460</v>
      </c>
      <c r="AK31" s="24">
        <f>AJ31</f>
        <v>-460</v>
      </c>
      <c r="AL31" s="24">
        <f t="shared" ref="AL31:CC31" si="109">AK31</f>
        <v>-460</v>
      </c>
      <c r="AM31" s="24">
        <f t="shared" si="109"/>
        <v>-460</v>
      </c>
      <c r="AN31" s="24">
        <f t="shared" si="109"/>
        <v>-460</v>
      </c>
      <c r="AO31" s="24">
        <f t="shared" si="109"/>
        <v>-460</v>
      </c>
      <c r="AP31" s="24">
        <f t="shared" si="109"/>
        <v>-460</v>
      </c>
      <c r="AQ31" s="24">
        <f t="shared" si="109"/>
        <v>-460</v>
      </c>
      <c r="AR31" s="24">
        <f t="shared" si="109"/>
        <v>-460</v>
      </c>
      <c r="AS31" s="24">
        <f t="shared" si="109"/>
        <v>-460</v>
      </c>
      <c r="AT31" s="24">
        <f t="shared" si="109"/>
        <v>-460</v>
      </c>
      <c r="AU31" s="24">
        <f t="shared" si="109"/>
        <v>-460</v>
      </c>
      <c r="AV31" s="24">
        <f t="shared" si="109"/>
        <v>-460</v>
      </c>
      <c r="AW31" s="24">
        <f t="shared" si="109"/>
        <v>-460</v>
      </c>
      <c r="AX31" s="24">
        <f t="shared" si="109"/>
        <v>-460</v>
      </c>
      <c r="AY31" s="24">
        <f t="shared" si="109"/>
        <v>-460</v>
      </c>
      <c r="AZ31" s="24">
        <f t="shared" si="109"/>
        <v>-460</v>
      </c>
      <c r="BA31" s="24">
        <f t="shared" si="109"/>
        <v>-460</v>
      </c>
      <c r="BB31" s="24">
        <f t="shared" si="109"/>
        <v>-460</v>
      </c>
      <c r="BC31" s="24">
        <f t="shared" si="109"/>
        <v>-460</v>
      </c>
      <c r="BD31" s="24">
        <f t="shared" si="109"/>
        <v>-460</v>
      </c>
      <c r="BE31" s="24">
        <f t="shared" si="109"/>
        <v>-460</v>
      </c>
      <c r="BF31" s="24">
        <f t="shared" si="109"/>
        <v>-460</v>
      </c>
      <c r="BG31" s="24">
        <f t="shared" si="109"/>
        <v>-460</v>
      </c>
      <c r="BH31" s="24">
        <f t="shared" si="109"/>
        <v>-460</v>
      </c>
      <c r="BI31" s="24">
        <f t="shared" si="109"/>
        <v>-460</v>
      </c>
      <c r="BJ31" s="24">
        <f t="shared" si="109"/>
        <v>-460</v>
      </c>
      <c r="BK31" s="24">
        <f t="shared" si="109"/>
        <v>-460</v>
      </c>
      <c r="BL31" s="24">
        <f t="shared" si="109"/>
        <v>-460</v>
      </c>
      <c r="BM31" s="24">
        <f t="shared" si="109"/>
        <v>-460</v>
      </c>
      <c r="BN31" s="24">
        <f t="shared" si="109"/>
        <v>-460</v>
      </c>
      <c r="BO31" s="24">
        <f t="shared" si="109"/>
        <v>-460</v>
      </c>
      <c r="BP31" s="24">
        <f t="shared" si="109"/>
        <v>-460</v>
      </c>
      <c r="BQ31" s="24">
        <f t="shared" si="109"/>
        <v>-460</v>
      </c>
      <c r="BR31" s="24">
        <f t="shared" si="109"/>
        <v>-460</v>
      </c>
      <c r="BS31" s="24">
        <f t="shared" si="109"/>
        <v>-460</v>
      </c>
      <c r="BT31" s="24">
        <f t="shared" si="109"/>
        <v>-460</v>
      </c>
      <c r="BU31" s="24">
        <f t="shared" si="109"/>
        <v>-460</v>
      </c>
      <c r="BV31" s="24">
        <f t="shared" si="109"/>
        <v>-460</v>
      </c>
      <c r="BW31" s="24">
        <f t="shared" si="109"/>
        <v>-460</v>
      </c>
      <c r="BX31" s="24">
        <f t="shared" si="109"/>
        <v>-460</v>
      </c>
      <c r="BY31" s="24">
        <f t="shared" si="109"/>
        <v>-460</v>
      </c>
      <c r="BZ31" s="24">
        <f t="shared" si="109"/>
        <v>-460</v>
      </c>
      <c r="CA31" s="24">
        <f t="shared" si="109"/>
        <v>-460</v>
      </c>
      <c r="CB31" s="24">
        <f t="shared" si="109"/>
        <v>-460</v>
      </c>
      <c r="CC31" s="24">
        <f t="shared" si="109"/>
        <v>-460</v>
      </c>
    </row>
    <row r="32" spans="1:81" s="144" customFormat="1" ht="18" x14ac:dyDescent="0.55000000000000004">
      <c r="A32" s="193"/>
      <c r="B32" s="175" t="s">
        <v>168</v>
      </c>
      <c r="M32" s="168">
        <f>-A63</f>
        <v>-5000</v>
      </c>
    </row>
    <row r="33" spans="1:81" s="37" customFormat="1" ht="18" x14ac:dyDescent="0.55000000000000004">
      <c r="A33" s="190" t="s">
        <v>191</v>
      </c>
      <c r="B33" s="174"/>
    </row>
    <row r="34" spans="1:81" s="37" customFormat="1" ht="18" x14ac:dyDescent="0.55000000000000004">
      <c r="A34" s="190" t="s">
        <v>184</v>
      </c>
      <c r="B34" s="174" t="s">
        <v>181</v>
      </c>
      <c r="D34" s="37">
        <f t="shared" ref="D34:M35" si="110">-$A$65</f>
        <v>-25</v>
      </c>
      <c r="E34" s="37">
        <f t="shared" si="110"/>
        <v>-25</v>
      </c>
      <c r="F34" s="37">
        <f t="shared" si="110"/>
        <v>-25</v>
      </c>
      <c r="G34" s="37">
        <f t="shared" si="110"/>
        <v>-25</v>
      </c>
      <c r="H34" s="37">
        <f t="shared" si="110"/>
        <v>-25</v>
      </c>
      <c r="I34" s="37">
        <f t="shared" si="110"/>
        <v>-25</v>
      </c>
      <c r="J34" s="37">
        <f t="shared" si="110"/>
        <v>-25</v>
      </c>
      <c r="K34" s="37">
        <f t="shared" si="110"/>
        <v>-25</v>
      </c>
      <c r="L34" s="37">
        <f t="shared" si="110"/>
        <v>-25</v>
      </c>
      <c r="M34" s="37">
        <f t="shared" si="110"/>
        <v>-25</v>
      </c>
      <c r="N34" s="37">
        <f t="shared" ref="N34:W35" si="111">-$A$65</f>
        <v>-25</v>
      </c>
      <c r="O34" s="37">
        <f t="shared" si="111"/>
        <v>-25</v>
      </c>
      <c r="P34" s="37">
        <f t="shared" si="111"/>
        <v>-25</v>
      </c>
      <c r="Q34" s="37">
        <f t="shared" si="111"/>
        <v>-25</v>
      </c>
      <c r="R34" s="37">
        <f t="shared" si="111"/>
        <v>-25</v>
      </c>
      <c r="S34" s="37">
        <f t="shared" si="111"/>
        <v>-25</v>
      </c>
      <c r="T34" s="37">
        <f t="shared" si="111"/>
        <v>-25</v>
      </c>
      <c r="U34" s="37">
        <f t="shared" si="111"/>
        <v>-25</v>
      </c>
      <c r="V34" s="37">
        <f t="shared" si="111"/>
        <v>-25</v>
      </c>
      <c r="W34" s="37">
        <f t="shared" si="111"/>
        <v>-25</v>
      </c>
      <c r="X34" s="37">
        <f t="shared" ref="X34:AQ35" si="112">-$A$65</f>
        <v>-25</v>
      </c>
      <c r="Y34" s="37">
        <f t="shared" si="112"/>
        <v>-25</v>
      </c>
      <c r="Z34" s="37">
        <f t="shared" si="112"/>
        <v>-25</v>
      </c>
      <c r="AA34" s="37">
        <f t="shared" si="112"/>
        <v>-25</v>
      </c>
      <c r="AB34" s="37">
        <f t="shared" si="112"/>
        <v>-25</v>
      </c>
      <c r="AC34" s="37">
        <f t="shared" si="112"/>
        <v>-25</v>
      </c>
      <c r="AD34" s="37">
        <f t="shared" si="112"/>
        <v>-25</v>
      </c>
      <c r="AE34" s="37">
        <f t="shared" si="112"/>
        <v>-25</v>
      </c>
      <c r="AF34" s="37">
        <f t="shared" si="112"/>
        <v>-25</v>
      </c>
      <c r="AG34" s="37">
        <f t="shared" si="112"/>
        <v>-25</v>
      </c>
      <c r="AH34" s="37">
        <f t="shared" si="112"/>
        <v>-25</v>
      </c>
      <c r="AI34" s="37">
        <f t="shared" si="112"/>
        <v>-25</v>
      </c>
      <c r="AJ34" s="37">
        <f t="shared" si="112"/>
        <v>-25</v>
      </c>
      <c r="AK34" s="37">
        <f t="shared" si="112"/>
        <v>-25</v>
      </c>
      <c r="AL34" s="37">
        <f t="shared" si="112"/>
        <v>-25</v>
      </c>
      <c r="AM34" s="37">
        <f t="shared" si="112"/>
        <v>-25</v>
      </c>
      <c r="AN34" s="37">
        <f t="shared" si="112"/>
        <v>-25</v>
      </c>
      <c r="AO34" s="37">
        <f t="shared" si="112"/>
        <v>-25</v>
      </c>
      <c r="AP34" s="37">
        <f t="shared" ref="AO34:BD35" si="113">-$A$65</f>
        <v>-25</v>
      </c>
      <c r="AQ34" s="37">
        <f t="shared" si="112"/>
        <v>-25</v>
      </c>
      <c r="AR34" s="37">
        <f t="shared" si="113"/>
        <v>-25</v>
      </c>
      <c r="AS34" s="37">
        <f t="shared" si="113"/>
        <v>-25</v>
      </c>
      <c r="AT34" s="37">
        <f t="shared" si="113"/>
        <v>-25</v>
      </c>
      <c r="AU34" s="37">
        <f t="shared" si="113"/>
        <v>-25</v>
      </c>
      <c r="AV34" s="37">
        <f t="shared" si="113"/>
        <v>-25</v>
      </c>
      <c r="AW34" s="37">
        <f t="shared" si="113"/>
        <v>-25</v>
      </c>
      <c r="AX34" s="37">
        <f t="shared" si="113"/>
        <v>-25</v>
      </c>
      <c r="AY34" s="37">
        <f t="shared" si="113"/>
        <v>-25</v>
      </c>
      <c r="AZ34" s="37">
        <f t="shared" si="113"/>
        <v>-25</v>
      </c>
      <c r="BA34" s="37">
        <f t="shared" si="113"/>
        <v>-25</v>
      </c>
      <c r="BB34" s="37">
        <f t="shared" si="113"/>
        <v>-25</v>
      </c>
      <c r="BC34" s="37">
        <f t="shared" si="113"/>
        <v>-25</v>
      </c>
      <c r="BD34" s="37">
        <f t="shared" si="113"/>
        <v>-25</v>
      </c>
      <c r="BE34" s="37">
        <f t="shared" ref="AQ34:BX36" si="114">-$A$65</f>
        <v>-25</v>
      </c>
      <c r="BF34" s="37">
        <f t="shared" si="114"/>
        <v>-25</v>
      </c>
      <c r="BG34" s="37">
        <f t="shared" si="114"/>
        <v>-25</v>
      </c>
      <c r="BH34" s="37">
        <f t="shared" si="114"/>
        <v>-25</v>
      </c>
      <c r="BI34" s="37">
        <f t="shared" si="114"/>
        <v>-25</v>
      </c>
      <c r="BJ34" s="37">
        <f t="shared" si="114"/>
        <v>-25</v>
      </c>
      <c r="BK34" s="37">
        <f t="shared" si="114"/>
        <v>-25</v>
      </c>
      <c r="BL34" s="37">
        <f t="shared" si="114"/>
        <v>-25</v>
      </c>
      <c r="BM34" s="37">
        <f t="shared" si="114"/>
        <v>-25</v>
      </c>
      <c r="BN34" s="37">
        <f t="shared" si="114"/>
        <v>-25</v>
      </c>
      <c r="BO34" s="37">
        <f t="shared" si="114"/>
        <v>-25</v>
      </c>
      <c r="BP34" s="37">
        <f t="shared" si="114"/>
        <v>-25</v>
      </c>
      <c r="BQ34" s="37">
        <f t="shared" si="114"/>
        <v>-25</v>
      </c>
      <c r="BR34" s="37">
        <f t="shared" si="114"/>
        <v>-25</v>
      </c>
      <c r="BS34" s="37">
        <f t="shared" si="114"/>
        <v>-25</v>
      </c>
      <c r="BT34" s="37">
        <f t="shared" si="114"/>
        <v>-25</v>
      </c>
      <c r="BU34" s="37">
        <f t="shared" si="114"/>
        <v>-25</v>
      </c>
      <c r="BV34" s="37">
        <f t="shared" si="114"/>
        <v>-25</v>
      </c>
      <c r="BW34" s="37">
        <f t="shared" si="114"/>
        <v>-25</v>
      </c>
      <c r="BX34" s="37">
        <f t="shared" si="114"/>
        <v>-25</v>
      </c>
      <c r="BY34" s="37">
        <f t="shared" ref="BX34:CC36" si="115">-$A$65</f>
        <v>-25</v>
      </c>
      <c r="BZ34" s="37">
        <f t="shared" si="115"/>
        <v>-25</v>
      </c>
      <c r="CA34" s="37">
        <f t="shared" si="115"/>
        <v>-25</v>
      </c>
      <c r="CB34" s="37">
        <f t="shared" si="115"/>
        <v>-25</v>
      </c>
      <c r="CC34" s="37">
        <f t="shared" si="115"/>
        <v>-25</v>
      </c>
    </row>
    <row r="35" spans="1:81" s="37" customFormat="1" ht="18" x14ac:dyDescent="0.55000000000000004">
      <c r="A35" s="190" t="s">
        <v>184</v>
      </c>
      <c r="B35" s="174" t="s">
        <v>182</v>
      </c>
      <c r="D35" s="37">
        <f t="shared" si="110"/>
        <v>-25</v>
      </c>
      <c r="E35" s="37">
        <f t="shared" si="110"/>
        <v>-25</v>
      </c>
      <c r="F35" s="37">
        <f t="shared" si="110"/>
        <v>-25</v>
      </c>
      <c r="G35" s="37">
        <f t="shared" si="110"/>
        <v>-25</v>
      </c>
      <c r="H35" s="37">
        <f t="shared" si="110"/>
        <v>-25</v>
      </c>
      <c r="I35" s="37">
        <f t="shared" si="110"/>
        <v>-25</v>
      </c>
      <c r="J35" s="37">
        <f t="shared" si="110"/>
        <v>-25</v>
      </c>
      <c r="K35" s="37">
        <f t="shared" si="110"/>
        <v>-25</v>
      </c>
      <c r="L35" s="37">
        <f t="shared" si="110"/>
        <v>-25</v>
      </c>
      <c r="M35" s="37">
        <f t="shared" si="110"/>
        <v>-25</v>
      </c>
      <c r="N35" s="37">
        <f t="shared" si="111"/>
        <v>-25</v>
      </c>
      <c r="O35" s="37">
        <f t="shared" si="111"/>
        <v>-25</v>
      </c>
      <c r="P35" s="37">
        <f t="shared" si="111"/>
        <v>-25</v>
      </c>
      <c r="Q35" s="37">
        <f t="shared" si="111"/>
        <v>-25</v>
      </c>
      <c r="R35" s="37">
        <f t="shared" si="111"/>
        <v>-25</v>
      </c>
      <c r="S35" s="37">
        <f t="shared" si="111"/>
        <v>-25</v>
      </c>
      <c r="T35" s="37">
        <f t="shared" si="111"/>
        <v>-25</v>
      </c>
      <c r="U35" s="37">
        <f t="shared" si="111"/>
        <v>-25</v>
      </c>
      <c r="V35" s="37">
        <f t="shared" si="111"/>
        <v>-25</v>
      </c>
      <c r="W35" s="37">
        <f t="shared" si="111"/>
        <v>-25</v>
      </c>
      <c r="X35" s="37">
        <f t="shared" si="112"/>
        <v>-25</v>
      </c>
      <c r="Y35" s="37">
        <f t="shared" si="112"/>
        <v>-25</v>
      </c>
      <c r="Z35" s="37">
        <f t="shared" si="112"/>
        <v>-25</v>
      </c>
      <c r="AA35" s="37">
        <f t="shared" si="112"/>
        <v>-25</v>
      </c>
      <c r="AB35" s="37">
        <f t="shared" si="112"/>
        <v>-25</v>
      </c>
      <c r="AC35" s="37">
        <f t="shared" si="112"/>
        <v>-25</v>
      </c>
      <c r="AD35" s="37">
        <f t="shared" si="112"/>
        <v>-25</v>
      </c>
      <c r="AE35" s="37">
        <f t="shared" si="112"/>
        <v>-25</v>
      </c>
      <c r="AF35" s="37">
        <f t="shared" si="112"/>
        <v>-25</v>
      </c>
      <c r="AG35" s="37">
        <f t="shared" si="112"/>
        <v>-25</v>
      </c>
      <c r="AH35" s="37">
        <f t="shared" si="112"/>
        <v>-25</v>
      </c>
      <c r="AI35" s="37">
        <f t="shared" si="112"/>
        <v>-25</v>
      </c>
      <c r="AJ35" s="37">
        <f t="shared" si="112"/>
        <v>-25</v>
      </c>
      <c r="AK35" s="37">
        <f t="shared" si="112"/>
        <v>-25</v>
      </c>
      <c r="AL35" s="37">
        <f t="shared" si="112"/>
        <v>-25</v>
      </c>
      <c r="AM35" s="37">
        <f t="shared" si="112"/>
        <v>-25</v>
      </c>
      <c r="AN35" s="37">
        <f t="shared" si="112"/>
        <v>-25</v>
      </c>
      <c r="AO35" s="37">
        <f t="shared" si="113"/>
        <v>-25</v>
      </c>
      <c r="AP35" s="37">
        <f t="shared" si="113"/>
        <v>-25</v>
      </c>
      <c r="AQ35" s="37">
        <f t="shared" si="114"/>
        <v>-25</v>
      </c>
      <c r="AR35" s="37">
        <f t="shared" si="114"/>
        <v>-25</v>
      </c>
      <c r="AS35" s="37">
        <f t="shared" si="114"/>
        <v>-25</v>
      </c>
      <c r="AT35" s="37">
        <f t="shared" si="114"/>
        <v>-25</v>
      </c>
      <c r="AU35" s="37">
        <f t="shared" si="114"/>
        <v>-25</v>
      </c>
      <c r="AV35" s="37">
        <f t="shared" si="114"/>
        <v>-25</v>
      </c>
      <c r="AW35" s="37">
        <f t="shared" si="114"/>
        <v>-25</v>
      </c>
      <c r="AX35" s="37">
        <f t="shared" si="114"/>
        <v>-25</v>
      </c>
      <c r="AY35" s="37">
        <f t="shared" si="114"/>
        <v>-25</v>
      </c>
      <c r="AZ35" s="37">
        <f t="shared" si="114"/>
        <v>-25</v>
      </c>
      <c r="BA35" s="37">
        <f t="shared" si="114"/>
        <v>-25</v>
      </c>
      <c r="BB35" s="37">
        <f t="shared" si="114"/>
        <v>-25</v>
      </c>
      <c r="BC35" s="37">
        <f t="shared" si="114"/>
        <v>-25</v>
      </c>
      <c r="BD35" s="37">
        <f t="shared" si="114"/>
        <v>-25</v>
      </c>
      <c r="BE35" s="37">
        <f t="shared" si="114"/>
        <v>-25</v>
      </c>
      <c r="BF35" s="37">
        <f t="shared" si="114"/>
        <v>-25</v>
      </c>
      <c r="BG35" s="37">
        <f t="shared" si="114"/>
        <v>-25</v>
      </c>
      <c r="BH35" s="37">
        <f t="shared" si="114"/>
        <v>-25</v>
      </c>
      <c r="BI35" s="37">
        <f t="shared" si="114"/>
        <v>-25</v>
      </c>
      <c r="BJ35" s="37">
        <f t="shared" si="114"/>
        <v>-25</v>
      </c>
      <c r="BK35" s="37">
        <f t="shared" si="114"/>
        <v>-25</v>
      </c>
      <c r="BL35" s="37">
        <f t="shared" si="114"/>
        <v>-25</v>
      </c>
      <c r="BM35" s="37">
        <f t="shared" si="114"/>
        <v>-25</v>
      </c>
      <c r="BN35" s="37">
        <f t="shared" si="114"/>
        <v>-25</v>
      </c>
      <c r="BO35" s="37">
        <f t="shared" si="114"/>
        <v>-25</v>
      </c>
      <c r="BP35" s="37">
        <f t="shared" si="114"/>
        <v>-25</v>
      </c>
      <c r="BQ35" s="37">
        <f t="shared" si="114"/>
        <v>-25</v>
      </c>
      <c r="BR35" s="37">
        <f t="shared" si="114"/>
        <v>-25</v>
      </c>
      <c r="BS35" s="37">
        <f t="shared" si="114"/>
        <v>-25</v>
      </c>
      <c r="BT35" s="37">
        <f t="shared" si="114"/>
        <v>-25</v>
      </c>
      <c r="BU35" s="37">
        <f t="shared" si="114"/>
        <v>-25</v>
      </c>
      <c r="BV35" s="37">
        <f t="shared" si="114"/>
        <v>-25</v>
      </c>
      <c r="BW35" s="37">
        <f t="shared" si="114"/>
        <v>-25</v>
      </c>
      <c r="BX35" s="37">
        <f t="shared" si="115"/>
        <v>-25</v>
      </c>
      <c r="BY35" s="37">
        <f t="shared" si="115"/>
        <v>-25</v>
      </c>
      <c r="BZ35" s="37">
        <f t="shared" si="115"/>
        <v>-25</v>
      </c>
      <c r="CA35" s="37">
        <f t="shared" si="115"/>
        <v>-25</v>
      </c>
      <c r="CB35" s="37">
        <f t="shared" si="115"/>
        <v>-25</v>
      </c>
      <c r="CC35" s="37">
        <f t="shared" si="115"/>
        <v>-25</v>
      </c>
    </row>
    <row r="36" spans="1:81" s="52" customFormat="1" ht="18" x14ac:dyDescent="0.55000000000000004">
      <c r="A36" s="193" t="s">
        <v>184</v>
      </c>
      <c r="B36" s="175" t="s">
        <v>183</v>
      </c>
      <c r="G36" s="52">
        <f t="shared" ref="G36:BR36" si="116">-$A$65</f>
        <v>-25</v>
      </c>
      <c r="H36" s="52">
        <f t="shared" si="116"/>
        <v>-25</v>
      </c>
      <c r="I36" s="52">
        <f t="shared" si="116"/>
        <v>-25</v>
      </c>
      <c r="J36" s="52">
        <f t="shared" si="116"/>
        <v>-25</v>
      </c>
      <c r="K36" s="52">
        <f t="shared" si="116"/>
        <v>-25</v>
      </c>
      <c r="L36" s="52">
        <f t="shared" si="116"/>
        <v>-25</v>
      </c>
      <c r="M36" s="52">
        <f t="shared" si="116"/>
        <v>-25</v>
      </c>
      <c r="N36" s="52">
        <f t="shared" si="116"/>
        <v>-25</v>
      </c>
      <c r="O36" s="52">
        <f t="shared" si="116"/>
        <v>-25</v>
      </c>
      <c r="P36" s="52">
        <f t="shared" si="116"/>
        <v>-25</v>
      </c>
      <c r="Q36" s="52">
        <f t="shared" si="116"/>
        <v>-25</v>
      </c>
      <c r="R36" s="52">
        <f t="shared" si="116"/>
        <v>-25</v>
      </c>
      <c r="S36" s="52">
        <f t="shared" si="116"/>
        <v>-25</v>
      </c>
      <c r="T36" s="52">
        <f t="shared" si="116"/>
        <v>-25</v>
      </c>
      <c r="U36" s="52">
        <f t="shared" si="116"/>
        <v>-25</v>
      </c>
      <c r="V36" s="52">
        <f t="shared" si="116"/>
        <v>-25</v>
      </c>
      <c r="W36" s="52">
        <f t="shared" si="116"/>
        <v>-25</v>
      </c>
      <c r="X36" s="52">
        <f t="shared" si="116"/>
        <v>-25</v>
      </c>
      <c r="Y36" s="52">
        <f t="shared" si="116"/>
        <v>-25</v>
      </c>
      <c r="Z36" s="52">
        <f t="shared" si="116"/>
        <v>-25</v>
      </c>
      <c r="AA36" s="52">
        <f t="shared" si="116"/>
        <v>-25</v>
      </c>
      <c r="AB36" s="52">
        <f t="shared" si="116"/>
        <v>-25</v>
      </c>
      <c r="AC36" s="52">
        <f t="shared" si="116"/>
        <v>-25</v>
      </c>
      <c r="AD36" s="52">
        <f t="shared" si="116"/>
        <v>-25</v>
      </c>
      <c r="AE36" s="52">
        <f t="shared" si="116"/>
        <v>-25</v>
      </c>
      <c r="AF36" s="52">
        <f t="shared" si="116"/>
        <v>-25</v>
      </c>
      <c r="AG36" s="52">
        <f t="shared" si="116"/>
        <v>-25</v>
      </c>
      <c r="AH36" s="52">
        <f t="shared" si="116"/>
        <v>-25</v>
      </c>
      <c r="AI36" s="52">
        <f t="shared" si="116"/>
        <v>-25</v>
      </c>
      <c r="AJ36" s="52">
        <f t="shared" si="116"/>
        <v>-25</v>
      </c>
      <c r="AK36" s="52">
        <f t="shared" si="116"/>
        <v>-25</v>
      </c>
      <c r="AL36" s="52">
        <f t="shared" si="116"/>
        <v>-25</v>
      </c>
      <c r="AM36" s="52">
        <f t="shared" si="116"/>
        <v>-25</v>
      </c>
      <c r="AN36" s="52">
        <f t="shared" si="116"/>
        <v>-25</v>
      </c>
      <c r="AO36" s="52">
        <f t="shared" si="116"/>
        <v>-25</v>
      </c>
      <c r="AP36" s="52">
        <f t="shared" si="116"/>
        <v>-25</v>
      </c>
      <c r="AQ36" s="52">
        <f t="shared" si="116"/>
        <v>-25</v>
      </c>
      <c r="AR36" s="52">
        <f t="shared" si="116"/>
        <v>-25</v>
      </c>
      <c r="AS36" s="52">
        <f t="shared" si="116"/>
        <v>-25</v>
      </c>
      <c r="AT36" s="52">
        <f t="shared" si="116"/>
        <v>-25</v>
      </c>
      <c r="AU36" s="52">
        <f t="shared" si="116"/>
        <v>-25</v>
      </c>
      <c r="AV36" s="52">
        <f t="shared" si="116"/>
        <v>-25</v>
      </c>
      <c r="AW36" s="52">
        <f t="shared" si="116"/>
        <v>-25</v>
      </c>
      <c r="AX36" s="52">
        <f t="shared" si="116"/>
        <v>-25</v>
      </c>
      <c r="AY36" s="52">
        <f t="shared" si="116"/>
        <v>-25</v>
      </c>
      <c r="AZ36" s="52">
        <f t="shared" si="116"/>
        <v>-25</v>
      </c>
      <c r="BA36" s="52">
        <f t="shared" si="116"/>
        <v>-25</v>
      </c>
      <c r="BB36" s="52">
        <f t="shared" si="116"/>
        <v>-25</v>
      </c>
      <c r="BC36" s="52">
        <f t="shared" si="116"/>
        <v>-25</v>
      </c>
      <c r="BD36" s="52">
        <f t="shared" si="116"/>
        <v>-25</v>
      </c>
      <c r="BE36" s="52">
        <f t="shared" si="116"/>
        <v>-25</v>
      </c>
      <c r="BF36" s="52">
        <f t="shared" si="116"/>
        <v>-25</v>
      </c>
      <c r="BG36" s="52">
        <f t="shared" si="116"/>
        <v>-25</v>
      </c>
      <c r="BH36" s="52">
        <f t="shared" si="116"/>
        <v>-25</v>
      </c>
      <c r="BI36" s="52">
        <f t="shared" si="116"/>
        <v>-25</v>
      </c>
      <c r="BJ36" s="52">
        <f t="shared" si="116"/>
        <v>-25</v>
      </c>
      <c r="BK36" s="52">
        <f t="shared" si="116"/>
        <v>-25</v>
      </c>
      <c r="BL36" s="52">
        <f t="shared" si="116"/>
        <v>-25</v>
      </c>
      <c r="BM36" s="52">
        <f t="shared" si="116"/>
        <v>-25</v>
      </c>
      <c r="BN36" s="52">
        <f t="shared" si="116"/>
        <v>-25</v>
      </c>
      <c r="BO36" s="52">
        <f t="shared" si="116"/>
        <v>-25</v>
      </c>
      <c r="BP36" s="52">
        <f t="shared" si="116"/>
        <v>-25</v>
      </c>
      <c r="BQ36" s="52">
        <f t="shared" si="116"/>
        <v>-25</v>
      </c>
      <c r="BR36" s="52">
        <f t="shared" si="116"/>
        <v>-25</v>
      </c>
      <c r="BS36" s="52">
        <f t="shared" si="114"/>
        <v>-25</v>
      </c>
      <c r="BT36" s="52">
        <f t="shared" si="114"/>
        <v>-25</v>
      </c>
      <c r="BU36" s="52">
        <f t="shared" si="114"/>
        <v>-25</v>
      </c>
      <c r="BV36" s="52">
        <f t="shared" si="114"/>
        <v>-25</v>
      </c>
      <c r="BW36" s="52">
        <f t="shared" si="114"/>
        <v>-25</v>
      </c>
      <c r="BX36" s="52">
        <f t="shared" si="115"/>
        <v>-25</v>
      </c>
      <c r="BY36" s="52">
        <f t="shared" si="115"/>
        <v>-25</v>
      </c>
      <c r="BZ36" s="52">
        <f t="shared" si="115"/>
        <v>-25</v>
      </c>
      <c r="CA36" s="52">
        <f t="shared" si="115"/>
        <v>-25</v>
      </c>
      <c r="CB36" s="52">
        <f t="shared" si="115"/>
        <v>-25</v>
      </c>
      <c r="CC36" s="52">
        <f t="shared" si="115"/>
        <v>-25</v>
      </c>
    </row>
    <row r="37" spans="1:81" s="52" customFormat="1" ht="18" x14ac:dyDescent="0.55000000000000004">
      <c r="A37" s="190" t="s">
        <v>147</v>
      </c>
      <c r="B37" s="174" t="s">
        <v>393</v>
      </c>
    </row>
    <row r="38" spans="1:81" s="52" customFormat="1" ht="18" x14ac:dyDescent="0.55000000000000004">
      <c r="A38" s="190" t="s">
        <v>147</v>
      </c>
      <c r="B38" s="175" t="s">
        <v>394</v>
      </c>
    </row>
    <row r="39" spans="1:81" s="144" customFormat="1" ht="18" x14ac:dyDescent="0.55000000000000004">
      <c r="A39" s="195" t="s">
        <v>287</v>
      </c>
      <c r="B39" s="181"/>
      <c r="D39" s="144">
        <f t="shared" ref="D39:AI39" si="117">-SUMIF(D11:D32, "&gt;=0")*$A$69</f>
        <v>-33</v>
      </c>
      <c r="E39" s="144">
        <f t="shared" si="117"/>
        <v>-33</v>
      </c>
      <c r="F39" s="144">
        <f t="shared" si="117"/>
        <v>-33</v>
      </c>
      <c r="G39" s="144">
        <f t="shared" si="117"/>
        <v>-52.8</v>
      </c>
      <c r="H39" s="144">
        <f t="shared" si="117"/>
        <v>-52.8</v>
      </c>
      <c r="I39" s="144">
        <f t="shared" si="117"/>
        <v>-52.8</v>
      </c>
      <c r="J39" s="144">
        <f t="shared" si="117"/>
        <v>-72.599999999999994</v>
      </c>
      <c r="K39" s="144">
        <f t="shared" si="117"/>
        <v>-72.599999999999994</v>
      </c>
      <c r="L39" s="144">
        <f t="shared" si="117"/>
        <v>-72.599999999999994</v>
      </c>
      <c r="M39" s="144">
        <f t="shared" si="117"/>
        <v>-87.11999999999999</v>
      </c>
      <c r="N39" s="144">
        <f t="shared" si="117"/>
        <v>-87.11999999999999</v>
      </c>
      <c r="O39" s="144">
        <f t="shared" si="117"/>
        <v>-87.11999999999999</v>
      </c>
      <c r="P39" s="144">
        <f t="shared" si="117"/>
        <v>-87.11999999999999</v>
      </c>
      <c r="Q39" s="144">
        <f t="shared" si="117"/>
        <v>-87.11999999999999</v>
      </c>
      <c r="R39" s="144">
        <f t="shared" si="117"/>
        <v>-87.11999999999999</v>
      </c>
      <c r="S39" s="144">
        <f t="shared" si="117"/>
        <v>-106.92</v>
      </c>
      <c r="T39" s="144">
        <f t="shared" si="117"/>
        <v>-106.92</v>
      </c>
      <c r="U39" s="144">
        <f t="shared" si="117"/>
        <v>-106.92</v>
      </c>
      <c r="V39" s="144">
        <f t="shared" si="117"/>
        <v>-106.92</v>
      </c>
      <c r="W39" s="144">
        <f t="shared" si="117"/>
        <v>-106.92</v>
      </c>
      <c r="X39" s="144">
        <f t="shared" si="117"/>
        <v>-106.92</v>
      </c>
      <c r="Y39" s="144">
        <f t="shared" si="117"/>
        <v>-132.12</v>
      </c>
      <c r="Z39" s="144">
        <f t="shared" si="117"/>
        <v>-132.12</v>
      </c>
      <c r="AA39" s="144">
        <f t="shared" si="117"/>
        <v>-132.12</v>
      </c>
      <c r="AB39" s="144">
        <f t="shared" si="117"/>
        <v>-132.12</v>
      </c>
      <c r="AC39" s="144">
        <f t="shared" si="117"/>
        <v>-132.12</v>
      </c>
      <c r="AD39" s="144">
        <f t="shared" si="117"/>
        <v>-132.12</v>
      </c>
      <c r="AE39" s="144">
        <f t="shared" si="117"/>
        <v>-134.63999999999999</v>
      </c>
      <c r="AF39" s="144">
        <f t="shared" si="117"/>
        <v>-134.63999999999999</v>
      </c>
      <c r="AG39" s="144">
        <f t="shared" si="117"/>
        <v>-138.24</v>
      </c>
      <c r="AH39" s="144">
        <f t="shared" si="117"/>
        <v>-138.24</v>
      </c>
      <c r="AI39" s="144">
        <f t="shared" si="117"/>
        <v>-138.24</v>
      </c>
      <c r="AJ39" s="144">
        <f t="shared" ref="AJ39:BO39" si="118">-SUMIF(AJ11:AJ32, "&gt;=0")*$A$69</f>
        <v>-138.24</v>
      </c>
      <c r="AK39" s="144">
        <f t="shared" si="118"/>
        <v>-138.24</v>
      </c>
      <c r="AL39" s="144">
        <f t="shared" si="118"/>
        <v>-138.24</v>
      </c>
      <c r="AM39" s="144">
        <f t="shared" si="118"/>
        <v>-138.24</v>
      </c>
      <c r="AN39" s="144">
        <f t="shared" si="118"/>
        <v>-138.24</v>
      </c>
      <c r="AO39" s="144">
        <f t="shared" si="118"/>
        <v>-138.24</v>
      </c>
      <c r="AP39" s="144">
        <f t="shared" si="118"/>
        <v>-138.24</v>
      </c>
      <c r="AQ39" s="144">
        <f t="shared" si="118"/>
        <v>-138.24</v>
      </c>
      <c r="AR39" s="144">
        <f t="shared" si="118"/>
        <v>-138.24</v>
      </c>
      <c r="AS39" s="144">
        <f t="shared" si="118"/>
        <v>-138.24</v>
      </c>
      <c r="AT39" s="144">
        <f t="shared" si="118"/>
        <v>-138.24</v>
      </c>
      <c r="AU39" s="144">
        <f t="shared" si="118"/>
        <v>-138.24</v>
      </c>
      <c r="AV39" s="144">
        <f t="shared" si="118"/>
        <v>-138.24</v>
      </c>
      <c r="AW39" s="144">
        <f t="shared" si="118"/>
        <v>-138.24</v>
      </c>
      <c r="AX39" s="144">
        <f t="shared" si="118"/>
        <v>-138.24</v>
      </c>
      <c r="AY39" s="144">
        <f t="shared" si="118"/>
        <v>-138.24</v>
      </c>
      <c r="AZ39" s="144">
        <f t="shared" si="118"/>
        <v>-138.24</v>
      </c>
      <c r="BA39" s="144">
        <f t="shared" si="118"/>
        <v>-138.24</v>
      </c>
      <c r="BB39" s="144">
        <f t="shared" si="118"/>
        <v>-138.24</v>
      </c>
      <c r="BC39" s="144">
        <f t="shared" si="118"/>
        <v>-138.24</v>
      </c>
      <c r="BD39" s="144">
        <f t="shared" si="118"/>
        <v>-138.24</v>
      </c>
      <c r="BE39" s="144">
        <f t="shared" si="118"/>
        <v>-138.24</v>
      </c>
      <c r="BF39" s="144">
        <f t="shared" si="118"/>
        <v>-138.24</v>
      </c>
      <c r="BG39" s="144">
        <f t="shared" si="118"/>
        <v>-138.24</v>
      </c>
      <c r="BH39" s="144">
        <f t="shared" si="118"/>
        <v>-138.24</v>
      </c>
      <c r="BI39" s="144">
        <f t="shared" si="118"/>
        <v>-138.24</v>
      </c>
      <c r="BJ39" s="144">
        <f t="shared" si="118"/>
        <v>-138.24</v>
      </c>
      <c r="BK39" s="144">
        <f t="shared" si="118"/>
        <v>-138.24</v>
      </c>
      <c r="BL39" s="144">
        <f t="shared" si="118"/>
        <v>-138.24</v>
      </c>
      <c r="BM39" s="144">
        <f t="shared" si="118"/>
        <v>-138.24</v>
      </c>
      <c r="BN39" s="144">
        <f t="shared" si="118"/>
        <v>-138.24</v>
      </c>
      <c r="BO39" s="144">
        <f t="shared" si="118"/>
        <v>-138.24</v>
      </c>
      <c r="BP39" s="144">
        <f t="shared" ref="BP39:BZ39" si="119">-SUMIF(BP11:BP32, "&gt;=0")*$A$69</f>
        <v>-138.24</v>
      </c>
      <c r="BQ39" s="144">
        <f t="shared" si="119"/>
        <v>-138.24</v>
      </c>
      <c r="BR39" s="144">
        <f t="shared" si="119"/>
        <v>-138.24</v>
      </c>
      <c r="BS39" s="144">
        <f t="shared" si="119"/>
        <v>-138.24</v>
      </c>
      <c r="BT39" s="144">
        <f t="shared" si="119"/>
        <v>-138.24</v>
      </c>
      <c r="BU39" s="144">
        <f t="shared" si="119"/>
        <v>-138.24</v>
      </c>
      <c r="BV39" s="144">
        <f t="shared" si="119"/>
        <v>-138.24</v>
      </c>
      <c r="BW39" s="144">
        <f t="shared" si="119"/>
        <v>-138.24</v>
      </c>
      <c r="BX39" s="144">
        <f t="shared" si="119"/>
        <v>-138.24</v>
      </c>
      <c r="BY39" s="144">
        <f t="shared" si="119"/>
        <v>-138.24</v>
      </c>
      <c r="BZ39" s="144">
        <f t="shared" si="119"/>
        <v>-138.24</v>
      </c>
      <c r="CA39" s="144">
        <f t="shared" ref="CA39:CC39" si="120">-SUMIF(CA11:CA32, "&gt;=0")*$A$69</f>
        <v>-138.18</v>
      </c>
      <c r="CB39" s="144">
        <f t="shared" si="120"/>
        <v>-118.44</v>
      </c>
      <c r="CC39" s="144">
        <f t="shared" si="120"/>
        <v>-118.44</v>
      </c>
    </row>
    <row r="40" spans="1:81" ht="18" x14ac:dyDescent="0.55000000000000004">
      <c r="A40" s="233"/>
      <c r="B40" s="148"/>
    </row>
    <row r="41" spans="1:81" ht="18" x14ac:dyDescent="0.55000000000000004">
      <c r="A41" s="233"/>
      <c r="B41" s="148"/>
      <c r="BZ41" s="24" t="s">
        <v>437</v>
      </c>
      <c r="CA41" s="24">
        <f>1200</f>
        <v>1200</v>
      </c>
      <c r="CB41" s="24">
        <f>1200</f>
        <v>1200</v>
      </c>
      <c r="CC41" s="24">
        <f>1200</f>
        <v>1200</v>
      </c>
    </row>
    <row r="42" spans="1:81" ht="18" x14ac:dyDescent="0.55000000000000004">
      <c r="A42" s="233"/>
      <c r="B42" s="148"/>
    </row>
    <row r="43" spans="1:81" ht="18" x14ac:dyDescent="0.55000000000000004">
      <c r="A43" s="233"/>
      <c r="B43" s="148"/>
      <c r="BZ43" s="24">
        <v>150</v>
      </c>
    </row>
    <row r="44" spans="1:81" ht="18" x14ac:dyDescent="0.55000000000000004">
      <c r="A44" s="233"/>
      <c r="B44" s="148"/>
      <c r="BZ44" s="24">
        <v>100</v>
      </c>
      <c r="CA44" s="24">
        <v>100</v>
      </c>
      <c r="CB44" s="24">
        <v>100</v>
      </c>
      <c r="CC44" s="24">
        <v>100</v>
      </c>
    </row>
    <row r="45" spans="1:81" x14ac:dyDescent="0.45">
      <c r="A45" s="23"/>
      <c r="B45" s="176"/>
    </row>
    <row r="46" spans="1:81" ht="14.65" thickBot="1" x14ac:dyDescent="0.5">
      <c r="B46" s="153"/>
    </row>
    <row r="47" spans="1:81" ht="29.65" thickBot="1" x14ac:dyDescent="0.6">
      <c r="A47" s="196" t="str" cm="1">
        <f t="array" ref="A47">SUM(COUNTIF(A11:A36, {"📜","👤"})) &amp; "/13 Permessi"</f>
        <v>13/13 Permessi</v>
      </c>
      <c r="C47" s="25" t="s">
        <v>119</v>
      </c>
      <c r="L47" s="24" t="s">
        <v>204</v>
      </c>
      <c r="S47" s="24" t="s">
        <v>227</v>
      </c>
      <c r="V47" s="24" t="s">
        <v>263</v>
      </c>
      <c r="AB47" s="24" t="s">
        <v>303</v>
      </c>
      <c r="AJ47" s="24" t="s">
        <v>396</v>
      </c>
      <c r="AK47" s="24">
        <v>-100</v>
      </c>
      <c r="BW47" s="24" t="s">
        <v>426</v>
      </c>
      <c r="BX47" s="24">
        <v>-3800</v>
      </c>
      <c r="BZ47" s="24" t="s">
        <v>427</v>
      </c>
    </row>
    <row r="48" spans="1:81" x14ac:dyDescent="0.45">
      <c r="C48" s="24">
        <v>5000</v>
      </c>
      <c r="L48" s="24">
        <v>-400</v>
      </c>
      <c r="S48" s="24">
        <v>-500</v>
      </c>
      <c r="V48" s="24">
        <v>-500</v>
      </c>
      <c r="X48" s="24" t="s">
        <v>305</v>
      </c>
      <c r="Y48" s="24">
        <v>-830</v>
      </c>
      <c r="Z48" s="24">
        <v>-830</v>
      </c>
      <c r="AA48" s="24">
        <v>-830</v>
      </c>
      <c r="AB48" s="24">
        <v>-100</v>
      </c>
      <c r="AD48" s="24" t="s">
        <v>271</v>
      </c>
      <c r="AE48" s="24">
        <v>300</v>
      </c>
      <c r="AG48" s="24" t="s">
        <v>364</v>
      </c>
      <c r="AH48" s="24">
        <v>5</v>
      </c>
      <c r="AL48" s="115" t="s">
        <v>397</v>
      </c>
      <c r="AM48" s="24">
        <v>50</v>
      </c>
      <c r="AN48" s="24">
        <v>50</v>
      </c>
      <c r="BZ48" s="24" t="s">
        <v>428</v>
      </c>
    </row>
    <row r="49" spans="1:79" x14ac:dyDescent="0.45">
      <c r="AK49" s="24" t="s">
        <v>398</v>
      </c>
      <c r="AL49" s="24">
        <v>-100</v>
      </c>
      <c r="AM49" s="24">
        <v>-100</v>
      </c>
      <c r="AN49" s="24">
        <v>-100</v>
      </c>
      <c r="AP49" s="24" t="s">
        <v>408</v>
      </c>
      <c r="AQ49" s="24">
        <v>-5000</v>
      </c>
      <c r="BX49" s="24">
        <v>5000</v>
      </c>
      <c r="BZ49" s="24" t="s">
        <v>429</v>
      </c>
      <c r="CA49" s="24" t="s">
        <v>368</v>
      </c>
    </row>
    <row r="50" spans="1:79" ht="57" x14ac:dyDescent="0.45">
      <c r="C50" s="24" t="s">
        <v>110</v>
      </c>
      <c r="D50" s="24" t="s">
        <v>114</v>
      </c>
      <c r="J50" s="24" t="s">
        <v>200</v>
      </c>
      <c r="M50" s="25" t="s">
        <v>206</v>
      </c>
      <c r="P50" s="24" t="s">
        <v>215</v>
      </c>
      <c r="Y50" s="24" t="s">
        <v>289</v>
      </c>
      <c r="AD50" s="24" t="s">
        <v>340</v>
      </c>
      <c r="AE50" s="24">
        <v>-200</v>
      </c>
      <c r="AF50" s="24">
        <v>-200</v>
      </c>
      <c r="AG50" s="24">
        <v>-150</v>
      </c>
      <c r="AH50" s="24">
        <v>-200</v>
      </c>
      <c r="AI50" s="24">
        <v>-200</v>
      </c>
      <c r="AJ50" s="24">
        <v>-200</v>
      </c>
      <c r="AO50" s="24" t="s">
        <v>403</v>
      </c>
      <c r="BX50" s="24" t="s">
        <v>409</v>
      </c>
      <c r="BZ50" s="24" t="s">
        <v>430</v>
      </c>
      <c r="CA50" s="24">
        <v>-6.66</v>
      </c>
    </row>
    <row r="51" spans="1:79" x14ac:dyDescent="0.45">
      <c r="C51" s="109">
        <v>-230</v>
      </c>
      <c r="D51" s="109">
        <v>-500</v>
      </c>
      <c r="J51" s="24">
        <v>-1000</v>
      </c>
      <c r="M51" s="109">
        <v>-120</v>
      </c>
      <c r="P51" s="24">
        <v>-100</v>
      </c>
      <c r="Y51" s="24">
        <v>-200</v>
      </c>
      <c r="AP51" s="24" t="s">
        <v>410</v>
      </c>
      <c r="AQ51" s="24">
        <v>-100</v>
      </c>
    </row>
    <row r="52" spans="1:79" x14ac:dyDescent="0.45">
      <c r="BY52" s="24" t="s">
        <v>431</v>
      </c>
      <c r="BZ52" s="24">
        <f>-12000*0.8</f>
        <v>-9600</v>
      </c>
      <c r="CA52" s="24" t="s">
        <v>436</v>
      </c>
    </row>
    <row r="53" spans="1:79" ht="28.5" x14ac:dyDescent="0.45">
      <c r="D53" s="24" t="s">
        <v>118</v>
      </c>
      <c r="J53" s="25" t="s">
        <v>207</v>
      </c>
      <c r="K53" s="25" t="s">
        <v>207</v>
      </c>
      <c r="M53" s="24" t="s">
        <v>205</v>
      </c>
      <c r="X53" s="24" t="s">
        <v>304</v>
      </c>
      <c r="Y53" s="24">
        <f t="shared" ref="Y53:AA53" si="121">-27500/9</f>
        <v>-3055.5555555555557</v>
      </c>
      <c r="Z53" s="24">
        <f t="shared" si="121"/>
        <v>-3055.5555555555557</v>
      </c>
      <c r="AA53" s="24">
        <f t="shared" si="121"/>
        <v>-3055.5555555555557</v>
      </c>
      <c r="AB53" s="24">
        <f>-27500/9</f>
        <v>-3055.5555555555557</v>
      </c>
      <c r="AC53" s="24">
        <f t="shared" ref="AC53:AG53" si="122">-27500/9</f>
        <v>-3055.5555555555557</v>
      </c>
      <c r="AD53" s="24">
        <f t="shared" si="122"/>
        <v>-3055.5555555555557</v>
      </c>
      <c r="AE53" s="24">
        <f>-27500/9</f>
        <v>-3055.5555555555557</v>
      </c>
      <c r="AF53" s="24">
        <f t="shared" si="122"/>
        <v>-3055.5555555555557</v>
      </c>
      <c r="AG53" s="24">
        <f t="shared" si="122"/>
        <v>-3055.5555555555557</v>
      </c>
      <c r="AH53" s="24" t="s">
        <v>365</v>
      </c>
      <c r="AI53" s="24">
        <v>-300</v>
      </c>
      <c r="BY53" s="24" t="s">
        <v>432</v>
      </c>
      <c r="BZ53" s="24">
        <v>-3000</v>
      </c>
      <c r="CA53" s="24">
        <v>-1200</v>
      </c>
    </row>
    <row r="54" spans="1:79" x14ac:dyDescent="0.45">
      <c r="J54" s="25"/>
      <c r="K54" s="25"/>
      <c r="BY54" s="24" t="s">
        <v>433</v>
      </c>
      <c r="BZ54" s="24">
        <v>-11000</v>
      </c>
    </row>
    <row r="55" spans="1:79" x14ac:dyDescent="0.45">
      <c r="D55" s="24">
        <v>-60</v>
      </c>
      <c r="J55" s="24">
        <f>1000</f>
        <v>1000</v>
      </c>
      <c r="K55" s="24">
        <f>1000</f>
        <v>1000</v>
      </c>
      <c r="M55" s="24">
        <v>300</v>
      </c>
      <c r="AH55" s="24" t="s">
        <v>366</v>
      </c>
      <c r="AI55" s="24">
        <v>-100</v>
      </c>
      <c r="BY55" s="24" t="s">
        <v>432</v>
      </c>
      <c r="BZ55" s="24">
        <v>-2000</v>
      </c>
    </row>
    <row r="56" spans="1:79" x14ac:dyDescent="0.45">
      <c r="AI56" s="24" t="s">
        <v>367</v>
      </c>
      <c r="AJ56" s="24">
        <v>50</v>
      </c>
      <c r="CA56" s="24" t="s">
        <v>438</v>
      </c>
    </row>
    <row r="57" spans="1:79" x14ac:dyDescent="0.45">
      <c r="CA57" s="24">
        <v>-7000</v>
      </c>
    </row>
    <row r="58" spans="1:79" s="144" customFormat="1" x14ac:dyDescent="0.45">
      <c r="A58" s="65"/>
      <c r="B58" s="147"/>
    </row>
    <row r="59" spans="1:79" x14ac:dyDescent="0.45">
      <c r="A59" s="23">
        <v>1100</v>
      </c>
      <c r="B59" s="154" t="s">
        <v>163</v>
      </c>
    </row>
    <row r="60" spans="1:79" x14ac:dyDescent="0.45">
      <c r="A60" s="23">
        <v>270</v>
      </c>
      <c r="B60" s="154" t="s">
        <v>166</v>
      </c>
    </row>
    <row r="61" spans="1:79" x14ac:dyDescent="0.45">
      <c r="A61" s="35">
        <v>0.6</v>
      </c>
      <c r="B61" s="154" t="s">
        <v>224</v>
      </c>
    </row>
    <row r="62" spans="1:79" x14ac:dyDescent="0.45">
      <c r="A62" s="235">
        <v>0.2</v>
      </c>
      <c r="B62" s="151" t="s">
        <v>210</v>
      </c>
    </row>
    <row r="63" spans="1:79" x14ac:dyDescent="0.45">
      <c r="A63" s="23">
        <v>5000</v>
      </c>
      <c r="B63" s="154" t="s">
        <v>209</v>
      </c>
    </row>
    <row r="64" spans="1:79" x14ac:dyDescent="0.45">
      <c r="A64" s="23">
        <v>350</v>
      </c>
      <c r="B64" s="154" t="s">
        <v>165</v>
      </c>
    </row>
    <row r="65" spans="1:2" x14ac:dyDescent="0.45">
      <c r="A65" s="23">
        <v>25</v>
      </c>
      <c r="B65" s="154" t="s">
        <v>157</v>
      </c>
    </row>
    <row r="66" spans="1:2" x14ac:dyDescent="0.45">
      <c r="A66" s="23">
        <v>100</v>
      </c>
      <c r="B66" s="154" t="s">
        <v>188</v>
      </c>
    </row>
    <row r="67" spans="1:2" x14ac:dyDescent="0.45">
      <c r="A67" s="57">
        <v>700</v>
      </c>
      <c r="B67" s="154" t="s">
        <v>291</v>
      </c>
    </row>
    <row r="69" spans="1:2" x14ac:dyDescent="0.45">
      <c r="A69" s="35">
        <v>0.03</v>
      </c>
      <c r="B69" s="154" t="s">
        <v>326</v>
      </c>
    </row>
    <row r="70" spans="1:2" x14ac:dyDescent="0.45">
      <c r="A70" s="23"/>
    </row>
    <row r="72" spans="1:2" x14ac:dyDescent="0.45">
      <c r="A72" s="235">
        <v>0.4</v>
      </c>
      <c r="B72" s="151" t="s">
        <v>316</v>
      </c>
    </row>
    <row r="73" spans="1:2" x14ac:dyDescent="0.45">
      <c r="A73" s="2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D05E-D41D-42C4-AA2C-48F451855ACD}">
  <sheetPr>
    <tabColor rgb="FF00B0F0"/>
  </sheetPr>
  <dimension ref="A1:CV94"/>
  <sheetViews>
    <sheetView topLeftCell="B1" workbookViewId="0">
      <selection activeCell="B5" sqref="B5"/>
    </sheetView>
  </sheetViews>
  <sheetFormatPr defaultColWidth="10.9296875" defaultRowHeight="14.25" x14ac:dyDescent="0.45"/>
  <cols>
    <col min="1" max="1" width="1.796875" style="36" customWidth="1"/>
    <col min="2" max="2" width="10.3984375" style="36" bestFit="1" customWidth="1"/>
    <col min="3" max="4" width="3.3984375" style="36" customWidth="1"/>
    <col min="5" max="5" width="4.73046875" style="57" bestFit="1" customWidth="1"/>
    <col min="6" max="6" width="43.6640625" style="23" bestFit="1" customWidth="1"/>
    <col min="7" max="16384" width="10.9296875" style="24"/>
  </cols>
  <sheetData>
    <row r="1" spans="1:100" s="22" customFormat="1" ht="21.4" thickBot="1" x14ac:dyDescent="0.7">
      <c r="A1" s="33"/>
      <c r="B1" s="33"/>
      <c r="C1" s="59"/>
      <c r="D1" s="59"/>
      <c r="E1" s="64"/>
      <c r="F1" s="108" t="s">
        <v>127</v>
      </c>
      <c r="G1" s="100"/>
      <c r="H1" s="102" t="s">
        <v>98</v>
      </c>
      <c r="I1" s="102" t="s">
        <v>99</v>
      </c>
      <c r="J1" s="102" t="s">
        <v>100</v>
      </c>
      <c r="K1" s="103" t="s">
        <v>101</v>
      </c>
      <c r="L1" s="103" t="s">
        <v>102</v>
      </c>
      <c r="M1" s="103" t="s">
        <v>103</v>
      </c>
      <c r="N1" s="104" t="s">
        <v>104</v>
      </c>
      <c r="O1" s="104" t="s">
        <v>105</v>
      </c>
      <c r="P1" s="104" t="s">
        <v>106</v>
      </c>
      <c r="Q1" s="105" t="s">
        <v>107</v>
      </c>
      <c r="R1" s="105" t="s">
        <v>108</v>
      </c>
      <c r="S1" s="105" t="s">
        <v>109</v>
      </c>
      <c r="T1" s="102" t="s">
        <v>98</v>
      </c>
      <c r="U1" s="102" t="s">
        <v>99</v>
      </c>
      <c r="V1" s="102" t="s">
        <v>100</v>
      </c>
      <c r="W1" s="103" t="s">
        <v>101</v>
      </c>
      <c r="X1" s="103" t="s">
        <v>102</v>
      </c>
      <c r="Y1" s="103" t="s">
        <v>103</v>
      </c>
      <c r="Z1" s="104" t="s">
        <v>104</v>
      </c>
      <c r="AA1" s="104" t="s">
        <v>105</v>
      </c>
      <c r="AB1" s="104" t="s">
        <v>106</v>
      </c>
      <c r="AC1" s="105" t="s">
        <v>107</v>
      </c>
      <c r="AD1" s="105" t="s">
        <v>108</v>
      </c>
      <c r="AE1" s="105" t="s">
        <v>109</v>
      </c>
      <c r="AF1" s="102" t="s">
        <v>98</v>
      </c>
      <c r="AG1" s="102" t="s">
        <v>99</v>
      </c>
      <c r="AH1" s="102" t="s">
        <v>100</v>
      </c>
      <c r="AI1" s="103" t="s">
        <v>101</v>
      </c>
      <c r="AJ1" s="103" t="s">
        <v>102</v>
      </c>
      <c r="AK1" s="103" t="s">
        <v>103</v>
      </c>
      <c r="AL1" s="104" t="s">
        <v>104</v>
      </c>
      <c r="AM1" s="104" t="s">
        <v>105</v>
      </c>
      <c r="AN1" s="104" t="s">
        <v>106</v>
      </c>
      <c r="AO1" s="105" t="s">
        <v>107</v>
      </c>
      <c r="AP1" s="105" t="s">
        <v>108</v>
      </c>
      <c r="AQ1" s="105" t="s">
        <v>109</v>
      </c>
      <c r="AR1" s="102" t="s">
        <v>98</v>
      </c>
      <c r="AS1" s="102" t="s">
        <v>99</v>
      </c>
      <c r="AT1" s="102" t="s">
        <v>100</v>
      </c>
      <c r="AU1" s="103" t="s">
        <v>101</v>
      </c>
      <c r="AV1" s="103" t="s">
        <v>102</v>
      </c>
      <c r="AW1" s="103" t="s">
        <v>103</v>
      </c>
      <c r="AX1" s="104" t="s">
        <v>104</v>
      </c>
      <c r="AY1" s="104" t="s">
        <v>105</v>
      </c>
      <c r="AZ1" s="104" t="s">
        <v>106</v>
      </c>
      <c r="BA1" s="105" t="s">
        <v>107</v>
      </c>
      <c r="BB1" s="105" t="s">
        <v>108</v>
      </c>
      <c r="BC1" s="105" t="s">
        <v>109</v>
      </c>
      <c r="BD1" s="102" t="s">
        <v>98</v>
      </c>
      <c r="BE1" s="102" t="s">
        <v>99</v>
      </c>
      <c r="BF1" s="102" t="s">
        <v>100</v>
      </c>
      <c r="BG1" s="103" t="s">
        <v>101</v>
      </c>
      <c r="BH1" s="103" t="s">
        <v>102</v>
      </c>
      <c r="BI1" s="103" t="s">
        <v>103</v>
      </c>
      <c r="BJ1" s="104" t="s">
        <v>104</v>
      </c>
      <c r="BK1" s="104" t="s">
        <v>105</v>
      </c>
      <c r="BL1" s="104" t="s">
        <v>106</v>
      </c>
      <c r="BM1" s="105" t="s">
        <v>107</v>
      </c>
      <c r="BN1" s="105" t="s">
        <v>108</v>
      </c>
      <c r="BO1" s="105" t="s">
        <v>109</v>
      </c>
      <c r="BP1" s="102" t="s">
        <v>98</v>
      </c>
      <c r="BQ1" s="102" t="s">
        <v>99</v>
      </c>
      <c r="BR1" s="102" t="s">
        <v>100</v>
      </c>
      <c r="BS1" s="103" t="s">
        <v>101</v>
      </c>
      <c r="BT1" s="103" t="s">
        <v>102</v>
      </c>
      <c r="BU1" s="103" t="s">
        <v>103</v>
      </c>
      <c r="BV1" s="104" t="s">
        <v>104</v>
      </c>
      <c r="BW1" s="104" t="s">
        <v>105</v>
      </c>
      <c r="BX1" s="104" t="s">
        <v>106</v>
      </c>
      <c r="BY1" s="105" t="s">
        <v>107</v>
      </c>
      <c r="BZ1" s="105" t="s">
        <v>108</v>
      </c>
      <c r="CA1" s="105" t="s">
        <v>109</v>
      </c>
      <c r="CB1" s="102" t="s">
        <v>98</v>
      </c>
      <c r="CC1" s="102" t="s">
        <v>99</v>
      </c>
      <c r="CD1" s="102" t="s">
        <v>100</v>
      </c>
      <c r="CE1" s="103" t="s">
        <v>101</v>
      </c>
      <c r="CF1" s="103" t="s">
        <v>102</v>
      </c>
      <c r="CG1" s="103" t="s">
        <v>103</v>
      </c>
      <c r="CH1" s="104" t="s">
        <v>104</v>
      </c>
      <c r="CI1" s="104" t="s">
        <v>105</v>
      </c>
      <c r="CJ1" s="104" t="s">
        <v>106</v>
      </c>
      <c r="CK1" s="105" t="s">
        <v>107</v>
      </c>
      <c r="CL1" s="105" t="s">
        <v>108</v>
      </c>
      <c r="CM1" s="105" t="s">
        <v>109</v>
      </c>
      <c r="CN1" s="102" t="s">
        <v>98</v>
      </c>
      <c r="CO1" s="102" t="s">
        <v>99</v>
      </c>
      <c r="CP1" s="102" t="s">
        <v>100</v>
      </c>
      <c r="CQ1" s="103" t="s">
        <v>101</v>
      </c>
      <c r="CR1" s="103" t="s">
        <v>102</v>
      </c>
      <c r="CS1" s="103" t="s">
        <v>103</v>
      </c>
      <c r="CT1" s="104" t="s">
        <v>104</v>
      </c>
      <c r="CU1" s="104" t="s">
        <v>105</v>
      </c>
      <c r="CV1" s="104" t="s">
        <v>106</v>
      </c>
    </row>
    <row r="2" spans="1:100" s="36" customFormat="1" x14ac:dyDescent="0.45">
      <c r="E2" s="57"/>
      <c r="F2" s="97" t="s">
        <v>1</v>
      </c>
      <c r="H2" s="36">
        <v>1532</v>
      </c>
      <c r="I2" s="36">
        <f t="shared" ref="I2:AN2" si="0">H2+IF(I1="Gennaio",1,0)</f>
        <v>1532</v>
      </c>
      <c r="J2" s="36">
        <f t="shared" si="0"/>
        <v>1532</v>
      </c>
      <c r="K2" s="36">
        <f t="shared" si="0"/>
        <v>1532</v>
      </c>
      <c r="L2" s="36">
        <f t="shared" si="0"/>
        <v>1532</v>
      </c>
      <c r="M2" s="36">
        <f t="shared" si="0"/>
        <v>1532</v>
      </c>
      <c r="N2" s="36">
        <f t="shared" si="0"/>
        <v>1532</v>
      </c>
      <c r="O2" s="36">
        <f t="shared" si="0"/>
        <v>1532</v>
      </c>
      <c r="P2" s="36">
        <f t="shared" si="0"/>
        <v>1532</v>
      </c>
      <c r="Q2" s="36">
        <f t="shared" si="0"/>
        <v>1533</v>
      </c>
      <c r="R2" s="36">
        <f t="shared" si="0"/>
        <v>1533</v>
      </c>
      <c r="S2" s="36">
        <f t="shared" si="0"/>
        <v>1533</v>
      </c>
      <c r="T2" s="36">
        <f t="shared" si="0"/>
        <v>1533</v>
      </c>
      <c r="U2" s="36">
        <f t="shared" si="0"/>
        <v>1533</v>
      </c>
      <c r="V2" s="36">
        <f t="shared" si="0"/>
        <v>1533</v>
      </c>
      <c r="W2" s="36">
        <f t="shared" si="0"/>
        <v>1533</v>
      </c>
      <c r="X2" s="36">
        <f t="shared" si="0"/>
        <v>1533</v>
      </c>
      <c r="Y2" s="36">
        <f t="shared" si="0"/>
        <v>1533</v>
      </c>
      <c r="Z2" s="36">
        <f t="shared" si="0"/>
        <v>1533</v>
      </c>
      <c r="AA2" s="36">
        <f t="shared" si="0"/>
        <v>1533</v>
      </c>
      <c r="AB2" s="36">
        <f t="shared" si="0"/>
        <v>1533</v>
      </c>
      <c r="AC2" s="36">
        <f t="shared" si="0"/>
        <v>1534</v>
      </c>
      <c r="AD2" s="36">
        <f t="shared" si="0"/>
        <v>1534</v>
      </c>
      <c r="AE2" s="36">
        <f t="shared" si="0"/>
        <v>1534</v>
      </c>
      <c r="AF2" s="36">
        <f t="shared" si="0"/>
        <v>1534</v>
      </c>
      <c r="AG2" s="36">
        <f t="shared" si="0"/>
        <v>1534</v>
      </c>
      <c r="AH2" s="36">
        <f t="shared" si="0"/>
        <v>1534</v>
      </c>
      <c r="AI2" s="36">
        <f t="shared" si="0"/>
        <v>1534</v>
      </c>
      <c r="AJ2" s="36">
        <f t="shared" si="0"/>
        <v>1534</v>
      </c>
      <c r="AK2" s="36">
        <f t="shared" si="0"/>
        <v>1534</v>
      </c>
      <c r="AL2" s="36">
        <f t="shared" si="0"/>
        <v>1534</v>
      </c>
      <c r="AM2" s="36">
        <f t="shared" si="0"/>
        <v>1534</v>
      </c>
      <c r="AN2" s="36">
        <f t="shared" si="0"/>
        <v>1534</v>
      </c>
      <c r="AO2" s="36">
        <f t="shared" ref="AO2:BT2" si="1">AN2+IF(AO1="Gennaio",1,0)</f>
        <v>1535</v>
      </c>
      <c r="AP2" s="36">
        <f t="shared" si="1"/>
        <v>1535</v>
      </c>
      <c r="AQ2" s="36">
        <f t="shared" si="1"/>
        <v>1535</v>
      </c>
      <c r="AR2" s="36">
        <f t="shared" si="1"/>
        <v>1535</v>
      </c>
      <c r="AS2" s="36">
        <f t="shared" si="1"/>
        <v>1535</v>
      </c>
      <c r="AT2" s="36">
        <f t="shared" si="1"/>
        <v>1535</v>
      </c>
      <c r="AU2" s="36">
        <f t="shared" si="1"/>
        <v>1535</v>
      </c>
      <c r="AV2" s="36">
        <f t="shared" si="1"/>
        <v>1535</v>
      </c>
      <c r="AW2" s="36">
        <f t="shared" si="1"/>
        <v>1535</v>
      </c>
      <c r="AX2" s="36">
        <f t="shared" si="1"/>
        <v>1535</v>
      </c>
      <c r="AY2" s="36">
        <f t="shared" si="1"/>
        <v>1535</v>
      </c>
      <c r="AZ2" s="36">
        <f t="shared" si="1"/>
        <v>1535</v>
      </c>
      <c r="BA2" s="36">
        <f t="shared" si="1"/>
        <v>1536</v>
      </c>
      <c r="BB2" s="36">
        <f t="shared" si="1"/>
        <v>1536</v>
      </c>
      <c r="BC2" s="36">
        <f t="shared" si="1"/>
        <v>1536</v>
      </c>
      <c r="BD2" s="36">
        <f t="shared" si="1"/>
        <v>1536</v>
      </c>
      <c r="BE2" s="36">
        <f t="shared" si="1"/>
        <v>1536</v>
      </c>
      <c r="BF2" s="36">
        <f t="shared" si="1"/>
        <v>1536</v>
      </c>
      <c r="BG2" s="36">
        <f t="shared" si="1"/>
        <v>1536</v>
      </c>
      <c r="BH2" s="36">
        <f t="shared" si="1"/>
        <v>1536</v>
      </c>
      <c r="BI2" s="36">
        <f t="shared" si="1"/>
        <v>1536</v>
      </c>
      <c r="BJ2" s="36">
        <f t="shared" si="1"/>
        <v>1536</v>
      </c>
      <c r="BK2" s="36">
        <f t="shared" si="1"/>
        <v>1536</v>
      </c>
      <c r="BL2" s="36">
        <f t="shared" si="1"/>
        <v>1536</v>
      </c>
      <c r="BM2" s="36">
        <f t="shared" si="1"/>
        <v>1537</v>
      </c>
      <c r="BN2" s="36">
        <f t="shared" si="1"/>
        <v>1537</v>
      </c>
      <c r="BO2" s="36">
        <f t="shared" si="1"/>
        <v>1537</v>
      </c>
      <c r="BP2" s="36">
        <f t="shared" si="1"/>
        <v>1537</v>
      </c>
      <c r="BQ2" s="36">
        <f t="shared" si="1"/>
        <v>1537</v>
      </c>
      <c r="BR2" s="36">
        <f t="shared" si="1"/>
        <v>1537</v>
      </c>
      <c r="BS2" s="36">
        <f t="shared" si="1"/>
        <v>1537</v>
      </c>
      <c r="BT2" s="36">
        <f t="shared" si="1"/>
        <v>1537</v>
      </c>
      <c r="BU2" s="36">
        <f t="shared" ref="BU2:CV2" si="2">BT2+IF(BU1="Gennaio",1,0)</f>
        <v>1537</v>
      </c>
      <c r="BV2" s="36">
        <f t="shared" si="2"/>
        <v>1537</v>
      </c>
      <c r="BW2" s="36">
        <f t="shared" si="2"/>
        <v>1537</v>
      </c>
      <c r="BX2" s="36">
        <f t="shared" si="2"/>
        <v>1537</v>
      </c>
      <c r="BY2" s="36">
        <f t="shared" si="2"/>
        <v>1538</v>
      </c>
      <c r="BZ2" s="36">
        <f t="shared" si="2"/>
        <v>1538</v>
      </c>
      <c r="CA2" s="36">
        <f t="shared" si="2"/>
        <v>1538</v>
      </c>
      <c r="CB2" s="36">
        <f t="shared" si="2"/>
        <v>1538</v>
      </c>
      <c r="CC2" s="36">
        <f t="shared" si="2"/>
        <v>1538</v>
      </c>
      <c r="CD2" s="36">
        <f t="shared" si="2"/>
        <v>1538</v>
      </c>
      <c r="CE2" s="36">
        <f t="shared" si="2"/>
        <v>1538</v>
      </c>
      <c r="CF2" s="36">
        <f t="shared" si="2"/>
        <v>1538</v>
      </c>
      <c r="CG2" s="36">
        <f t="shared" si="2"/>
        <v>1538</v>
      </c>
      <c r="CH2" s="36">
        <f t="shared" si="2"/>
        <v>1538</v>
      </c>
      <c r="CI2" s="36">
        <f t="shared" si="2"/>
        <v>1538</v>
      </c>
      <c r="CJ2" s="36">
        <f t="shared" si="2"/>
        <v>1538</v>
      </c>
      <c r="CK2" s="36">
        <f t="shared" si="2"/>
        <v>1539</v>
      </c>
      <c r="CL2" s="36">
        <f t="shared" si="2"/>
        <v>1539</v>
      </c>
      <c r="CM2" s="36">
        <f t="shared" si="2"/>
        <v>1539</v>
      </c>
      <c r="CN2" s="36">
        <f t="shared" si="2"/>
        <v>1539</v>
      </c>
      <c r="CO2" s="36">
        <f t="shared" si="2"/>
        <v>1539</v>
      </c>
      <c r="CP2" s="36">
        <f t="shared" si="2"/>
        <v>1539</v>
      </c>
      <c r="CQ2" s="36">
        <f t="shared" si="2"/>
        <v>1539</v>
      </c>
      <c r="CR2" s="36">
        <f t="shared" si="2"/>
        <v>1539</v>
      </c>
      <c r="CS2" s="36">
        <f t="shared" si="2"/>
        <v>1539</v>
      </c>
      <c r="CT2" s="36">
        <f t="shared" si="2"/>
        <v>1539</v>
      </c>
      <c r="CU2" s="36">
        <f t="shared" si="2"/>
        <v>1539</v>
      </c>
      <c r="CV2" s="36">
        <f t="shared" si="2"/>
        <v>1539</v>
      </c>
    </row>
    <row r="3" spans="1:100" s="36" customFormat="1" x14ac:dyDescent="0.45">
      <c r="E3" s="57"/>
      <c r="F3" s="23" t="s">
        <v>94</v>
      </c>
      <c r="H3" s="36">
        <f>G3+1</f>
        <v>1</v>
      </c>
      <c r="I3" s="36">
        <f t="shared" ref="I3:BT3" si="3">H3+1</f>
        <v>2</v>
      </c>
      <c r="J3" s="36">
        <f t="shared" si="3"/>
        <v>3</v>
      </c>
      <c r="K3" s="36">
        <f t="shared" si="3"/>
        <v>4</v>
      </c>
      <c r="L3" s="36">
        <f t="shared" si="3"/>
        <v>5</v>
      </c>
      <c r="M3" s="36">
        <f t="shared" si="3"/>
        <v>6</v>
      </c>
      <c r="N3" s="36">
        <f t="shared" si="3"/>
        <v>7</v>
      </c>
      <c r="O3" s="36">
        <f t="shared" si="3"/>
        <v>8</v>
      </c>
      <c r="P3" s="36">
        <f t="shared" si="3"/>
        <v>9</v>
      </c>
      <c r="Q3" s="36">
        <f t="shared" si="3"/>
        <v>10</v>
      </c>
      <c r="R3" s="36">
        <f t="shared" si="3"/>
        <v>11</v>
      </c>
      <c r="S3" s="36">
        <f t="shared" si="3"/>
        <v>12</v>
      </c>
      <c r="T3" s="36">
        <f t="shared" si="3"/>
        <v>13</v>
      </c>
      <c r="U3" s="36">
        <f t="shared" si="3"/>
        <v>14</v>
      </c>
      <c r="V3" s="36">
        <f t="shared" si="3"/>
        <v>15</v>
      </c>
      <c r="W3" s="36">
        <f t="shared" si="3"/>
        <v>16</v>
      </c>
      <c r="X3" s="36">
        <f t="shared" si="3"/>
        <v>17</v>
      </c>
      <c r="Y3" s="36">
        <f t="shared" si="3"/>
        <v>18</v>
      </c>
      <c r="Z3" s="36">
        <f t="shared" si="3"/>
        <v>19</v>
      </c>
      <c r="AA3" s="36">
        <f t="shared" si="3"/>
        <v>20</v>
      </c>
      <c r="AB3" s="36">
        <f t="shared" si="3"/>
        <v>21</v>
      </c>
      <c r="AC3" s="36">
        <f t="shared" si="3"/>
        <v>22</v>
      </c>
      <c r="AD3" s="36">
        <f t="shared" si="3"/>
        <v>23</v>
      </c>
      <c r="AE3" s="36">
        <f t="shared" si="3"/>
        <v>24</v>
      </c>
      <c r="AF3" s="36">
        <f t="shared" si="3"/>
        <v>25</v>
      </c>
      <c r="AG3" s="36">
        <f t="shared" si="3"/>
        <v>26</v>
      </c>
      <c r="AH3" s="36">
        <f t="shared" si="3"/>
        <v>27</v>
      </c>
      <c r="AI3" s="36">
        <f t="shared" si="3"/>
        <v>28</v>
      </c>
      <c r="AJ3" s="36">
        <f t="shared" si="3"/>
        <v>29</v>
      </c>
      <c r="AK3" s="36">
        <f t="shared" si="3"/>
        <v>30</v>
      </c>
      <c r="AL3" s="36">
        <f t="shared" si="3"/>
        <v>31</v>
      </c>
      <c r="AM3" s="36">
        <f t="shared" si="3"/>
        <v>32</v>
      </c>
      <c r="AN3" s="36">
        <f t="shared" si="3"/>
        <v>33</v>
      </c>
      <c r="AO3" s="36">
        <f t="shared" si="3"/>
        <v>34</v>
      </c>
      <c r="AP3" s="36">
        <f t="shared" si="3"/>
        <v>35</v>
      </c>
      <c r="AQ3" s="36">
        <f t="shared" si="3"/>
        <v>36</v>
      </c>
      <c r="AR3" s="36">
        <f t="shared" si="3"/>
        <v>37</v>
      </c>
      <c r="AS3" s="36">
        <f t="shared" si="3"/>
        <v>38</v>
      </c>
      <c r="AT3" s="36">
        <f t="shared" si="3"/>
        <v>39</v>
      </c>
      <c r="AU3" s="36">
        <f t="shared" si="3"/>
        <v>40</v>
      </c>
      <c r="AV3" s="36">
        <f t="shared" si="3"/>
        <v>41</v>
      </c>
      <c r="AW3" s="36">
        <f t="shared" si="3"/>
        <v>42</v>
      </c>
      <c r="AX3" s="36">
        <f t="shared" si="3"/>
        <v>43</v>
      </c>
      <c r="AY3" s="36">
        <f t="shared" si="3"/>
        <v>44</v>
      </c>
      <c r="AZ3" s="36">
        <f t="shared" si="3"/>
        <v>45</v>
      </c>
      <c r="BA3" s="36">
        <f t="shared" si="3"/>
        <v>46</v>
      </c>
      <c r="BB3" s="36">
        <f t="shared" si="3"/>
        <v>47</v>
      </c>
      <c r="BC3" s="36">
        <f t="shared" si="3"/>
        <v>48</v>
      </c>
      <c r="BD3" s="36">
        <f t="shared" si="3"/>
        <v>49</v>
      </c>
      <c r="BE3" s="36">
        <f t="shared" si="3"/>
        <v>50</v>
      </c>
      <c r="BF3" s="36">
        <f t="shared" si="3"/>
        <v>51</v>
      </c>
      <c r="BG3" s="36">
        <f t="shared" si="3"/>
        <v>52</v>
      </c>
      <c r="BH3" s="36">
        <f t="shared" si="3"/>
        <v>53</v>
      </c>
      <c r="BI3" s="36">
        <f t="shared" si="3"/>
        <v>54</v>
      </c>
      <c r="BJ3" s="36">
        <f t="shared" si="3"/>
        <v>55</v>
      </c>
      <c r="BK3" s="36">
        <f t="shared" si="3"/>
        <v>56</v>
      </c>
      <c r="BL3" s="36">
        <f t="shared" si="3"/>
        <v>57</v>
      </c>
      <c r="BM3" s="36">
        <f t="shared" si="3"/>
        <v>58</v>
      </c>
      <c r="BN3" s="36">
        <f t="shared" si="3"/>
        <v>59</v>
      </c>
      <c r="BO3" s="36">
        <f t="shared" si="3"/>
        <v>60</v>
      </c>
      <c r="BP3" s="36">
        <f t="shared" si="3"/>
        <v>61</v>
      </c>
      <c r="BQ3" s="36">
        <f t="shared" si="3"/>
        <v>62</v>
      </c>
      <c r="BR3" s="36">
        <f t="shared" si="3"/>
        <v>63</v>
      </c>
      <c r="BS3" s="36">
        <f t="shared" si="3"/>
        <v>64</v>
      </c>
      <c r="BT3" s="36">
        <f t="shared" si="3"/>
        <v>65</v>
      </c>
      <c r="BU3" s="36">
        <f t="shared" ref="BU3:CV3" si="4">BT3+1</f>
        <v>66</v>
      </c>
      <c r="BV3" s="36">
        <f t="shared" si="4"/>
        <v>67</v>
      </c>
      <c r="BW3" s="36">
        <f t="shared" si="4"/>
        <v>68</v>
      </c>
      <c r="BX3" s="36">
        <f t="shared" si="4"/>
        <v>69</v>
      </c>
      <c r="BY3" s="36">
        <f t="shared" si="4"/>
        <v>70</v>
      </c>
      <c r="BZ3" s="36">
        <f t="shared" si="4"/>
        <v>71</v>
      </c>
      <c r="CA3" s="36">
        <f t="shared" si="4"/>
        <v>72</v>
      </c>
      <c r="CB3" s="36">
        <f t="shared" si="4"/>
        <v>73</v>
      </c>
      <c r="CC3" s="36">
        <f t="shared" si="4"/>
        <v>74</v>
      </c>
      <c r="CD3" s="36">
        <f t="shared" si="4"/>
        <v>75</v>
      </c>
      <c r="CE3" s="36">
        <f t="shared" si="4"/>
        <v>76</v>
      </c>
      <c r="CF3" s="36">
        <f t="shared" si="4"/>
        <v>77</v>
      </c>
      <c r="CG3" s="36">
        <f t="shared" si="4"/>
        <v>78</v>
      </c>
      <c r="CH3" s="36">
        <f t="shared" si="4"/>
        <v>79</v>
      </c>
      <c r="CI3" s="36">
        <f t="shared" si="4"/>
        <v>80</v>
      </c>
      <c r="CJ3" s="36">
        <f t="shared" si="4"/>
        <v>81</v>
      </c>
      <c r="CK3" s="36">
        <f t="shared" si="4"/>
        <v>82</v>
      </c>
      <c r="CL3" s="36">
        <f t="shared" si="4"/>
        <v>83</v>
      </c>
      <c r="CM3" s="36">
        <f t="shared" si="4"/>
        <v>84</v>
      </c>
      <c r="CN3" s="36">
        <f t="shared" si="4"/>
        <v>85</v>
      </c>
      <c r="CO3" s="36">
        <f t="shared" si="4"/>
        <v>86</v>
      </c>
      <c r="CP3" s="36">
        <f t="shared" si="4"/>
        <v>87</v>
      </c>
      <c r="CQ3" s="36">
        <f t="shared" si="4"/>
        <v>88</v>
      </c>
      <c r="CR3" s="36">
        <f t="shared" si="4"/>
        <v>89</v>
      </c>
      <c r="CS3" s="36">
        <f t="shared" si="4"/>
        <v>90</v>
      </c>
      <c r="CT3" s="36">
        <f t="shared" si="4"/>
        <v>91</v>
      </c>
      <c r="CU3" s="36">
        <f t="shared" si="4"/>
        <v>92</v>
      </c>
      <c r="CV3" s="36">
        <f t="shared" si="4"/>
        <v>93</v>
      </c>
    </row>
    <row r="4" spans="1:100" s="36" customFormat="1" x14ac:dyDescent="0.45">
      <c r="E4" s="57"/>
      <c r="F4" s="23"/>
      <c r="AF4" s="106"/>
    </row>
    <row r="5" spans="1:100" s="36" customFormat="1" x14ac:dyDescent="0.45">
      <c r="B5" s="39">
        <f>MAX(H9:CG9)</f>
        <v>4270.2542857142835</v>
      </c>
      <c r="E5" s="57"/>
      <c r="F5" s="97" t="s">
        <v>248</v>
      </c>
      <c r="G5" s="36">
        <f>ABS(G70)</f>
        <v>75</v>
      </c>
      <c r="H5" s="36">
        <f>ABS(H22+H70)</f>
        <v>1850</v>
      </c>
      <c r="K5" s="36">
        <f>ABS(K29)</f>
        <v>900</v>
      </c>
      <c r="M5" s="36">
        <f>ABS(M67)</f>
        <v>1000</v>
      </c>
      <c r="N5" s="36">
        <f>ABS(N36)</f>
        <v>900</v>
      </c>
      <c r="Q5" s="36">
        <f>ABS(Q51+Q67)</f>
        <v>320</v>
      </c>
      <c r="R5" s="36">
        <f>ABS(R67)</f>
        <v>30</v>
      </c>
      <c r="V5" s="36">
        <f>ABS(V70)</f>
        <v>500</v>
      </c>
      <c r="AE5" s="36">
        <f>-AE71</f>
        <v>130</v>
      </c>
      <c r="AF5" s="106">
        <f>-AF51-(6900+500)-AF67</f>
        <v>4900</v>
      </c>
      <c r="AL5" s="36">
        <f>ABS(AL67+AL68)</f>
        <v>15500</v>
      </c>
      <c r="AT5" s="36">
        <v>20600</v>
      </c>
      <c r="AU5" s="36">
        <v>3000</v>
      </c>
    </row>
    <row r="6" spans="1:100" s="36" customFormat="1" x14ac:dyDescent="0.45">
      <c r="B6" s="39">
        <f>MIN(H9:CG9)</f>
        <v>-27089.945714285714</v>
      </c>
      <c r="E6" s="57"/>
      <c r="F6" s="97" t="s">
        <v>255</v>
      </c>
      <c r="H6" s="106">
        <f>SUM($G5:H5)+H8</f>
        <v>5602</v>
      </c>
      <c r="I6" s="106">
        <f>SUM($G5:I5)+I8</f>
        <v>6204</v>
      </c>
      <c r="J6" s="106">
        <f>SUM($G5:J5)+J8</f>
        <v>6732.666666666667</v>
      </c>
      <c r="K6" s="106">
        <f>SUM($G5:K5)+K8</f>
        <v>7549.8666666666668</v>
      </c>
      <c r="L6" s="106">
        <f>SUM($G5:L5)+L8</f>
        <v>8330.4000000000015</v>
      </c>
      <c r="M6" s="106">
        <f>SUM($G5:M5)+M8</f>
        <v>9147.6</v>
      </c>
      <c r="N6" s="106">
        <f>SUM($G5:N5)+N8</f>
        <v>10180</v>
      </c>
      <c r="O6" s="106">
        <f>SUM($G5:O5)+O8</f>
        <v>11212.4</v>
      </c>
      <c r="P6" s="106">
        <f>SUM($G5:P5)+P8</f>
        <v>12244.8</v>
      </c>
      <c r="Q6" s="106">
        <f>SUM($G5:Q5)+Q8</f>
        <v>13496.68</v>
      </c>
      <c r="R6" s="106">
        <f>SUM($G5:R5)+R8</f>
        <v>14598.560000000001</v>
      </c>
      <c r="S6" s="106">
        <f>SUM($G5:S5)+S8</f>
        <v>15750.440000000002</v>
      </c>
      <c r="T6" s="106">
        <f>SUM($G5:T5)+T8</f>
        <v>16902.320000000003</v>
      </c>
      <c r="U6" s="106">
        <f>SUM($G5:U5)+U8</f>
        <v>18054.200000000004</v>
      </c>
      <c r="V6" s="106">
        <f>SUM($G5:V5)+V8</f>
        <v>19206.080000000005</v>
      </c>
      <c r="W6" s="106">
        <f>SUM($G5:W5)+W8</f>
        <v>20357.960000000006</v>
      </c>
      <c r="X6" s="106">
        <f>SUM($G5:X5)+X8</f>
        <v>21509.840000000007</v>
      </c>
      <c r="Y6" s="106">
        <f>SUM($G5:Y5)+Y8</f>
        <v>22661.720000000008</v>
      </c>
      <c r="Z6" s="106">
        <f>SUM($G5:Z5)+Z8</f>
        <v>24128.19200000001</v>
      </c>
      <c r="AA6" s="106">
        <f>SUM($G5:AA5)+AA8</f>
        <v>25594.664000000012</v>
      </c>
      <c r="AB6" s="106">
        <f>SUM($G5:AB5)+AB8</f>
        <v>27061.136000000013</v>
      </c>
      <c r="AC6" s="106">
        <f>SUM($G5:AC5)+AC8</f>
        <v>28460.322285714297</v>
      </c>
      <c r="AD6" s="106">
        <f>SUM($G5:AD5)+AD8</f>
        <v>29860.508571428581</v>
      </c>
      <c r="AE6" s="106">
        <f>SUM($G5:AE5)+AE8</f>
        <v>31261.694857142866</v>
      </c>
      <c r="AF6" s="106">
        <f>SUM($G5:AF5)+AF8</f>
        <v>31731.749142857152</v>
      </c>
      <c r="AG6" s="106">
        <f>SUM($G5:AG5)+AG8</f>
        <v>33641.803428571438</v>
      </c>
      <c r="AH6" s="106">
        <f>SUM($G5:AH5)+AH8</f>
        <v>35551.857714285725</v>
      </c>
      <c r="AI6" s="106">
        <f>SUM($G5:AI5)+AI8</f>
        <v>37161.912000000011</v>
      </c>
      <c r="AJ6" s="106">
        <f>SUM($G5:AJ5)+AJ8</f>
        <v>38771.966285714298</v>
      </c>
      <c r="AK6" s="106">
        <f>SUM($G5:AK5)+AK8</f>
        <v>40382.020571428584</v>
      </c>
      <c r="AL6" s="106">
        <f>SUM($G5:AL5)+AL8</f>
        <v>41992.07485714287</v>
      </c>
      <c r="AM6" s="106">
        <f>SUM($G5:AM5)+AM8</f>
        <v>43602.129142857157</v>
      </c>
      <c r="AN6" s="106">
        <f>SUM($G5:AN5)+AN8</f>
        <v>45212.183428571443</v>
      </c>
      <c r="AO6" s="106">
        <f>SUM($G5:AO5)+AO8</f>
        <v>46822.237714285729</v>
      </c>
      <c r="AP6" s="106">
        <f>SUM($G5:AP5)+AP8</f>
        <v>48432.292000000016</v>
      </c>
      <c r="AQ6" s="106">
        <f>SUM($G5:AQ5)+AQ8</f>
        <v>50042.346285714302</v>
      </c>
      <c r="AR6" s="106">
        <f>SUM($G5:AR5)+AR8</f>
        <v>51652.400571428589</v>
      </c>
      <c r="AS6" s="106">
        <f>SUM($G5:AS5)+AS8</f>
        <v>53262.454857142875</v>
      </c>
      <c r="AT6" s="106">
        <f>SUM($G5:AT5)+AT8</f>
        <v>46772.509142857161</v>
      </c>
      <c r="AU6" s="106">
        <f>SUM($G5:AU5)+AU8</f>
        <v>48852.863428571451</v>
      </c>
      <c r="AV6" s="106">
        <f>SUM($G5:AV5)+AV8</f>
        <v>50613.117714285734</v>
      </c>
      <c r="AW6" s="106">
        <f>SUM($G5:AW5)+AW8</f>
        <v>52373.372000000018</v>
      </c>
      <c r="AX6" s="106">
        <f>SUM($G5:AX5)+AX8</f>
        <v>54133.626285714301</v>
      </c>
      <c r="AY6" s="106">
        <f>SUM($G5:AY5)+AY8</f>
        <v>55893.880571428592</v>
      </c>
      <c r="AZ6" s="106">
        <f>SUM($G5:AZ5)+AZ8</f>
        <v>57654.134857142875</v>
      </c>
      <c r="BA6" s="106">
        <f>SUM($G5:BA5)+BA8</f>
        <v>59414.389142857159</v>
      </c>
      <c r="BB6" s="106">
        <f>SUM($G5:BB5)+BB8</f>
        <v>61174.643428571449</v>
      </c>
      <c r="BC6" s="106">
        <f>SUM($G5:BC5)+BC8</f>
        <v>62934.897714285733</v>
      </c>
      <c r="BD6" s="106">
        <f>SUM($G5:BD5)+BD8</f>
        <v>64695.152000000016</v>
      </c>
      <c r="BE6" s="106">
        <f>SUM($G5:BE5)+BE8</f>
        <v>66455.4062857143</v>
      </c>
      <c r="BF6" s="106">
        <f>SUM($G5:BF5)+BF8</f>
        <v>68215.660571428598</v>
      </c>
      <c r="BG6" s="106">
        <f>SUM($G5:BG5)+BG8</f>
        <v>69975.914857142881</v>
      </c>
      <c r="BH6" s="106">
        <f>SUM($G5:BH5)+BH8</f>
        <v>71736.169142857165</v>
      </c>
      <c r="BI6" s="106">
        <f>SUM($G5:BI5)+BI8</f>
        <v>73496.423428571448</v>
      </c>
      <c r="BJ6" s="106">
        <f>SUM($G5:BJ5)+BJ8</f>
        <v>75256.677714285732</v>
      </c>
      <c r="BK6" s="106">
        <f>SUM($G5:BK5)+BK8</f>
        <v>77016.93200000003</v>
      </c>
      <c r="BL6" s="106">
        <f>SUM($G5:BL5)+BL8</f>
        <v>78777.186285714313</v>
      </c>
      <c r="BM6" s="106">
        <f>SUM($G5:BM5)+BM8</f>
        <v>80537.440571428597</v>
      </c>
      <c r="BN6" s="106">
        <f>SUM($G5:BN5)+BN8</f>
        <v>82297.694857142895</v>
      </c>
      <c r="BO6" s="106">
        <f>SUM($G5:BO5)+BO8</f>
        <v>84057.949142857164</v>
      </c>
      <c r="BP6" s="106">
        <f>SUM($G5:BP5)+BP8</f>
        <v>85818.203428571462</v>
      </c>
      <c r="BQ6" s="106">
        <f>SUM($G5:BQ5)+BQ8</f>
        <v>87578.457714285731</v>
      </c>
      <c r="BR6" s="106">
        <f>SUM($G5:BR5)+BR8</f>
        <v>89338.712000000029</v>
      </c>
      <c r="BS6" s="106">
        <f>SUM($G5:BS5)+BS8</f>
        <v>91098.966285714298</v>
      </c>
      <c r="BT6" s="106">
        <f>SUM($G5:BT5)+BT8</f>
        <v>92859.220571428596</v>
      </c>
      <c r="BU6" s="106">
        <f>SUM($G5:BU5)+BU8</f>
        <v>94619.474857142864</v>
      </c>
      <c r="BV6" s="106">
        <f>SUM($G5:BV5)+BV8</f>
        <v>96379.729142857163</v>
      </c>
      <c r="BW6" s="106">
        <f>SUM($G5:BW5)+BW8</f>
        <v>98139.983428571431</v>
      </c>
      <c r="BX6" s="106">
        <f>SUM($G5:BX5)+BX8</f>
        <v>99901.237714285729</v>
      </c>
      <c r="BY6" s="106">
        <f>SUM($G5:BY5)+BY8</f>
        <v>101663.492</v>
      </c>
      <c r="BZ6" s="106">
        <f>SUM($G5:BZ5)+BZ8</f>
        <v>103426.7462857143</v>
      </c>
      <c r="CA6" s="106">
        <f>SUM($G5:CA5)+CA8</f>
        <v>105191.00057142857</v>
      </c>
      <c r="CB6" s="106">
        <f>SUM($G5:CB5)+CB8</f>
        <v>97956.254857142863</v>
      </c>
      <c r="CC6" s="106">
        <f>SUM($G5:CC5)+CC8</f>
        <v>99722.509142857132</v>
      </c>
      <c r="CD6" s="106">
        <f>SUM($G5:CD5)+CD8</f>
        <v>101489.76342857143</v>
      </c>
      <c r="CE6" s="106">
        <f>SUM($G5:CE5)+CE8</f>
        <v>103258.0177142857</v>
      </c>
      <c r="CF6" s="106">
        <f>SUM($G5:CF5)+CF8</f>
        <v>105027.272</v>
      </c>
      <c r="CG6" s="106">
        <f>SUM($G5:CG5)+CG8</f>
        <v>109297.52628571427</v>
      </c>
    </row>
    <row r="7" spans="1:100" s="48" customFormat="1" x14ac:dyDescent="0.45">
      <c r="E7" s="65"/>
      <c r="F7" s="49"/>
    </row>
    <row r="8" spans="1:100" s="37" customFormat="1" x14ac:dyDescent="0.45">
      <c r="A8" s="36"/>
      <c r="B8" s="36"/>
      <c r="C8" s="36"/>
      <c r="D8" s="36"/>
      <c r="E8" s="57"/>
      <c r="F8" s="32" t="s">
        <v>121</v>
      </c>
      <c r="G8" s="37">
        <f>SUM(G12:G1048576)</f>
        <v>4925</v>
      </c>
      <c r="H8" s="37">
        <f t="shared" ref="H8:AM8" si="5">G8+SUM(H12:H1048576)</f>
        <v>3677</v>
      </c>
      <c r="I8" s="37">
        <f t="shared" si="5"/>
        <v>4279</v>
      </c>
      <c r="J8" s="37">
        <f t="shared" si="5"/>
        <v>4807.666666666667</v>
      </c>
      <c r="K8" s="37">
        <f t="shared" si="5"/>
        <v>4724.8666666666668</v>
      </c>
      <c r="L8" s="37">
        <f t="shared" si="5"/>
        <v>5505.4000000000005</v>
      </c>
      <c r="M8" s="37">
        <f t="shared" si="5"/>
        <v>5322.6</v>
      </c>
      <c r="N8" s="37">
        <f t="shared" si="5"/>
        <v>5455</v>
      </c>
      <c r="O8" s="37">
        <f t="shared" si="5"/>
        <v>6487.4</v>
      </c>
      <c r="P8" s="37">
        <f t="shared" si="5"/>
        <v>7519.7999999999993</v>
      </c>
      <c r="Q8" s="37">
        <f t="shared" si="5"/>
        <v>8451.68</v>
      </c>
      <c r="R8" s="37">
        <f t="shared" si="5"/>
        <v>9523.5600000000013</v>
      </c>
      <c r="S8" s="37">
        <f t="shared" si="5"/>
        <v>10675.440000000002</v>
      </c>
      <c r="T8" s="37">
        <f t="shared" si="5"/>
        <v>11827.320000000003</v>
      </c>
      <c r="U8" s="37">
        <f t="shared" si="5"/>
        <v>12979.200000000004</v>
      </c>
      <c r="V8" s="37">
        <f t="shared" si="5"/>
        <v>13631.080000000005</v>
      </c>
      <c r="W8" s="37">
        <f t="shared" si="5"/>
        <v>14782.960000000006</v>
      </c>
      <c r="X8" s="37">
        <f t="shared" si="5"/>
        <v>15934.840000000007</v>
      </c>
      <c r="Y8" s="37">
        <f t="shared" si="5"/>
        <v>17086.720000000008</v>
      </c>
      <c r="Z8" s="37">
        <f t="shared" si="5"/>
        <v>18553.19200000001</v>
      </c>
      <c r="AA8" s="37">
        <f t="shared" si="5"/>
        <v>20019.664000000012</v>
      </c>
      <c r="AB8" s="37">
        <f t="shared" si="5"/>
        <v>21486.136000000013</v>
      </c>
      <c r="AC8" s="37">
        <f t="shared" si="5"/>
        <v>22885.322285714297</v>
      </c>
      <c r="AD8" s="37">
        <f t="shared" si="5"/>
        <v>24285.508571428581</v>
      </c>
      <c r="AE8" s="37">
        <f t="shared" si="5"/>
        <v>25556.694857142866</v>
      </c>
      <c r="AF8" s="37">
        <f t="shared" si="5"/>
        <v>21126.749142857152</v>
      </c>
      <c r="AG8" s="37">
        <f t="shared" si="5"/>
        <v>23036.803428571438</v>
      </c>
      <c r="AH8" s="37">
        <f t="shared" si="5"/>
        <v>24946.857714285725</v>
      </c>
      <c r="AI8" s="37">
        <f t="shared" si="5"/>
        <v>26556.912000000011</v>
      </c>
      <c r="AJ8" s="37">
        <f t="shared" si="5"/>
        <v>28166.966285714298</v>
      </c>
      <c r="AK8" s="37">
        <f t="shared" si="5"/>
        <v>29777.020571428584</v>
      </c>
      <c r="AL8" s="37">
        <f t="shared" si="5"/>
        <v>15887.07485714287</v>
      </c>
      <c r="AM8" s="37">
        <f t="shared" si="5"/>
        <v>17497.129142857157</v>
      </c>
      <c r="AN8" s="37">
        <f t="shared" ref="AN8:BS8" si="6">AM8+SUM(AN12:AN1048576)</f>
        <v>19107.183428571443</v>
      </c>
      <c r="AO8" s="37">
        <f t="shared" si="6"/>
        <v>20717.237714285729</v>
      </c>
      <c r="AP8" s="37">
        <f t="shared" si="6"/>
        <v>22327.292000000016</v>
      </c>
      <c r="AQ8" s="37">
        <f t="shared" si="6"/>
        <v>23937.346285714302</v>
      </c>
      <c r="AR8" s="37">
        <f t="shared" si="6"/>
        <v>25547.400571428589</v>
      </c>
      <c r="AS8" s="37">
        <f t="shared" si="6"/>
        <v>27157.454857142875</v>
      </c>
      <c r="AT8" s="37">
        <f t="shared" si="6"/>
        <v>67.509142857161351</v>
      </c>
      <c r="AU8" s="37">
        <f t="shared" si="6"/>
        <v>-852.136571428553</v>
      </c>
      <c r="AV8" s="37">
        <f t="shared" si="6"/>
        <v>908.11771428573275</v>
      </c>
      <c r="AW8" s="37">
        <f t="shared" si="6"/>
        <v>2668.3720000000185</v>
      </c>
      <c r="AX8" s="37">
        <f t="shared" si="6"/>
        <v>4428.6262857143047</v>
      </c>
      <c r="AY8" s="37">
        <f t="shared" si="6"/>
        <v>6188.88057142859</v>
      </c>
      <c r="AZ8" s="37">
        <f t="shared" si="6"/>
        <v>7949.1348571428753</v>
      </c>
      <c r="BA8" s="37">
        <f t="shared" si="6"/>
        <v>9709.3891428571606</v>
      </c>
      <c r="BB8" s="37">
        <f t="shared" si="6"/>
        <v>11469.643428571446</v>
      </c>
      <c r="BC8" s="37">
        <f t="shared" si="6"/>
        <v>13229.897714285731</v>
      </c>
      <c r="BD8" s="37">
        <f t="shared" si="6"/>
        <v>14990.152000000016</v>
      </c>
      <c r="BE8" s="37">
        <f t="shared" si="6"/>
        <v>16750.406285714304</v>
      </c>
      <c r="BF8" s="37">
        <f t="shared" si="6"/>
        <v>18510.660571428591</v>
      </c>
      <c r="BG8" s="37">
        <f t="shared" si="6"/>
        <v>20270.914857142878</v>
      </c>
      <c r="BH8" s="37">
        <f t="shared" si="6"/>
        <v>22031.169142857165</v>
      </c>
      <c r="BI8" s="37">
        <f t="shared" si="6"/>
        <v>23791.423428571452</v>
      </c>
      <c r="BJ8" s="37">
        <f t="shared" si="6"/>
        <v>25551.677714285739</v>
      </c>
      <c r="BK8" s="37">
        <f t="shared" si="6"/>
        <v>27311.932000000026</v>
      </c>
      <c r="BL8" s="37">
        <f t="shared" si="6"/>
        <v>29072.186285714313</v>
      </c>
      <c r="BM8" s="37">
        <f t="shared" si="6"/>
        <v>30832.4405714286</v>
      </c>
      <c r="BN8" s="37">
        <f t="shared" si="6"/>
        <v>32592.694857142887</v>
      </c>
      <c r="BO8" s="37">
        <f t="shared" si="6"/>
        <v>34352.949142857171</v>
      </c>
      <c r="BP8" s="37">
        <f t="shared" si="6"/>
        <v>36113.203428571454</v>
      </c>
      <c r="BQ8" s="37">
        <f t="shared" si="6"/>
        <v>37873.457714285738</v>
      </c>
      <c r="BR8" s="37">
        <f t="shared" si="6"/>
        <v>39633.712000000021</v>
      </c>
      <c r="BS8" s="37">
        <f t="shared" si="6"/>
        <v>41393.966285714305</v>
      </c>
      <c r="BT8" s="37">
        <f t="shared" ref="BT8:CD8" si="7">BS8+SUM(BT12:BT1048576)</f>
        <v>43154.220571428588</v>
      </c>
      <c r="BU8" s="37">
        <f t="shared" si="7"/>
        <v>44914.474857142872</v>
      </c>
      <c r="BV8" s="37">
        <f t="shared" si="7"/>
        <v>46674.729142857155</v>
      </c>
      <c r="BW8" s="37">
        <f t="shared" si="7"/>
        <v>48434.983428571439</v>
      </c>
      <c r="BX8" s="37">
        <f t="shared" si="7"/>
        <v>50196.237714285722</v>
      </c>
      <c r="BY8" s="37">
        <f t="shared" si="7"/>
        <v>51958.492000000006</v>
      </c>
      <c r="BZ8" s="37">
        <f t="shared" si="7"/>
        <v>53721.746285714289</v>
      </c>
      <c r="CA8" s="37">
        <f t="shared" si="7"/>
        <v>55486.000571428573</v>
      </c>
      <c r="CB8" s="37">
        <f t="shared" si="7"/>
        <v>48251.254857142856</v>
      </c>
      <c r="CC8" s="37">
        <f t="shared" si="7"/>
        <v>50017.50914285714</v>
      </c>
      <c r="CD8" s="37">
        <f t="shared" si="7"/>
        <v>51784.763428571423</v>
      </c>
      <c r="CE8" s="37">
        <f t="shared" ref="CE8" si="8">CD8+SUM(CE12:CE1048576)</f>
        <v>53553.017714285706</v>
      </c>
      <c r="CF8" s="37">
        <f t="shared" ref="CF8" si="9">CE8+SUM(CF12:CF1048576)</f>
        <v>55322.27199999999</v>
      </c>
      <c r="CG8" s="37">
        <f t="shared" ref="CG8" si="10">CF8+SUM(CG12:CG1048576)</f>
        <v>59592.526285714273</v>
      </c>
    </row>
    <row r="9" spans="1:100" s="52" customFormat="1" x14ac:dyDescent="0.45">
      <c r="A9" s="48"/>
      <c r="B9" s="48"/>
      <c r="C9" s="48"/>
      <c r="D9" s="48"/>
      <c r="E9" s="65"/>
      <c r="F9" s="54" t="s">
        <v>122</v>
      </c>
      <c r="G9" s="50"/>
      <c r="H9" s="51">
        <f>H8-G8</f>
        <v>-1248</v>
      </c>
      <c r="I9" s="51">
        <f t="shared" ref="I9:M9" si="11">I8-H8</f>
        <v>602</v>
      </c>
      <c r="J9" s="51">
        <f t="shared" si="11"/>
        <v>528.66666666666697</v>
      </c>
      <c r="K9" s="51">
        <f t="shared" si="11"/>
        <v>-82.800000000000182</v>
      </c>
      <c r="L9" s="51">
        <f t="shared" si="11"/>
        <v>780.53333333333376</v>
      </c>
      <c r="M9" s="51">
        <f t="shared" si="11"/>
        <v>-182.80000000000018</v>
      </c>
      <c r="N9" s="51">
        <f t="shared" ref="N9" si="12">N8-M8</f>
        <v>132.39999999999964</v>
      </c>
      <c r="O9" s="51">
        <f t="shared" ref="O9" si="13">O8-N8</f>
        <v>1032.3999999999996</v>
      </c>
      <c r="P9" s="51">
        <f t="shared" ref="P9" si="14">P8-O8</f>
        <v>1032.3999999999996</v>
      </c>
      <c r="Q9" s="51">
        <f t="shared" ref="Q9" si="15">Q8-P8</f>
        <v>931.88000000000102</v>
      </c>
      <c r="R9" s="51">
        <f t="shared" ref="R9" si="16">R8-Q8</f>
        <v>1071.880000000001</v>
      </c>
      <c r="S9" s="51">
        <f t="shared" ref="S9" si="17">S8-R8</f>
        <v>1151.880000000001</v>
      </c>
      <c r="T9" s="51">
        <f t="shared" ref="T9" si="18">T8-S8</f>
        <v>1151.880000000001</v>
      </c>
      <c r="U9" s="51">
        <f t="shared" ref="U9" si="19">U8-T8</f>
        <v>1151.880000000001</v>
      </c>
      <c r="V9" s="51">
        <f t="shared" ref="V9" si="20">V8-U8</f>
        <v>651.88000000000102</v>
      </c>
      <c r="W9" s="51">
        <f t="shared" ref="W9" si="21">W8-V8</f>
        <v>1151.880000000001</v>
      </c>
      <c r="X9" s="51">
        <f t="shared" ref="X9" si="22">X8-W8</f>
        <v>1151.880000000001</v>
      </c>
      <c r="Y9" s="51">
        <f t="shared" ref="Y9" si="23">Y8-X8</f>
        <v>1151.880000000001</v>
      </c>
      <c r="Z9" s="51">
        <f t="shared" ref="Z9" si="24">Z8-Y8</f>
        <v>1466.4720000000016</v>
      </c>
      <c r="AA9" s="51">
        <f t="shared" ref="AA9" si="25">AA8-Z8</f>
        <v>1466.4720000000016</v>
      </c>
      <c r="AB9" s="51">
        <f t="shared" ref="AB9" si="26">AB8-AA8</f>
        <v>1466.4720000000016</v>
      </c>
      <c r="AC9" s="51">
        <f t="shared" ref="AC9" si="27">AC8-AB8</f>
        <v>1399.1862857142842</v>
      </c>
      <c r="AD9" s="51">
        <f t="shared" ref="AD9" si="28">AD8-AC8</f>
        <v>1400.1862857142842</v>
      </c>
      <c r="AE9" s="51">
        <f t="shared" ref="AE9" si="29">AE8-AD8</f>
        <v>1271.1862857142842</v>
      </c>
      <c r="AF9" s="51">
        <f t="shared" ref="AF9" si="30">AF8-AE8</f>
        <v>-4429.9457142857136</v>
      </c>
      <c r="AG9" s="51">
        <f t="shared" ref="AG9" si="31">AG8-AF8</f>
        <v>1910.0542857142864</v>
      </c>
      <c r="AH9" s="51">
        <f t="shared" ref="AH9" si="32">AH8-AG8</f>
        <v>1910.0542857142864</v>
      </c>
      <c r="AI9" s="51">
        <f t="shared" ref="AI9" si="33">AI8-AH8</f>
        <v>1610.0542857142864</v>
      </c>
      <c r="AJ9" s="51">
        <f t="shared" ref="AJ9" si="34">AJ8-AI8</f>
        <v>1610.0542857142864</v>
      </c>
      <c r="AK9" s="51">
        <f t="shared" ref="AK9" si="35">AK8-AJ8</f>
        <v>1610.0542857142864</v>
      </c>
      <c r="AL9" s="51">
        <f t="shared" ref="AL9" si="36">AL8-AK8</f>
        <v>-13889.945714285714</v>
      </c>
      <c r="AM9" s="51">
        <f t="shared" ref="AM9" si="37">AM8-AL8</f>
        <v>1610.0542857142864</v>
      </c>
      <c r="AN9" s="51">
        <f t="shared" ref="AN9" si="38">AN8-AM8</f>
        <v>1610.0542857142864</v>
      </c>
      <c r="AO9" s="51">
        <f t="shared" ref="AO9" si="39">AO8-AN8</f>
        <v>1610.0542857142864</v>
      </c>
      <c r="AP9" s="51">
        <f t="shared" ref="AP9" si="40">AP8-AO8</f>
        <v>1610.0542857142864</v>
      </c>
      <c r="AQ9" s="51">
        <f t="shared" ref="AQ9" si="41">AQ8-AP8</f>
        <v>1610.0542857142864</v>
      </c>
      <c r="AR9" s="51">
        <f t="shared" ref="AR9" si="42">AR8-AQ8</f>
        <v>1610.0542857142864</v>
      </c>
      <c r="AS9" s="51">
        <f t="shared" ref="AS9:AT9" si="43">AS8-AR8</f>
        <v>1610.0542857142864</v>
      </c>
      <c r="AT9" s="51">
        <f t="shared" si="43"/>
        <v>-27089.945714285714</v>
      </c>
      <c r="AU9" s="51">
        <f t="shared" ref="AU9" si="44">AU8-AT8</f>
        <v>-919.64571428571435</v>
      </c>
      <c r="AV9" s="51">
        <f t="shared" ref="AV9" si="45">AV8-AU8</f>
        <v>1760.2542857142857</v>
      </c>
      <c r="AW9" s="51">
        <f t="shared" ref="AW9" si="46">AW8-AV8</f>
        <v>1760.2542857142857</v>
      </c>
      <c r="AX9" s="51">
        <f t="shared" ref="AX9" si="47">AX8-AW8</f>
        <v>1760.2542857142862</v>
      </c>
      <c r="AY9" s="51">
        <f t="shared" ref="AY9" si="48">AY8-AX8</f>
        <v>1760.2542857142853</v>
      </c>
      <c r="AZ9" s="51">
        <f t="shared" ref="AZ9" si="49">AZ8-AY8</f>
        <v>1760.2542857142853</v>
      </c>
      <c r="BA9" s="51">
        <f t="shared" ref="BA9" si="50">BA8-AZ8</f>
        <v>1760.2542857142853</v>
      </c>
      <c r="BB9" s="51">
        <f t="shared" ref="BB9" si="51">BB8-BA8</f>
        <v>1760.2542857142853</v>
      </c>
      <c r="BC9" s="51">
        <f t="shared" ref="BC9" si="52">BC8-BB8</f>
        <v>1760.2542857142853</v>
      </c>
      <c r="BD9" s="51">
        <f t="shared" ref="BD9" si="53">BD8-BC8</f>
        <v>1760.2542857142853</v>
      </c>
      <c r="BE9" s="51">
        <f t="shared" ref="BE9" si="54">BE8-BD8</f>
        <v>1760.2542857142871</v>
      </c>
      <c r="BF9" s="51">
        <f t="shared" ref="BF9" si="55">BF8-BE8</f>
        <v>1760.2542857142871</v>
      </c>
      <c r="BG9" s="51">
        <f t="shared" ref="BG9" si="56">BG8-BF8</f>
        <v>1760.2542857142871</v>
      </c>
      <c r="BH9" s="51">
        <f t="shared" ref="BH9" si="57">BH8-BG8</f>
        <v>1760.2542857142871</v>
      </c>
      <c r="BI9" s="51">
        <f t="shared" ref="BI9" si="58">BI8-BH8</f>
        <v>1760.2542857142871</v>
      </c>
      <c r="BJ9" s="51">
        <f t="shared" ref="BJ9" si="59">BJ8-BI8</f>
        <v>1760.2542857142871</v>
      </c>
      <c r="BK9" s="51">
        <f t="shared" ref="BK9" si="60">BK8-BJ8</f>
        <v>1760.2542857142871</v>
      </c>
      <c r="BL9" s="51">
        <f t="shared" ref="BL9" si="61">BL8-BK8</f>
        <v>1760.2542857142871</v>
      </c>
      <c r="BM9" s="51">
        <f t="shared" ref="BM9" si="62">BM8-BL8</f>
        <v>1760.2542857142871</v>
      </c>
      <c r="BN9" s="51">
        <f t="shared" ref="BN9" si="63">BN8-BM8</f>
        <v>1760.2542857142871</v>
      </c>
      <c r="BO9" s="51">
        <f t="shared" ref="BO9" si="64">BO8-BN8</f>
        <v>1760.2542857142835</v>
      </c>
      <c r="BP9" s="51">
        <f t="shared" ref="BP9" si="65">BP8-BO8</f>
        <v>1760.2542857142835</v>
      </c>
      <c r="BQ9" s="51">
        <f t="shared" ref="BQ9" si="66">BQ8-BP8</f>
        <v>1760.2542857142835</v>
      </c>
      <c r="BR9" s="51">
        <f t="shared" ref="BR9" si="67">BR8-BQ8</f>
        <v>1760.2542857142835</v>
      </c>
      <c r="BS9" s="51">
        <f t="shared" ref="BS9" si="68">BS8-BR8</f>
        <v>1760.2542857142835</v>
      </c>
      <c r="BT9" s="51">
        <f t="shared" ref="BT9" si="69">BT8-BS8</f>
        <v>1760.2542857142835</v>
      </c>
      <c r="BU9" s="51">
        <f t="shared" ref="BU9" si="70">BU8-BT8</f>
        <v>1760.2542857142835</v>
      </c>
      <c r="BV9" s="51">
        <f t="shared" ref="BV9" si="71">BV8-BU8</f>
        <v>1760.2542857142835</v>
      </c>
      <c r="BW9" s="51">
        <f t="shared" ref="BW9" si="72">BW8-BV8</f>
        <v>1760.2542857142835</v>
      </c>
      <c r="BX9" s="51">
        <f t="shared" ref="BX9" si="73">BX8-BW8</f>
        <v>1761.2542857142835</v>
      </c>
      <c r="BY9" s="51">
        <f t="shared" ref="BY9" si="74">BY8-BX8</f>
        <v>1762.2542857142835</v>
      </c>
      <c r="BZ9" s="51">
        <f t="shared" ref="BZ9" si="75">BZ8-BY8</f>
        <v>1763.2542857142835</v>
      </c>
      <c r="CA9" s="51">
        <f t="shared" ref="CA9" si="76">CA8-BZ8</f>
        <v>1764.2542857142835</v>
      </c>
      <c r="CB9" s="51">
        <f t="shared" ref="CB9" si="77">CB8-CA8</f>
        <v>-7234.7457142857165</v>
      </c>
      <c r="CC9" s="51">
        <f t="shared" ref="CC9" si="78">CC8-CB8</f>
        <v>1766.2542857142835</v>
      </c>
      <c r="CD9" s="51">
        <f t="shared" ref="CD9" si="79">CD8-CC8</f>
        <v>1767.2542857142835</v>
      </c>
      <c r="CE9" s="51">
        <f t="shared" ref="CE9" si="80">CE8-CD8</f>
        <v>1768.2542857142835</v>
      </c>
      <c r="CF9" s="51">
        <f t="shared" ref="CF9" si="81">CF8-CE8</f>
        <v>1769.2542857142835</v>
      </c>
      <c r="CG9" s="51">
        <f t="shared" ref="CG9" si="82">CG8-CF8</f>
        <v>4270.2542857142835</v>
      </c>
    </row>
    <row r="10" spans="1:100" s="37" customFormat="1" x14ac:dyDescent="0.45">
      <c r="A10" s="36"/>
      <c r="B10" s="36"/>
      <c r="C10" s="36"/>
      <c r="D10" s="36"/>
      <c r="E10" s="57"/>
      <c r="F10" s="32"/>
      <c r="G10" s="3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</row>
    <row r="11" spans="1:100" ht="14.65" thickBot="1" x14ac:dyDescent="0.5">
      <c r="F11" s="32"/>
    </row>
    <row r="12" spans="1:100" s="40" customFormat="1" x14ac:dyDescent="0.45">
      <c r="A12" s="45"/>
      <c r="B12" s="45"/>
      <c r="C12" s="45"/>
      <c r="D12" s="45"/>
      <c r="E12" s="67"/>
      <c r="F12" s="55" t="s">
        <v>95</v>
      </c>
      <c r="H12" s="40">
        <v>-250</v>
      </c>
      <c r="I12" s="40">
        <v>-250</v>
      </c>
      <c r="J12" s="40">
        <v>-250</v>
      </c>
      <c r="K12" s="40">
        <v>-250</v>
      </c>
      <c r="L12" s="40">
        <v>-250</v>
      </c>
      <c r="M12" s="40">
        <v>-250</v>
      </c>
      <c r="N12" s="40">
        <v>-250</v>
      </c>
      <c r="O12" s="40">
        <v>-250</v>
      </c>
      <c r="P12" s="40">
        <v>-250</v>
      </c>
      <c r="Q12" s="40">
        <v>-250</v>
      </c>
      <c r="R12" s="40">
        <v>-250</v>
      </c>
      <c r="S12" s="40">
        <v>-250</v>
      </c>
      <c r="T12" s="40">
        <v>-250</v>
      </c>
      <c r="U12" s="40">
        <v>-250</v>
      </c>
      <c r="V12" s="40">
        <v>-250</v>
      </c>
      <c r="W12" s="40">
        <v>-250</v>
      </c>
      <c r="X12" s="40">
        <v>-250</v>
      </c>
      <c r="Y12" s="40">
        <v>-250</v>
      </c>
      <c r="Z12" s="40">
        <v>-250</v>
      </c>
      <c r="AA12" s="40">
        <v>-250</v>
      </c>
      <c r="AB12" s="40">
        <v>-250</v>
      </c>
      <c r="AC12" s="40">
        <v>-250</v>
      </c>
      <c r="AD12" s="40">
        <v>-250</v>
      </c>
      <c r="AE12" s="40">
        <v>-250</v>
      </c>
      <c r="AF12" s="40">
        <v>-250</v>
      </c>
      <c r="AG12" s="40">
        <v>-250</v>
      </c>
      <c r="AH12" s="40">
        <v>-250</v>
      </c>
      <c r="AI12" s="40">
        <v>-250</v>
      </c>
      <c r="AJ12" s="40">
        <v>-250</v>
      </c>
      <c r="AK12" s="40">
        <v>-250</v>
      </c>
      <c r="AL12" s="40">
        <v>-250</v>
      </c>
      <c r="AM12" s="40">
        <v>-250</v>
      </c>
      <c r="AN12" s="40">
        <v>-250</v>
      </c>
      <c r="AO12" s="40">
        <v>-250</v>
      </c>
      <c r="AP12" s="40">
        <v>-250</v>
      </c>
      <c r="AQ12" s="40">
        <v>-250</v>
      </c>
      <c r="AR12" s="40">
        <v>-250</v>
      </c>
      <c r="AS12" s="40">
        <v>-250</v>
      </c>
      <c r="AT12" s="40">
        <v>-250</v>
      </c>
      <c r="AU12" s="40">
        <v>-250</v>
      </c>
      <c r="AV12" s="40">
        <v>-250</v>
      </c>
      <c r="AW12" s="40">
        <v>-250</v>
      </c>
      <c r="AX12" s="40">
        <v>-250</v>
      </c>
      <c r="AY12" s="40">
        <v>-250</v>
      </c>
      <c r="AZ12" s="40">
        <v>-250</v>
      </c>
      <c r="BA12" s="40">
        <v>-250</v>
      </c>
      <c r="BB12" s="40">
        <v>-250</v>
      </c>
      <c r="BC12" s="40">
        <v>-250</v>
      </c>
      <c r="BD12" s="40">
        <v>-250</v>
      </c>
      <c r="BE12" s="40">
        <v>-250</v>
      </c>
      <c r="BF12" s="40">
        <v>-250</v>
      </c>
      <c r="BG12" s="40">
        <v>-250</v>
      </c>
      <c r="BH12" s="40">
        <v>-250</v>
      </c>
      <c r="BI12" s="40">
        <v>-250</v>
      </c>
      <c r="BJ12" s="40">
        <v>-250</v>
      </c>
      <c r="BK12" s="40">
        <v>-250</v>
      </c>
      <c r="BL12" s="40">
        <v>-250</v>
      </c>
      <c r="BM12" s="40">
        <v>-250</v>
      </c>
      <c r="BN12" s="40">
        <v>-250</v>
      </c>
      <c r="BO12" s="40">
        <v>-250</v>
      </c>
      <c r="BP12" s="40">
        <v>-250</v>
      </c>
      <c r="BQ12" s="40">
        <v>-250</v>
      </c>
      <c r="BR12" s="40">
        <v>-250</v>
      </c>
      <c r="BS12" s="40">
        <v>-250</v>
      </c>
      <c r="BT12" s="40">
        <v>-250</v>
      </c>
      <c r="BU12" s="40">
        <v>-250</v>
      </c>
      <c r="BV12" s="40">
        <v>-250</v>
      </c>
      <c r="BW12" s="40">
        <v>-250</v>
      </c>
      <c r="BX12" s="40">
        <v>-250</v>
      </c>
      <c r="BY12" s="40">
        <v>-250</v>
      </c>
      <c r="BZ12" s="40">
        <v>-250</v>
      </c>
      <c r="CA12" s="40">
        <v>-250</v>
      </c>
      <c r="CB12" s="40">
        <v>-250</v>
      </c>
      <c r="CC12" s="40">
        <v>-250</v>
      </c>
      <c r="CD12" s="40">
        <v>-250</v>
      </c>
      <c r="CE12" s="40">
        <v>-250</v>
      </c>
      <c r="CF12" s="40">
        <v>-250</v>
      </c>
      <c r="CG12" s="40">
        <v>-250</v>
      </c>
    </row>
    <row r="13" spans="1:100" s="28" customFormat="1" ht="14.65" thickBot="1" x14ac:dyDescent="0.5">
      <c r="A13" s="46"/>
      <c r="B13" s="46"/>
      <c r="C13" s="46"/>
      <c r="D13" s="46"/>
      <c r="E13" s="68"/>
      <c r="F13" s="56" t="s">
        <v>96</v>
      </c>
      <c r="H13" s="28">
        <v>-90</v>
      </c>
      <c r="I13" s="28">
        <v>-90</v>
      </c>
      <c r="J13" s="28">
        <v>-90</v>
      </c>
      <c r="K13" s="28">
        <v>-90</v>
      </c>
      <c r="L13" s="28">
        <v>-90</v>
      </c>
      <c r="M13" s="28">
        <v>-90</v>
      </c>
      <c r="N13" s="28">
        <v>-90</v>
      </c>
      <c r="O13" s="28">
        <v>-90</v>
      </c>
      <c r="P13" s="28">
        <v>-90</v>
      </c>
      <c r="Q13" s="28">
        <v>-90</v>
      </c>
      <c r="R13" s="28">
        <v>-90</v>
      </c>
      <c r="S13" s="28">
        <v>-90</v>
      </c>
      <c r="T13" s="28">
        <v>-90</v>
      </c>
      <c r="U13" s="28">
        <v>-90</v>
      </c>
      <c r="V13" s="28">
        <v>-90</v>
      </c>
      <c r="W13" s="28">
        <v>-90</v>
      </c>
      <c r="X13" s="28">
        <v>-90</v>
      </c>
      <c r="Y13" s="28">
        <v>-90</v>
      </c>
      <c r="Z13" s="28">
        <v>-90</v>
      </c>
      <c r="AA13" s="28">
        <v>-90</v>
      </c>
      <c r="AB13" s="28">
        <v>-90</v>
      </c>
      <c r="AC13" s="28">
        <v>-90</v>
      </c>
      <c r="AD13" s="28">
        <v>-90</v>
      </c>
      <c r="AE13" s="28">
        <v>-90</v>
      </c>
      <c r="AF13" s="28">
        <v>-90</v>
      </c>
      <c r="AG13" s="28">
        <v>-90</v>
      </c>
      <c r="AH13" s="28">
        <v>-90</v>
      </c>
      <c r="AI13" s="28">
        <v>-90</v>
      </c>
      <c r="AJ13" s="28">
        <v>-90</v>
      </c>
      <c r="AK13" s="28">
        <v>-90</v>
      </c>
      <c r="AL13" s="28">
        <v>-90</v>
      </c>
      <c r="AM13" s="28">
        <v>-90</v>
      </c>
      <c r="AN13" s="28">
        <v>-90</v>
      </c>
      <c r="AO13" s="28">
        <v>-90</v>
      </c>
      <c r="AP13" s="28">
        <v>-90</v>
      </c>
      <c r="AQ13" s="28">
        <v>-90</v>
      </c>
      <c r="AR13" s="28">
        <v>-90</v>
      </c>
      <c r="AS13" s="28">
        <v>-90</v>
      </c>
      <c r="AT13" s="28">
        <v>-90</v>
      </c>
      <c r="AU13" s="28">
        <v>-90</v>
      </c>
      <c r="AV13" s="28">
        <v>-90</v>
      </c>
      <c r="AW13" s="28">
        <v>-90</v>
      </c>
      <c r="AX13" s="28">
        <v>-90</v>
      </c>
      <c r="AY13" s="28">
        <v>-90</v>
      </c>
      <c r="AZ13" s="28">
        <v>-90</v>
      </c>
      <c r="BA13" s="28">
        <v>-90</v>
      </c>
      <c r="BB13" s="28">
        <v>-90</v>
      </c>
      <c r="BC13" s="28">
        <v>-90</v>
      </c>
      <c r="BD13" s="28">
        <v>-90</v>
      </c>
      <c r="BE13" s="28">
        <v>-90</v>
      </c>
      <c r="BF13" s="28">
        <v>-90</v>
      </c>
      <c r="BG13" s="28">
        <v>-90</v>
      </c>
      <c r="BH13" s="28">
        <v>-90</v>
      </c>
      <c r="BI13" s="28">
        <v>-90</v>
      </c>
      <c r="BJ13" s="28">
        <v>-90</v>
      </c>
      <c r="BK13" s="28">
        <v>-90</v>
      </c>
      <c r="BL13" s="28">
        <v>-90</v>
      </c>
      <c r="BM13" s="28">
        <v>-90</v>
      </c>
      <c r="BN13" s="28">
        <v>-90</v>
      </c>
      <c r="BO13" s="28">
        <v>-90</v>
      </c>
      <c r="BP13" s="28">
        <v>-90</v>
      </c>
      <c r="BQ13" s="28">
        <v>-90</v>
      </c>
      <c r="BR13" s="28">
        <v>-90</v>
      </c>
      <c r="BS13" s="28">
        <v>-90</v>
      </c>
      <c r="BT13" s="28">
        <v>-90</v>
      </c>
      <c r="BU13" s="28">
        <v>-90</v>
      </c>
      <c r="BV13" s="28">
        <v>-90</v>
      </c>
      <c r="BW13" s="28">
        <v>-90</v>
      </c>
      <c r="BX13" s="28">
        <v>-90</v>
      </c>
      <c r="BY13" s="28">
        <v>-90</v>
      </c>
      <c r="BZ13" s="28">
        <v>-90</v>
      </c>
      <c r="CA13" s="28">
        <v>-90</v>
      </c>
      <c r="CB13" s="28">
        <v>-90</v>
      </c>
      <c r="CC13" s="28">
        <v>-90</v>
      </c>
      <c r="CD13" s="28">
        <v>-90</v>
      </c>
      <c r="CE13" s="28">
        <v>-90</v>
      </c>
      <c r="CF13" s="28">
        <v>-90</v>
      </c>
      <c r="CG13" s="28">
        <v>-90</v>
      </c>
    </row>
    <row r="14" spans="1:100" x14ac:dyDescent="0.45">
      <c r="E14" s="32">
        <f>COUNTA(B15:C66)</f>
        <v>13</v>
      </c>
      <c r="F14" s="57" t="s">
        <v>419</v>
      </c>
    </row>
    <row r="16" spans="1:100" s="28" customFormat="1" ht="18.399999999999999" thickBot="1" x14ac:dyDescent="0.6">
      <c r="A16" s="42"/>
      <c r="B16" s="42"/>
      <c r="C16" s="42"/>
      <c r="D16" s="42"/>
      <c r="E16" s="63"/>
      <c r="F16" s="113" t="s">
        <v>320</v>
      </c>
    </row>
    <row r="17" spans="1:85" x14ac:dyDescent="0.45">
      <c r="A17" s="43"/>
      <c r="B17" s="43"/>
      <c r="C17" s="43"/>
      <c r="D17" s="43"/>
      <c r="E17" s="72"/>
      <c r="F17" s="43" t="s">
        <v>220</v>
      </c>
    </row>
    <row r="18" spans="1:85" ht="14.65" thickBot="1" x14ac:dyDescent="0.5">
      <c r="A18" s="43"/>
      <c r="B18" s="43"/>
      <c r="C18" s="43"/>
      <c r="D18" s="43"/>
      <c r="E18" s="43"/>
      <c r="F18" s="43" t="s">
        <v>138</v>
      </c>
      <c r="H18" s="24">
        <f t="shared" ref="H18:BS18" si="83">$E$75</f>
        <v>1100</v>
      </c>
      <c r="I18" s="24">
        <f t="shared" si="83"/>
        <v>1100</v>
      </c>
      <c r="J18" s="24">
        <f t="shared" si="83"/>
        <v>1100</v>
      </c>
      <c r="K18" s="24">
        <f t="shared" si="83"/>
        <v>1100</v>
      </c>
      <c r="L18" s="24">
        <f t="shared" si="83"/>
        <v>1100</v>
      </c>
      <c r="M18" s="24">
        <f t="shared" si="83"/>
        <v>1100</v>
      </c>
      <c r="N18" s="24">
        <f t="shared" si="83"/>
        <v>1100</v>
      </c>
      <c r="O18" s="24">
        <f t="shared" si="83"/>
        <v>1100</v>
      </c>
      <c r="P18" s="24">
        <f t="shared" si="83"/>
        <v>1100</v>
      </c>
      <c r="Q18" s="24">
        <f t="shared" si="83"/>
        <v>1100</v>
      </c>
      <c r="R18" s="24">
        <f t="shared" si="83"/>
        <v>1100</v>
      </c>
      <c r="S18" s="24">
        <f t="shared" si="83"/>
        <v>1100</v>
      </c>
      <c r="T18" s="24">
        <f t="shared" si="83"/>
        <v>1100</v>
      </c>
      <c r="U18" s="24">
        <f t="shared" si="83"/>
        <v>1100</v>
      </c>
      <c r="V18" s="24">
        <f t="shared" si="83"/>
        <v>1100</v>
      </c>
      <c r="W18" s="24">
        <f t="shared" si="83"/>
        <v>1100</v>
      </c>
      <c r="X18" s="24">
        <f t="shared" si="83"/>
        <v>1100</v>
      </c>
      <c r="Y18" s="24">
        <f t="shared" si="83"/>
        <v>1100</v>
      </c>
      <c r="Z18" s="24">
        <f t="shared" si="83"/>
        <v>1100</v>
      </c>
      <c r="AA18" s="24">
        <f t="shared" si="83"/>
        <v>1100</v>
      </c>
      <c r="AB18" s="24">
        <f t="shared" si="83"/>
        <v>1100</v>
      </c>
      <c r="AC18" s="24">
        <f t="shared" si="83"/>
        <v>1100</v>
      </c>
      <c r="AD18" s="24">
        <f t="shared" si="83"/>
        <v>1100</v>
      </c>
      <c r="AE18" s="24">
        <f t="shared" si="83"/>
        <v>1100</v>
      </c>
      <c r="AF18" s="24">
        <f t="shared" si="83"/>
        <v>1100</v>
      </c>
      <c r="AG18" s="24">
        <f t="shared" si="83"/>
        <v>1100</v>
      </c>
      <c r="AH18" s="24">
        <f t="shared" si="83"/>
        <v>1100</v>
      </c>
      <c r="AI18" s="24">
        <f t="shared" si="83"/>
        <v>1100</v>
      </c>
      <c r="AJ18" s="24">
        <f t="shared" si="83"/>
        <v>1100</v>
      </c>
      <c r="AK18" s="24">
        <f t="shared" si="83"/>
        <v>1100</v>
      </c>
      <c r="AL18" s="24">
        <f t="shared" si="83"/>
        <v>1100</v>
      </c>
      <c r="AM18" s="24">
        <f t="shared" si="83"/>
        <v>1100</v>
      </c>
      <c r="AN18" s="24">
        <f t="shared" si="83"/>
        <v>1100</v>
      </c>
      <c r="AO18" s="24">
        <f t="shared" si="83"/>
        <v>1100</v>
      </c>
      <c r="AP18" s="24">
        <f t="shared" si="83"/>
        <v>1100</v>
      </c>
      <c r="AQ18" s="24">
        <f t="shared" si="83"/>
        <v>1100</v>
      </c>
      <c r="AR18" s="24">
        <f t="shared" si="83"/>
        <v>1100</v>
      </c>
      <c r="AS18" s="24">
        <f t="shared" si="83"/>
        <v>1100</v>
      </c>
      <c r="AT18" s="24">
        <f t="shared" si="83"/>
        <v>1100</v>
      </c>
      <c r="AU18" s="24">
        <f t="shared" si="83"/>
        <v>1100</v>
      </c>
      <c r="AV18" s="24">
        <f t="shared" si="83"/>
        <v>1100</v>
      </c>
      <c r="AW18" s="24">
        <f t="shared" si="83"/>
        <v>1100</v>
      </c>
      <c r="AX18" s="24">
        <f t="shared" si="83"/>
        <v>1100</v>
      </c>
      <c r="AY18" s="24">
        <f t="shared" si="83"/>
        <v>1100</v>
      </c>
      <c r="AZ18" s="24">
        <f t="shared" si="83"/>
        <v>1100</v>
      </c>
      <c r="BA18" s="24">
        <f t="shared" si="83"/>
        <v>1100</v>
      </c>
      <c r="BB18" s="24">
        <f t="shared" si="83"/>
        <v>1100</v>
      </c>
      <c r="BC18" s="24">
        <f t="shared" si="83"/>
        <v>1100</v>
      </c>
      <c r="BD18" s="24">
        <f t="shared" si="83"/>
        <v>1100</v>
      </c>
      <c r="BE18" s="24">
        <f t="shared" si="83"/>
        <v>1100</v>
      </c>
      <c r="BF18" s="24">
        <f t="shared" si="83"/>
        <v>1100</v>
      </c>
      <c r="BG18" s="24">
        <f t="shared" si="83"/>
        <v>1100</v>
      </c>
      <c r="BH18" s="24">
        <f t="shared" si="83"/>
        <v>1100</v>
      </c>
      <c r="BI18" s="24">
        <f t="shared" si="83"/>
        <v>1100</v>
      </c>
      <c r="BJ18" s="24">
        <f t="shared" si="83"/>
        <v>1100</v>
      </c>
      <c r="BK18" s="24">
        <f t="shared" si="83"/>
        <v>1100</v>
      </c>
      <c r="BL18" s="24">
        <f t="shared" si="83"/>
        <v>1100</v>
      </c>
      <c r="BM18" s="24">
        <f t="shared" si="83"/>
        <v>1100</v>
      </c>
      <c r="BN18" s="24">
        <f t="shared" si="83"/>
        <v>1100</v>
      </c>
      <c r="BO18" s="24">
        <f t="shared" si="83"/>
        <v>1100</v>
      </c>
      <c r="BP18" s="24">
        <f t="shared" si="83"/>
        <v>1100</v>
      </c>
      <c r="BQ18" s="24">
        <f t="shared" si="83"/>
        <v>1100</v>
      </c>
      <c r="BR18" s="24">
        <f t="shared" si="83"/>
        <v>1100</v>
      </c>
      <c r="BS18" s="24">
        <f t="shared" si="83"/>
        <v>1100</v>
      </c>
      <c r="BT18" s="24">
        <f t="shared" ref="BT18:CG18" si="84">$E$75</f>
        <v>1100</v>
      </c>
      <c r="BU18" s="24">
        <f t="shared" si="84"/>
        <v>1100</v>
      </c>
      <c r="BV18" s="24">
        <f t="shared" si="84"/>
        <v>1100</v>
      </c>
      <c r="BW18" s="24">
        <f t="shared" si="84"/>
        <v>1100</v>
      </c>
      <c r="BX18" s="24">
        <f t="shared" si="84"/>
        <v>1100</v>
      </c>
      <c r="BY18" s="24">
        <f t="shared" si="84"/>
        <v>1100</v>
      </c>
      <c r="BZ18" s="24">
        <f t="shared" si="84"/>
        <v>1100</v>
      </c>
      <c r="CA18" s="24">
        <f t="shared" si="84"/>
        <v>1100</v>
      </c>
      <c r="CB18" s="24">
        <f t="shared" si="84"/>
        <v>1100</v>
      </c>
      <c r="CC18" s="24">
        <f t="shared" si="84"/>
        <v>1100</v>
      </c>
      <c r="CD18" s="24">
        <f t="shared" si="84"/>
        <v>1100</v>
      </c>
      <c r="CE18" s="24">
        <f t="shared" si="84"/>
        <v>1100</v>
      </c>
      <c r="CF18" s="24">
        <f t="shared" si="84"/>
        <v>1100</v>
      </c>
      <c r="CG18" s="24">
        <f t="shared" si="84"/>
        <v>1100</v>
      </c>
    </row>
    <row r="19" spans="1:85" ht="14.65" thickBot="1" x14ac:dyDescent="0.5">
      <c r="A19" s="43"/>
      <c r="B19" s="69"/>
      <c r="C19" s="43"/>
      <c r="D19" s="43"/>
      <c r="E19" s="72" t="s">
        <v>147</v>
      </c>
      <c r="F19" s="43" t="s">
        <v>139</v>
      </c>
      <c r="Z19" s="24">
        <f t="shared" ref="Z19:CG19" si="85">$E$75*$E$77*$E$78</f>
        <v>528</v>
      </c>
      <c r="AA19" s="24">
        <f t="shared" si="85"/>
        <v>528</v>
      </c>
      <c r="AB19" s="24">
        <f t="shared" si="85"/>
        <v>528</v>
      </c>
      <c r="AC19" s="24">
        <f t="shared" si="85"/>
        <v>528</v>
      </c>
      <c r="AD19" s="24">
        <f t="shared" si="85"/>
        <v>528</v>
      </c>
      <c r="AE19" s="24">
        <f t="shared" si="85"/>
        <v>528</v>
      </c>
      <c r="AF19" s="24">
        <f t="shared" si="85"/>
        <v>528</v>
      </c>
      <c r="AG19" s="24">
        <f t="shared" si="85"/>
        <v>528</v>
      </c>
      <c r="AH19" s="24">
        <f t="shared" si="85"/>
        <v>528</v>
      </c>
      <c r="AI19" s="24">
        <f t="shared" si="85"/>
        <v>528</v>
      </c>
      <c r="AJ19" s="24">
        <f t="shared" si="85"/>
        <v>528</v>
      </c>
      <c r="AK19" s="24">
        <f t="shared" si="85"/>
        <v>528</v>
      </c>
      <c r="AL19" s="24">
        <f t="shared" si="85"/>
        <v>528</v>
      </c>
      <c r="AM19" s="24">
        <f t="shared" si="85"/>
        <v>528</v>
      </c>
      <c r="AN19" s="24">
        <f t="shared" si="85"/>
        <v>528</v>
      </c>
      <c r="AO19" s="24">
        <f t="shared" si="85"/>
        <v>528</v>
      </c>
      <c r="AP19" s="24">
        <f t="shared" si="85"/>
        <v>528</v>
      </c>
      <c r="AQ19" s="24">
        <f t="shared" si="85"/>
        <v>528</v>
      </c>
      <c r="AR19" s="24">
        <f t="shared" si="85"/>
        <v>528</v>
      </c>
      <c r="AS19" s="24">
        <f t="shared" si="85"/>
        <v>528</v>
      </c>
      <c r="AT19" s="24">
        <f t="shared" si="85"/>
        <v>528</v>
      </c>
      <c r="AU19" s="24">
        <f t="shared" si="85"/>
        <v>528</v>
      </c>
      <c r="AV19" s="24">
        <f t="shared" si="85"/>
        <v>528</v>
      </c>
      <c r="AW19" s="24">
        <f t="shared" si="85"/>
        <v>528</v>
      </c>
      <c r="AX19" s="24">
        <f t="shared" si="85"/>
        <v>528</v>
      </c>
      <c r="AY19" s="24">
        <f t="shared" si="85"/>
        <v>528</v>
      </c>
      <c r="AZ19" s="24">
        <f t="shared" si="85"/>
        <v>528</v>
      </c>
      <c r="BA19" s="24">
        <f t="shared" si="85"/>
        <v>528</v>
      </c>
      <c r="BB19" s="24">
        <f t="shared" si="85"/>
        <v>528</v>
      </c>
      <c r="BC19" s="24">
        <f t="shared" si="85"/>
        <v>528</v>
      </c>
      <c r="BD19" s="24">
        <f t="shared" si="85"/>
        <v>528</v>
      </c>
      <c r="BE19" s="24">
        <f t="shared" si="85"/>
        <v>528</v>
      </c>
      <c r="BF19" s="24">
        <f t="shared" si="85"/>
        <v>528</v>
      </c>
      <c r="BG19" s="24">
        <f t="shared" si="85"/>
        <v>528</v>
      </c>
      <c r="BH19" s="24">
        <f t="shared" si="85"/>
        <v>528</v>
      </c>
      <c r="BI19" s="24">
        <f t="shared" si="85"/>
        <v>528</v>
      </c>
      <c r="BJ19" s="24">
        <f t="shared" si="85"/>
        <v>528</v>
      </c>
      <c r="BK19" s="24">
        <f t="shared" si="85"/>
        <v>528</v>
      </c>
      <c r="BL19" s="24">
        <f t="shared" si="85"/>
        <v>528</v>
      </c>
      <c r="BM19" s="24">
        <f t="shared" si="85"/>
        <v>528</v>
      </c>
      <c r="BN19" s="24">
        <f t="shared" si="85"/>
        <v>528</v>
      </c>
      <c r="BO19" s="24">
        <f t="shared" si="85"/>
        <v>528</v>
      </c>
      <c r="BP19" s="24">
        <f t="shared" si="85"/>
        <v>528</v>
      </c>
      <c r="BQ19" s="24">
        <f t="shared" si="85"/>
        <v>528</v>
      </c>
      <c r="BR19" s="24">
        <f t="shared" si="85"/>
        <v>528</v>
      </c>
      <c r="BS19" s="24">
        <f t="shared" si="85"/>
        <v>528</v>
      </c>
      <c r="BT19" s="24">
        <f t="shared" si="85"/>
        <v>528</v>
      </c>
      <c r="BU19" s="24">
        <f t="shared" si="85"/>
        <v>528</v>
      </c>
      <c r="BV19" s="24">
        <f t="shared" si="85"/>
        <v>528</v>
      </c>
      <c r="BW19" s="24">
        <f t="shared" si="85"/>
        <v>528</v>
      </c>
      <c r="BX19" s="24">
        <f t="shared" si="85"/>
        <v>528</v>
      </c>
      <c r="BY19" s="24">
        <f t="shared" si="85"/>
        <v>528</v>
      </c>
      <c r="BZ19" s="24">
        <f t="shared" si="85"/>
        <v>528</v>
      </c>
      <c r="CA19" s="24">
        <f t="shared" si="85"/>
        <v>528</v>
      </c>
      <c r="CB19" s="24">
        <f t="shared" si="85"/>
        <v>528</v>
      </c>
      <c r="CC19" s="24">
        <f t="shared" si="85"/>
        <v>528</v>
      </c>
      <c r="CD19" s="24">
        <f t="shared" si="85"/>
        <v>528</v>
      </c>
      <c r="CE19" s="24">
        <f t="shared" si="85"/>
        <v>528</v>
      </c>
      <c r="CF19" s="24">
        <f t="shared" si="85"/>
        <v>528</v>
      </c>
      <c r="CG19" s="24">
        <f t="shared" si="85"/>
        <v>528</v>
      </c>
    </row>
    <row r="20" spans="1:85" ht="14.65" thickBot="1" x14ac:dyDescent="0.5">
      <c r="A20" s="43"/>
      <c r="B20" s="69"/>
      <c r="C20" s="43"/>
      <c r="D20" s="43"/>
      <c r="E20" s="43"/>
      <c r="F20" s="43" t="s">
        <v>137</v>
      </c>
      <c r="Z20" s="24">
        <f t="shared" ref="Z20:AH20" si="86">-$E$76</f>
        <v>-300</v>
      </c>
      <c r="AA20" s="24">
        <f t="shared" si="86"/>
        <v>-300</v>
      </c>
      <c r="AB20" s="24">
        <f t="shared" si="86"/>
        <v>-300</v>
      </c>
      <c r="AC20" s="24">
        <f t="shared" si="86"/>
        <v>-300</v>
      </c>
      <c r="AD20" s="24">
        <f t="shared" si="86"/>
        <v>-300</v>
      </c>
      <c r="AE20" s="24">
        <f t="shared" si="86"/>
        <v>-300</v>
      </c>
      <c r="AF20" s="24">
        <f t="shared" si="86"/>
        <v>-300</v>
      </c>
      <c r="AG20" s="24">
        <f t="shared" si="86"/>
        <v>-300</v>
      </c>
      <c r="AH20" s="24">
        <f t="shared" si="86"/>
        <v>-300</v>
      </c>
      <c r="AI20" s="24">
        <v>-400</v>
      </c>
      <c r="AJ20" s="24">
        <v>-400</v>
      </c>
      <c r="AK20" s="24">
        <v>-400</v>
      </c>
      <c r="AL20" s="24">
        <v>-400</v>
      </c>
      <c r="AM20" s="24">
        <v>-400</v>
      </c>
      <c r="AN20" s="24">
        <v>-400</v>
      </c>
      <c r="AO20" s="24">
        <v>-400</v>
      </c>
      <c r="AP20" s="24">
        <v>-400</v>
      </c>
      <c r="AQ20" s="24">
        <v>-400</v>
      </c>
      <c r="AR20" s="24">
        <v>-400</v>
      </c>
      <c r="AS20" s="24">
        <v>-400</v>
      </c>
      <c r="AT20" s="24">
        <v>-400</v>
      </c>
      <c r="AU20" s="24">
        <v>-400</v>
      </c>
      <c r="AV20" s="24">
        <v>-400</v>
      </c>
      <c r="AW20" s="24">
        <v>-400</v>
      </c>
      <c r="AX20" s="24">
        <v>-400</v>
      </c>
      <c r="AY20" s="24">
        <v>-400</v>
      </c>
      <c r="AZ20" s="24">
        <v>-400</v>
      </c>
      <c r="BA20" s="24">
        <v>-400</v>
      </c>
      <c r="BB20" s="24">
        <v>-400</v>
      </c>
      <c r="BC20" s="24">
        <v>-400</v>
      </c>
      <c r="BD20" s="24">
        <v>-400</v>
      </c>
      <c r="BE20" s="24">
        <f>BD20</f>
        <v>-400</v>
      </c>
      <c r="BF20" s="24">
        <f t="shared" ref="BF20:CD20" si="87">BE20</f>
        <v>-400</v>
      </c>
      <c r="BG20" s="24">
        <f t="shared" si="87"/>
        <v>-400</v>
      </c>
      <c r="BH20" s="24">
        <f t="shared" si="87"/>
        <v>-400</v>
      </c>
      <c r="BI20" s="24">
        <f t="shared" si="87"/>
        <v>-400</v>
      </c>
      <c r="BJ20" s="24">
        <f t="shared" si="87"/>
        <v>-400</v>
      </c>
      <c r="BK20" s="24">
        <f t="shared" si="87"/>
        <v>-400</v>
      </c>
      <c r="BL20" s="24">
        <f t="shared" si="87"/>
        <v>-400</v>
      </c>
      <c r="BM20" s="24">
        <f t="shared" si="87"/>
        <v>-400</v>
      </c>
      <c r="BN20" s="24">
        <f t="shared" si="87"/>
        <v>-400</v>
      </c>
      <c r="BO20" s="24">
        <f t="shared" si="87"/>
        <v>-400</v>
      </c>
      <c r="BP20" s="24">
        <f t="shared" si="87"/>
        <v>-400</v>
      </c>
      <c r="BQ20" s="24">
        <f t="shared" si="87"/>
        <v>-400</v>
      </c>
      <c r="BR20" s="24">
        <f t="shared" si="87"/>
        <v>-400</v>
      </c>
      <c r="BS20" s="24">
        <f t="shared" si="87"/>
        <v>-400</v>
      </c>
      <c r="BT20" s="24">
        <f t="shared" si="87"/>
        <v>-400</v>
      </c>
      <c r="BU20" s="24">
        <f t="shared" si="87"/>
        <v>-400</v>
      </c>
      <c r="BV20" s="24">
        <f t="shared" si="87"/>
        <v>-400</v>
      </c>
      <c r="BW20" s="24">
        <f t="shared" si="87"/>
        <v>-400</v>
      </c>
      <c r="BX20" s="24">
        <f t="shared" si="87"/>
        <v>-400</v>
      </c>
      <c r="BY20" s="24">
        <f t="shared" si="87"/>
        <v>-400</v>
      </c>
      <c r="BZ20" s="24">
        <f t="shared" si="87"/>
        <v>-400</v>
      </c>
      <c r="CA20" s="24">
        <f t="shared" si="87"/>
        <v>-400</v>
      </c>
      <c r="CB20" s="24">
        <f t="shared" si="87"/>
        <v>-400</v>
      </c>
      <c r="CC20" s="24">
        <f t="shared" si="87"/>
        <v>-400</v>
      </c>
      <c r="CD20" s="24">
        <f t="shared" si="87"/>
        <v>-400</v>
      </c>
      <c r="CE20" s="24">
        <f t="shared" ref="CE20" si="88">CD20</f>
        <v>-400</v>
      </c>
      <c r="CF20" s="24">
        <f t="shared" ref="CF20" si="89">CE20</f>
        <v>-400</v>
      </c>
      <c r="CG20" s="24">
        <f t="shared" ref="CG20" si="90">CF20</f>
        <v>-400</v>
      </c>
    </row>
    <row r="21" spans="1:85" ht="14.65" thickBot="1" x14ac:dyDescent="0.5">
      <c r="A21" s="43"/>
      <c r="B21" s="69" t="s">
        <v>184</v>
      </c>
      <c r="C21" s="43"/>
      <c r="D21" s="43"/>
      <c r="E21" s="72"/>
      <c r="F21" s="43" t="s">
        <v>188</v>
      </c>
      <c r="H21" s="24">
        <f t="shared" ref="H21:BS21" si="91">-$E$80</f>
        <v>-100</v>
      </c>
      <c r="I21" s="24">
        <f t="shared" si="91"/>
        <v>-100</v>
      </c>
      <c r="J21" s="24">
        <f t="shared" si="91"/>
        <v>-100</v>
      </c>
      <c r="K21" s="24">
        <f t="shared" si="91"/>
        <v>-100</v>
      </c>
      <c r="L21" s="24">
        <f t="shared" si="91"/>
        <v>-100</v>
      </c>
      <c r="M21" s="24">
        <f t="shared" si="91"/>
        <v>-100</v>
      </c>
      <c r="N21" s="24">
        <f t="shared" si="91"/>
        <v>-100</v>
      </c>
      <c r="O21" s="24">
        <f t="shared" si="91"/>
        <v>-100</v>
      </c>
      <c r="P21" s="24">
        <f t="shared" si="91"/>
        <v>-100</v>
      </c>
      <c r="Q21" s="24">
        <f t="shared" si="91"/>
        <v>-100</v>
      </c>
      <c r="R21" s="24">
        <f t="shared" si="91"/>
        <v>-100</v>
      </c>
      <c r="S21" s="24">
        <f t="shared" si="91"/>
        <v>-100</v>
      </c>
      <c r="T21" s="24">
        <f t="shared" si="91"/>
        <v>-100</v>
      </c>
      <c r="U21" s="24">
        <f t="shared" si="91"/>
        <v>-100</v>
      </c>
      <c r="V21" s="24">
        <f t="shared" si="91"/>
        <v>-100</v>
      </c>
      <c r="W21" s="24">
        <f t="shared" si="91"/>
        <v>-100</v>
      </c>
      <c r="X21" s="24">
        <f t="shared" si="91"/>
        <v>-100</v>
      </c>
      <c r="Y21" s="24">
        <f t="shared" si="91"/>
        <v>-100</v>
      </c>
      <c r="Z21" s="24">
        <f t="shared" si="91"/>
        <v>-100</v>
      </c>
      <c r="AA21" s="24">
        <f t="shared" si="91"/>
        <v>-100</v>
      </c>
      <c r="AB21" s="24">
        <f t="shared" si="91"/>
        <v>-100</v>
      </c>
      <c r="AC21" s="24">
        <f t="shared" si="91"/>
        <v>-100</v>
      </c>
      <c r="AD21" s="24">
        <f t="shared" si="91"/>
        <v>-100</v>
      </c>
      <c r="AE21" s="24">
        <f t="shared" si="91"/>
        <v>-100</v>
      </c>
      <c r="AF21" s="24">
        <f t="shared" si="91"/>
        <v>-100</v>
      </c>
      <c r="AG21" s="24">
        <f t="shared" si="91"/>
        <v>-100</v>
      </c>
      <c r="AH21" s="24">
        <f t="shared" si="91"/>
        <v>-100</v>
      </c>
      <c r="AI21" s="24">
        <f t="shared" si="91"/>
        <v>-100</v>
      </c>
      <c r="AJ21" s="24">
        <f t="shared" si="91"/>
        <v>-100</v>
      </c>
      <c r="AK21" s="24">
        <f t="shared" si="91"/>
        <v>-100</v>
      </c>
      <c r="AL21" s="24">
        <f t="shared" si="91"/>
        <v>-100</v>
      </c>
      <c r="AM21" s="24">
        <f t="shared" si="91"/>
        <v>-100</v>
      </c>
      <c r="AN21" s="24">
        <f t="shared" si="91"/>
        <v>-100</v>
      </c>
      <c r="AO21" s="24">
        <f t="shared" si="91"/>
        <v>-100</v>
      </c>
      <c r="AP21" s="24">
        <f t="shared" si="91"/>
        <v>-100</v>
      </c>
      <c r="AQ21" s="24">
        <f t="shared" si="91"/>
        <v>-100</v>
      </c>
      <c r="AR21" s="24">
        <f t="shared" si="91"/>
        <v>-100</v>
      </c>
      <c r="AS21" s="24">
        <f t="shared" si="91"/>
        <v>-100</v>
      </c>
      <c r="AT21" s="24">
        <f t="shared" si="91"/>
        <v>-100</v>
      </c>
      <c r="AU21" s="24">
        <f t="shared" si="91"/>
        <v>-100</v>
      </c>
      <c r="AV21" s="24">
        <f t="shared" si="91"/>
        <v>-100</v>
      </c>
      <c r="AW21" s="24">
        <f t="shared" si="91"/>
        <v>-100</v>
      </c>
      <c r="AX21" s="24">
        <f t="shared" si="91"/>
        <v>-100</v>
      </c>
      <c r="AY21" s="24">
        <f t="shared" si="91"/>
        <v>-100</v>
      </c>
      <c r="AZ21" s="24">
        <f t="shared" si="91"/>
        <v>-100</v>
      </c>
      <c r="BA21" s="24">
        <f t="shared" si="91"/>
        <v>-100</v>
      </c>
      <c r="BB21" s="24">
        <f t="shared" si="91"/>
        <v>-100</v>
      </c>
      <c r="BC21" s="24">
        <f t="shared" si="91"/>
        <v>-100</v>
      </c>
      <c r="BD21" s="24">
        <f t="shared" si="91"/>
        <v>-100</v>
      </c>
      <c r="BE21" s="24">
        <f t="shared" si="91"/>
        <v>-100</v>
      </c>
      <c r="BF21" s="24">
        <f t="shared" si="91"/>
        <v>-100</v>
      </c>
      <c r="BG21" s="24">
        <f t="shared" si="91"/>
        <v>-100</v>
      </c>
      <c r="BH21" s="24">
        <f t="shared" si="91"/>
        <v>-100</v>
      </c>
      <c r="BI21" s="24">
        <f t="shared" si="91"/>
        <v>-100</v>
      </c>
      <c r="BJ21" s="24">
        <f t="shared" si="91"/>
        <v>-100</v>
      </c>
      <c r="BK21" s="24">
        <f t="shared" si="91"/>
        <v>-100</v>
      </c>
      <c r="BL21" s="24">
        <f t="shared" si="91"/>
        <v>-100</v>
      </c>
      <c r="BM21" s="24">
        <f t="shared" si="91"/>
        <v>-100</v>
      </c>
      <c r="BN21" s="24">
        <f t="shared" si="91"/>
        <v>-100</v>
      </c>
      <c r="BO21" s="24">
        <f t="shared" si="91"/>
        <v>-100</v>
      </c>
      <c r="BP21" s="24">
        <f t="shared" si="91"/>
        <v>-100</v>
      </c>
      <c r="BQ21" s="24">
        <f t="shared" si="91"/>
        <v>-100</v>
      </c>
      <c r="BR21" s="24">
        <f t="shared" si="91"/>
        <v>-100</v>
      </c>
      <c r="BS21" s="24">
        <f t="shared" si="91"/>
        <v>-100</v>
      </c>
      <c r="BT21" s="24">
        <f t="shared" ref="BT21:CG21" si="92">-$E$80</f>
        <v>-100</v>
      </c>
      <c r="BU21" s="24">
        <f t="shared" si="92"/>
        <v>-100</v>
      </c>
      <c r="BV21" s="24">
        <f t="shared" si="92"/>
        <v>-100</v>
      </c>
      <c r="BW21" s="24">
        <f t="shared" si="92"/>
        <v>-100</v>
      </c>
      <c r="BX21" s="24">
        <f t="shared" si="92"/>
        <v>-100</v>
      </c>
      <c r="BY21" s="24">
        <f t="shared" si="92"/>
        <v>-100</v>
      </c>
      <c r="BZ21" s="24">
        <f t="shared" si="92"/>
        <v>-100</v>
      </c>
      <c r="CA21" s="24">
        <f t="shared" si="92"/>
        <v>-100</v>
      </c>
      <c r="CB21" s="24">
        <f t="shared" si="92"/>
        <v>-100</v>
      </c>
      <c r="CC21" s="24">
        <f t="shared" si="92"/>
        <v>-100</v>
      </c>
      <c r="CD21" s="24">
        <f t="shared" si="92"/>
        <v>-100</v>
      </c>
      <c r="CE21" s="24">
        <f t="shared" si="92"/>
        <v>-100</v>
      </c>
      <c r="CF21" s="24">
        <f t="shared" si="92"/>
        <v>-100</v>
      </c>
      <c r="CG21" s="24">
        <f t="shared" si="92"/>
        <v>-100</v>
      </c>
    </row>
    <row r="22" spans="1:85" s="27" customFormat="1" x14ac:dyDescent="0.45">
      <c r="A22" s="44"/>
      <c r="B22" s="44"/>
      <c r="C22" s="44"/>
      <c r="D22" s="44"/>
      <c r="E22" s="73"/>
      <c r="F22" s="44" t="s">
        <v>143</v>
      </c>
      <c r="H22" s="82">
        <v>-900</v>
      </c>
    </row>
    <row r="23" spans="1:85" x14ac:dyDescent="0.45">
      <c r="A23" s="23"/>
      <c r="B23" s="23"/>
      <c r="C23" s="23"/>
      <c r="D23" s="23"/>
      <c r="F23" s="117">
        <f>SUM(H17:CG22)</f>
        <v>85680</v>
      </c>
    </row>
    <row r="24" spans="1:85" x14ac:dyDescent="0.45">
      <c r="A24" s="23"/>
      <c r="B24" s="23"/>
      <c r="C24" s="23"/>
      <c r="D24" s="23"/>
    </row>
    <row r="25" spans="1:85" ht="18" x14ac:dyDescent="0.55000000000000004">
      <c r="A25" s="110"/>
      <c r="B25" s="111"/>
      <c r="C25" s="111"/>
      <c r="D25" s="111"/>
      <c r="E25" s="112"/>
      <c r="F25" s="113" t="s">
        <v>173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</row>
    <row r="26" spans="1:85" ht="14.65" thickBot="1" x14ac:dyDescent="0.5">
      <c r="A26" s="43"/>
      <c r="B26" s="43"/>
      <c r="C26" s="43"/>
      <c r="D26" s="43"/>
      <c r="E26" s="43"/>
      <c r="F26" s="43"/>
      <c r="K26" s="24">
        <f t="shared" ref="K26:BV26" si="93">$E$75*$E$77</f>
        <v>660</v>
      </c>
      <c r="L26" s="24">
        <f t="shared" si="93"/>
        <v>660</v>
      </c>
      <c r="M26" s="24">
        <f t="shared" si="93"/>
        <v>660</v>
      </c>
      <c r="N26" s="24">
        <f t="shared" si="93"/>
        <v>660</v>
      </c>
      <c r="O26" s="24">
        <f t="shared" si="93"/>
        <v>660</v>
      </c>
      <c r="P26" s="24">
        <f t="shared" si="93"/>
        <v>660</v>
      </c>
      <c r="Q26" s="24">
        <f t="shared" si="93"/>
        <v>660</v>
      </c>
      <c r="R26" s="24">
        <f t="shared" si="93"/>
        <v>660</v>
      </c>
      <c r="S26" s="24">
        <f t="shared" si="93"/>
        <v>660</v>
      </c>
      <c r="T26" s="24">
        <f t="shared" si="93"/>
        <v>660</v>
      </c>
      <c r="U26" s="24">
        <f t="shared" si="93"/>
        <v>660</v>
      </c>
      <c r="V26" s="24">
        <f t="shared" si="93"/>
        <v>660</v>
      </c>
      <c r="W26" s="24">
        <f t="shared" si="93"/>
        <v>660</v>
      </c>
      <c r="X26" s="24">
        <f t="shared" si="93"/>
        <v>660</v>
      </c>
      <c r="Y26" s="24">
        <f t="shared" si="93"/>
        <v>660</v>
      </c>
      <c r="Z26" s="24">
        <f t="shared" si="93"/>
        <v>660</v>
      </c>
      <c r="AA26" s="24">
        <f t="shared" si="93"/>
        <v>660</v>
      </c>
      <c r="AB26" s="24">
        <f t="shared" si="93"/>
        <v>660</v>
      </c>
      <c r="AC26" s="24">
        <f t="shared" si="93"/>
        <v>660</v>
      </c>
      <c r="AD26" s="24">
        <f t="shared" si="93"/>
        <v>660</v>
      </c>
      <c r="AE26" s="24">
        <f t="shared" si="93"/>
        <v>660</v>
      </c>
      <c r="AF26" s="24">
        <f t="shared" si="93"/>
        <v>660</v>
      </c>
      <c r="AG26" s="24">
        <f t="shared" si="93"/>
        <v>660</v>
      </c>
      <c r="AH26" s="24">
        <f t="shared" si="93"/>
        <v>660</v>
      </c>
      <c r="AI26" s="24">
        <f t="shared" si="93"/>
        <v>660</v>
      </c>
      <c r="AJ26" s="24">
        <f t="shared" si="93"/>
        <v>660</v>
      </c>
      <c r="AK26" s="24">
        <f t="shared" si="93"/>
        <v>660</v>
      </c>
      <c r="AL26" s="24">
        <f t="shared" si="93"/>
        <v>660</v>
      </c>
      <c r="AM26" s="24">
        <f t="shared" si="93"/>
        <v>660</v>
      </c>
      <c r="AN26" s="24">
        <f t="shared" si="93"/>
        <v>660</v>
      </c>
      <c r="AO26" s="24">
        <f t="shared" si="93"/>
        <v>660</v>
      </c>
      <c r="AP26" s="24">
        <f t="shared" si="93"/>
        <v>660</v>
      </c>
      <c r="AQ26" s="24">
        <f t="shared" si="93"/>
        <v>660</v>
      </c>
      <c r="AR26" s="24">
        <f t="shared" si="93"/>
        <v>660</v>
      </c>
      <c r="AS26" s="24">
        <f t="shared" si="93"/>
        <v>660</v>
      </c>
      <c r="AT26" s="24">
        <f t="shared" si="93"/>
        <v>660</v>
      </c>
      <c r="AU26" s="24">
        <f t="shared" si="93"/>
        <v>660</v>
      </c>
      <c r="AV26" s="24">
        <f t="shared" si="93"/>
        <v>660</v>
      </c>
      <c r="AW26" s="24">
        <f t="shared" si="93"/>
        <v>660</v>
      </c>
      <c r="AX26" s="24">
        <f t="shared" si="93"/>
        <v>660</v>
      </c>
      <c r="AY26" s="24">
        <f t="shared" si="93"/>
        <v>660</v>
      </c>
      <c r="AZ26" s="24">
        <f t="shared" si="93"/>
        <v>660</v>
      </c>
      <c r="BA26" s="24">
        <f t="shared" si="93"/>
        <v>660</v>
      </c>
      <c r="BB26" s="24">
        <f t="shared" si="93"/>
        <v>660</v>
      </c>
      <c r="BC26" s="24">
        <f t="shared" si="93"/>
        <v>660</v>
      </c>
      <c r="BD26" s="24">
        <f t="shared" si="93"/>
        <v>660</v>
      </c>
      <c r="BE26" s="24">
        <f t="shared" si="93"/>
        <v>660</v>
      </c>
      <c r="BF26" s="24">
        <f t="shared" si="93"/>
        <v>660</v>
      </c>
      <c r="BG26" s="24">
        <f t="shared" si="93"/>
        <v>660</v>
      </c>
      <c r="BH26" s="24">
        <f t="shared" si="93"/>
        <v>660</v>
      </c>
      <c r="BI26" s="24">
        <f t="shared" si="93"/>
        <v>660</v>
      </c>
      <c r="BJ26" s="24">
        <f t="shared" si="93"/>
        <v>660</v>
      </c>
      <c r="BK26" s="24">
        <f t="shared" si="93"/>
        <v>660</v>
      </c>
      <c r="BL26" s="24">
        <f t="shared" si="93"/>
        <v>660</v>
      </c>
      <c r="BM26" s="24">
        <f t="shared" si="93"/>
        <v>660</v>
      </c>
      <c r="BN26" s="24">
        <f t="shared" si="93"/>
        <v>660</v>
      </c>
      <c r="BO26" s="24">
        <f t="shared" si="93"/>
        <v>660</v>
      </c>
      <c r="BP26" s="24">
        <f t="shared" si="93"/>
        <v>660</v>
      </c>
      <c r="BQ26" s="24">
        <f t="shared" si="93"/>
        <v>660</v>
      </c>
      <c r="BR26" s="24">
        <f t="shared" si="93"/>
        <v>660</v>
      </c>
      <c r="BS26" s="24">
        <f t="shared" si="93"/>
        <v>660</v>
      </c>
      <c r="BT26" s="24">
        <f t="shared" si="93"/>
        <v>660</v>
      </c>
      <c r="BU26" s="24">
        <f t="shared" si="93"/>
        <v>660</v>
      </c>
      <c r="BV26" s="24">
        <f t="shared" si="93"/>
        <v>660</v>
      </c>
      <c r="BW26" s="24">
        <f t="shared" ref="BW26:CG26" si="94">$E$75*$E$77</f>
        <v>660</v>
      </c>
      <c r="BX26" s="24">
        <f t="shared" si="94"/>
        <v>660</v>
      </c>
      <c r="BY26" s="24">
        <f t="shared" si="94"/>
        <v>660</v>
      </c>
      <c r="BZ26" s="24">
        <f t="shared" si="94"/>
        <v>660</v>
      </c>
      <c r="CA26" s="24">
        <f t="shared" si="94"/>
        <v>660</v>
      </c>
      <c r="CB26" s="24">
        <f t="shared" si="94"/>
        <v>660</v>
      </c>
      <c r="CC26" s="24">
        <f t="shared" si="94"/>
        <v>660</v>
      </c>
      <c r="CD26" s="24">
        <f t="shared" si="94"/>
        <v>660</v>
      </c>
      <c r="CE26" s="24">
        <f t="shared" si="94"/>
        <v>660</v>
      </c>
      <c r="CF26" s="24">
        <f t="shared" si="94"/>
        <v>660</v>
      </c>
      <c r="CG26" s="24">
        <f t="shared" si="94"/>
        <v>660</v>
      </c>
    </row>
    <row r="27" spans="1:85" ht="14.65" thickBot="1" x14ac:dyDescent="0.5">
      <c r="A27" s="43"/>
      <c r="B27" s="69" t="s">
        <v>146</v>
      </c>
      <c r="C27" s="43"/>
      <c r="D27" s="43"/>
      <c r="E27" s="72"/>
      <c r="F27" s="43" t="s">
        <v>139</v>
      </c>
      <c r="K27" s="24">
        <f t="shared" ref="K27:AH27" si="95">-$E$76</f>
        <v>-300</v>
      </c>
      <c r="L27" s="24">
        <f t="shared" si="95"/>
        <v>-300</v>
      </c>
      <c r="M27" s="24">
        <f t="shared" si="95"/>
        <v>-300</v>
      </c>
      <c r="N27" s="24">
        <f t="shared" si="95"/>
        <v>-300</v>
      </c>
      <c r="O27" s="24">
        <f t="shared" si="95"/>
        <v>-300</v>
      </c>
      <c r="P27" s="24">
        <f t="shared" si="95"/>
        <v>-300</v>
      </c>
      <c r="Q27" s="24">
        <f t="shared" si="95"/>
        <v>-300</v>
      </c>
      <c r="R27" s="24">
        <f t="shared" si="95"/>
        <v>-300</v>
      </c>
      <c r="S27" s="24">
        <f t="shared" si="95"/>
        <v>-300</v>
      </c>
      <c r="T27" s="24">
        <f t="shared" si="95"/>
        <v>-300</v>
      </c>
      <c r="U27" s="24">
        <f t="shared" si="95"/>
        <v>-300</v>
      </c>
      <c r="V27" s="24">
        <f t="shared" si="95"/>
        <v>-300</v>
      </c>
      <c r="W27" s="24">
        <f t="shared" si="95"/>
        <v>-300</v>
      </c>
      <c r="X27" s="24">
        <f t="shared" si="95"/>
        <v>-300</v>
      </c>
      <c r="Y27" s="24">
        <f t="shared" si="95"/>
        <v>-300</v>
      </c>
      <c r="Z27" s="24">
        <f t="shared" si="95"/>
        <v>-300</v>
      </c>
      <c r="AA27" s="24">
        <f t="shared" si="95"/>
        <v>-300</v>
      </c>
      <c r="AB27" s="24">
        <f t="shared" si="95"/>
        <v>-300</v>
      </c>
      <c r="AC27" s="24">
        <f t="shared" si="95"/>
        <v>-300</v>
      </c>
      <c r="AD27" s="24">
        <f t="shared" si="95"/>
        <v>-300</v>
      </c>
      <c r="AE27" s="24">
        <f t="shared" si="95"/>
        <v>-300</v>
      </c>
      <c r="AF27" s="24">
        <f t="shared" si="95"/>
        <v>-300</v>
      </c>
      <c r="AG27" s="24">
        <f t="shared" si="95"/>
        <v>-300</v>
      </c>
      <c r="AH27" s="24">
        <f t="shared" si="95"/>
        <v>-300</v>
      </c>
      <c r="AI27" s="24">
        <v>-400</v>
      </c>
      <c r="AJ27" s="24">
        <v>-400</v>
      </c>
      <c r="AK27" s="24">
        <f>AJ27</f>
        <v>-400</v>
      </c>
      <c r="AL27" s="24">
        <f t="shared" ref="AL27:CD27" si="96">AK27</f>
        <v>-400</v>
      </c>
      <c r="AM27" s="24">
        <f t="shared" si="96"/>
        <v>-400</v>
      </c>
      <c r="AN27" s="24">
        <f t="shared" si="96"/>
        <v>-400</v>
      </c>
      <c r="AO27" s="24">
        <f t="shared" si="96"/>
        <v>-400</v>
      </c>
      <c r="AP27" s="24">
        <f t="shared" si="96"/>
        <v>-400</v>
      </c>
      <c r="AQ27" s="24">
        <f t="shared" si="96"/>
        <v>-400</v>
      </c>
      <c r="AR27" s="24">
        <f t="shared" si="96"/>
        <v>-400</v>
      </c>
      <c r="AS27" s="24">
        <f t="shared" si="96"/>
        <v>-400</v>
      </c>
      <c r="AT27" s="24">
        <f t="shared" si="96"/>
        <v>-400</v>
      </c>
      <c r="AU27" s="24">
        <f t="shared" si="96"/>
        <v>-400</v>
      </c>
      <c r="AV27" s="24">
        <f t="shared" si="96"/>
        <v>-400</v>
      </c>
      <c r="AW27" s="24">
        <f t="shared" si="96"/>
        <v>-400</v>
      </c>
      <c r="AX27" s="24">
        <f t="shared" si="96"/>
        <v>-400</v>
      </c>
      <c r="AY27" s="24">
        <f t="shared" si="96"/>
        <v>-400</v>
      </c>
      <c r="AZ27" s="24">
        <f t="shared" si="96"/>
        <v>-400</v>
      </c>
      <c r="BA27" s="24">
        <f t="shared" si="96"/>
        <v>-400</v>
      </c>
      <c r="BB27" s="24">
        <f t="shared" si="96"/>
        <v>-400</v>
      </c>
      <c r="BC27" s="24">
        <f t="shared" si="96"/>
        <v>-400</v>
      </c>
      <c r="BD27" s="24">
        <f t="shared" si="96"/>
        <v>-400</v>
      </c>
      <c r="BE27" s="24">
        <f t="shared" si="96"/>
        <v>-400</v>
      </c>
      <c r="BF27" s="24">
        <f t="shared" si="96"/>
        <v>-400</v>
      </c>
      <c r="BG27" s="24">
        <f t="shared" si="96"/>
        <v>-400</v>
      </c>
      <c r="BH27" s="24">
        <f t="shared" si="96"/>
        <v>-400</v>
      </c>
      <c r="BI27" s="24">
        <f t="shared" si="96"/>
        <v>-400</v>
      </c>
      <c r="BJ27" s="24">
        <f t="shared" si="96"/>
        <v>-400</v>
      </c>
      <c r="BK27" s="24">
        <f t="shared" si="96"/>
        <v>-400</v>
      </c>
      <c r="BL27" s="24">
        <f t="shared" si="96"/>
        <v>-400</v>
      </c>
      <c r="BM27" s="24">
        <f t="shared" si="96"/>
        <v>-400</v>
      </c>
      <c r="BN27" s="24">
        <f t="shared" si="96"/>
        <v>-400</v>
      </c>
      <c r="BO27" s="24">
        <f t="shared" si="96"/>
        <v>-400</v>
      </c>
      <c r="BP27" s="24">
        <f t="shared" si="96"/>
        <v>-400</v>
      </c>
      <c r="BQ27" s="24">
        <f t="shared" si="96"/>
        <v>-400</v>
      </c>
      <c r="BR27" s="24">
        <f t="shared" si="96"/>
        <v>-400</v>
      </c>
      <c r="BS27" s="24">
        <f t="shared" si="96"/>
        <v>-400</v>
      </c>
      <c r="BT27" s="24">
        <f t="shared" si="96"/>
        <v>-400</v>
      </c>
      <c r="BU27" s="24">
        <f t="shared" si="96"/>
        <v>-400</v>
      </c>
      <c r="BV27" s="24">
        <f t="shared" si="96"/>
        <v>-400</v>
      </c>
      <c r="BW27" s="24">
        <f t="shared" si="96"/>
        <v>-400</v>
      </c>
      <c r="BX27" s="24">
        <f t="shared" si="96"/>
        <v>-400</v>
      </c>
      <c r="BY27" s="24">
        <f t="shared" si="96"/>
        <v>-400</v>
      </c>
      <c r="BZ27" s="24">
        <f t="shared" si="96"/>
        <v>-400</v>
      </c>
      <c r="CA27" s="24">
        <f t="shared" si="96"/>
        <v>-400</v>
      </c>
      <c r="CB27" s="24">
        <f t="shared" si="96"/>
        <v>-400</v>
      </c>
      <c r="CC27" s="24">
        <f t="shared" si="96"/>
        <v>-400</v>
      </c>
      <c r="CD27" s="24">
        <f t="shared" si="96"/>
        <v>-400</v>
      </c>
      <c r="CE27" s="24">
        <f t="shared" ref="CE27" si="97">CD27</f>
        <v>-400</v>
      </c>
      <c r="CF27" s="24">
        <f t="shared" ref="CF27" si="98">CE27</f>
        <v>-400</v>
      </c>
      <c r="CG27" s="24">
        <f t="shared" ref="CG27" si="99">CF27</f>
        <v>-400</v>
      </c>
    </row>
    <row r="28" spans="1:85" ht="14.65" thickBot="1" x14ac:dyDescent="0.5">
      <c r="A28" s="43"/>
      <c r="B28" s="69" t="s">
        <v>184</v>
      </c>
      <c r="C28" s="43"/>
      <c r="D28" s="43"/>
      <c r="E28" s="72"/>
      <c r="F28" s="43" t="s">
        <v>188</v>
      </c>
      <c r="K28" s="24">
        <f t="shared" ref="K28:BV28" si="100">-$E$80</f>
        <v>-100</v>
      </c>
      <c r="L28" s="24">
        <f t="shared" si="100"/>
        <v>-100</v>
      </c>
      <c r="M28" s="24">
        <f t="shared" si="100"/>
        <v>-100</v>
      </c>
      <c r="N28" s="24">
        <f t="shared" si="100"/>
        <v>-100</v>
      </c>
      <c r="O28" s="24">
        <f t="shared" si="100"/>
        <v>-100</v>
      </c>
      <c r="P28" s="24">
        <f t="shared" si="100"/>
        <v>-100</v>
      </c>
      <c r="Q28" s="24">
        <f t="shared" si="100"/>
        <v>-100</v>
      </c>
      <c r="R28" s="24">
        <f t="shared" si="100"/>
        <v>-100</v>
      </c>
      <c r="S28" s="24">
        <f t="shared" si="100"/>
        <v>-100</v>
      </c>
      <c r="T28" s="24">
        <f t="shared" si="100"/>
        <v>-100</v>
      </c>
      <c r="U28" s="24">
        <f t="shared" si="100"/>
        <v>-100</v>
      </c>
      <c r="V28" s="24">
        <f t="shared" si="100"/>
        <v>-100</v>
      </c>
      <c r="W28" s="24">
        <f t="shared" si="100"/>
        <v>-100</v>
      </c>
      <c r="X28" s="24">
        <f t="shared" si="100"/>
        <v>-100</v>
      </c>
      <c r="Y28" s="24">
        <f t="shared" si="100"/>
        <v>-100</v>
      </c>
      <c r="Z28" s="24">
        <f t="shared" si="100"/>
        <v>-100</v>
      </c>
      <c r="AA28" s="24">
        <f t="shared" si="100"/>
        <v>-100</v>
      </c>
      <c r="AB28" s="24">
        <f t="shared" si="100"/>
        <v>-100</v>
      </c>
      <c r="AC28" s="24">
        <f t="shared" si="100"/>
        <v>-100</v>
      </c>
      <c r="AD28" s="24">
        <f t="shared" si="100"/>
        <v>-100</v>
      </c>
      <c r="AE28" s="24">
        <f t="shared" si="100"/>
        <v>-100</v>
      </c>
      <c r="AF28" s="24">
        <f t="shared" si="100"/>
        <v>-100</v>
      </c>
      <c r="AG28" s="24">
        <f t="shared" si="100"/>
        <v>-100</v>
      </c>
      <c r="AH28" s="24">
        <f t="shared" si="100"/>
        <v>-100</v>
      </c>
      <c r="AI28" s="24">
        <f t="shared" si="100"/>
        <v>-100</v>
      </c>
      <c r="AJ28" s="24">
        <f t="shared" si="100"/>
        <v>-100</v>
      </c>
      <c r="AK28" s="24">
        <f t="shared" si="100"/>
        <v>-100</v>
      </c>
      <c r="AL28" s="24">
        <f t="shared" si="100"/>
        <v>-100</v>
      </c>
      <c r="AM28" s="24">
        <f t="shared" si="100"/>
        <v>-100</v>
      </c>
      <c r="AN28" s="24">
        <f t="shared" si="100"/>
        <v>-100</v>
      </c>
      <c r="AO28" s="24">
        <f t="shared" si="100"/>
        <v>-100</v>
      </c>
      <c r="AP28" s="24">
        <f t="shared" si="100"/>
        <v>-100</v>
      </c>
      <c r="AQ28" s="24">
        <f t="shared" si="100"/>
        <v>-100</v>
      </c>
      <c r="AR28" s="24">
        <f t="shared" si="100"/>
        <v>-100</v>
      </c>
      <c r="AS28" s="24">
        <f t="shared" si="100"/>
        <v>-100</v>
      </c>
      <c r="AT28" s="24">
        <f t="shared" si="100"/>
        <v>-100</v>
      </c>
      <c r="AU28" s="24">
        <f t="shared" si="100"/>
        <v>-100</v>
      </c>
      <c r="AV28" s="24">
        <f t="shared" si="100"/>
        <v>-100</v>
      </c>
      <c r="AW28" s="24">
        <f t="shared" si="100"/>
        <v>-100</v>
      </c>
      <c r="AX28" s="24">
        <f t="shared" si="100"/>
        <v>-100</v>
      </c>
      <c r="AY28" s="24">
        <f t="shared" si="100"/>
        <v>-100</v>
      </c>
      <c r="AZ28" s="24">
        <f t="shared" si="100"/>
        <v>-100</v>
      </c>
      <c r="BA28" s="24">
        <f t="shared" si="100"/>
        <v>-100</v>
      </c>
      <c r="BB28" s="24">
        <f t="shared" si="100"/>
        <v>-100</v>
      </c>
      <c r="BC28" s="24">
        <f t="shared" si="100"/>
        <v>-100</v>
      </c>
      <c r="BD28" s="24">
        <f t="shared" si="100"/>
        <v>-100</v>
      </c>
      <c r="BE28" s="24">
        <f t="shared" si="100"/>
        <v>-100</v>
      </c>
      <c r="BF28" s="24">
        <f t="shared" si="100"/>
        <v>-100</v>
      </c>
      <c r="BG28" s="24">
        <f t="shared" si="100"/>
        <v>-100</v>
      </c>
      <c r="BH28" s="24">
        <f t="shared" si="100"/>
        <v>-100</v>
      </c>
      <c r="BI28" s="24">
        <f t="shared" si="100"/>
        <v>-100</v>
      </c>
      <c r="BJ28" s="24">
        <f t="shared" si="100"/>
        <v>-100</v>
      </c>
      <c r="BK28" s="24">
        <f t="shared" si="100"/>
        <v>-100</v>
      </c>
      <c r="BL28" s="24">
        <f t="shared" si="100"/>
        <v>-100</v>
      </c>
      <c r="BM28" s="24">
        <f t="shared" si="100"/>
        <v>-100</v>
      </c>
      <c r="BN28" s="24">
        <f t="shared" si="100"/>
        <v>-100</v>
      </c>
      <c r="BO28" s="24">
        <f t="shared" si="100"/>
        <v>-100</v>
      </c>
      <c r="BP28" s="24">
        <f t="shared" si="100"/>
        <v>-100</v>
      </c>
      <c r="BQ28" s="24">
        <f t="shared" si="100"/>
        <v>-100</v>
      </c>
      <c r="BR28" s="24">
        <f t="shared" si="100"/>
        <v>-100</v>
      </c>
      <c r="BS28" s="24">
        <f t="shared" si="100"/>
        <v>-100</v>
      </c>
      <c r="BT28" s="24">
        <f t="shared" si="100"/>
        <v>-100</v>
      </c>
      <c r="BU28" s="24">
        <f t="shared" si="100"/>
        <v>-100</v>
      </c>
      <c r="BV28" s="24">
        <f t="shared" si="100"/>
        <v>-100</v>
      </c>
      <c r="BW28" s="24">
        <f t="shared" ref="BW28:CG28" si="101">-$E$80</f>
        <v>-100</v>
      </c>
      <c r="BX28" s="24">
        <f t="shared" si="101"/>
        <v>-100</v>
      </c>
      <c r="BY28" s="24">
        <f t="shared" si="101"/>
        <v>-100</v>
      </c>
      <c r="BZ28" s="24">
        <f t="shared" si="101"/>
        <v>-100</v>
      </c>
      <c r="CA28" s="24">
        <f t="shared" si="101"/>
        <v>-100</v>
      </c>
      <c r="CB28" s="24">
        <f t="shared" si="101"/>
        <v>-100</v>
      </c>
      <c r="CC28" s="24">
        <f t="shared" si="101"/>
        <v>-100</v>
      </c>
      <c r="CD28" s="24">
        <f t="shared" si="101"/>
        <v>-100</v>
      </c>
      <c r="CE28" s="24">
        <f t="shared" si="101"/>
        <v>-100</v>
      </c>
      <c r="CF28" s="24">
        <f t="shared" si="101"/>
        <v>-100</v>
      </c>
      <c r="CG28" s="24">
        <f t="shared" si="101"/>
        <v>-100</v>
      </c>
    </row>
    <row r="29" spans="1:85" s="27" customFormat="1" x14ac:dyDescent="0.45">
      <c r="A29" s="44"/>
      <c r="B29" s="44"/>
      <c r="C29" s="44"/>
      <c r="D29" s="44"/>
      <c r="E29" s="73"/>
      <c r="F29" s="44" t="s">
        <v>143</v>
      </c>
      <c r="K29" s="82">
        <v>-900</v>
      </c>
    </row>
    <row r="30" spans="1:85" x14ac:dyDescent="0.45">
      <c r="A30" s="23"/>
      <c r="B30" s="23"/>
      <c r="C30" s="23"/>
      <c r="D30" s="23"/>
      <c r="F30" s="117">
        <f>SUM(H25:CG29)</f>
        <v>13500</v>
      </c>
    </row>
    <row r="31" spans="1:85" x14ac:dyDescent="0.45">
      <c r="A31" s="23"/>
      <c r="B31" s="23"/>
      <c r="C31" s="23"/>
      <c r="D31" s="23"/>
    </row>
    <row r="32" spans="1:85" s="27" customFormat="1" ht="18" x14ac:dyDescent="0.55000000000000004">
      <c r="A32" s="110"/>
      <c r="B32" s="111"/>
      <c r="C32" s="111"/>
      <c r="D32" s="111"/>
      <c r="E32" s="112"/>
      <c r="F32" s="113" t="s">
        <v>193</v>
      </c>
    </row>
    <row r="33" spans="1:85" ht="14.65" thickBot="1" x14ac:dyDescent="0.5">
      <c r="A33" s="43"/>
      <c r="B33" s="43"/>
      <c r="C33" s="43"/>
      <c r="D33" s="43"/>
      <c r="E33" s="43"/>
      <c r="F33" s="43"/>
      <c r="N33" s="24">
        <f t="shared" ref="N33:BY33" si="102">$E$75*$E$77</f>
        <v>660</v>
      </c>
      <c r="O33" s="24">
        <f t="shared" si="102"/>
        <v>660</v>
      </c>
      <c r="P33" s="24">
        <f t="shared" si="102"/>
        <v>660</v>
      </c>
      <c r="Q33" s="24">
        <f t="shared" si="102"/>
        <v>660</v>
      </c>
      <c r="R33" s="24">
        <f t="shared" si="102"/>
        <v>660</v>
      </c>
      <c r="S33" s="24">
        <f t="shared" si="102"/>
        <v>660</v>
      </c>
      <c r="T33" s="24">
        <f t="shared" si="102"/>
        <v>660</v>
      </c>
      <c r="U33" s="24">
        <f t="shared" si="102"/>
        <v>660</v>
      </c>
      <c r="V33" s="24">
        <f t="shared" si="102"/>
        <v>660</v>
      </c>
      <c r="W33" s="24">
        <f t="shared" si="102"/>
        <v>660</v>
      </c>
      <c r="X33" s="24">
        <f t="shared" si="102"/>
        <v>660</v>
      </c>
      <c r="Y33" s="24">
        <f t="shared" si="102"/>
        <v>660</v>
      </c>
      <c r="Z33" s="24">
        <f t="shared" si="102"/>
        <v>660</v>
      </c>
      <c r="AA33" s="24">
        <f t="shared" si="102"/>
        <v>660</v>
      </c>
      <c r="AB33" s="24">
        <f t="shared" si="102"/>
        <v>660</v>
      </c>
      <c r="AC33" s="24">
        <f t="shared" si="102"/>
        <v>660</v>
      </c>
      <c r="AD33" s="24">
        <f t="shared" si="102"/>
        <v>660</v>
      </c>
      <c r="AE33" s="24">
        <f t="shared" si="102"/>
        <v>660</v>
      </c>
      <c r="AF33" s="24">
        <f t="shared" si="102"/>
        <v>660</v>
      </c>
      <c r="AG33" s="24">
        <f t="shared" si="102"/>
        <v>660</v>
      </c>
      <c r="AH33" s="24">
        <f t="shared" si="102"/>
        <v>660</v>
      </c>
      <c r="AI33" s="24">
        <f t="shared" si="102"/>
        <v>660</v>
      </c>
      <c r="AJ33" s="24">
        <f t="shared" si="102"/>
        <v>660</v>
      </c>
      <c r="AK33" s="24">
        <f t="shared" si="102"/>
        <v>660</v>
      </c>
      <c r="AL33" s="24">
        <f t="shared" si="102"/>
        <v>660</v>
      </c>
      <c r="AM33" s="24">
        <f t="shared" si="102"/>
        <v>660</v>
      </c>
      <c r="AN33" s="24">
        <f t="shared" si="102"/>
        <v>660</v>
      </c>
      <c r="AO33" s="24">
        <f t="shared" si="102"/>
        <v>660</v>
      </c>
      <c r="AP33" s="24">
        <f t="shared" si="102"/>
        <v>660</v>
      </c>
      <c r="AQ33" s="24">
        <f t="shared" si="102"/>
        <v>660</v>
      </c>
      <c r="AR33" s="24">
        <f t="shared" si="102"/>
        <v>660</v>
      </c>
      <c r="AS33" s="24">
        <f t="shared" si="102"/>
        <v>660</v>
      </c>
      <c r="AT33" s="24">
        <f t="shared" si="102"/>
        <v>660</v>
      </c>
      <c r="AU33" s="24">
        <f t="shared" si="102"/>
        <v>660</v>
      </c>
      <c r="AV33" s="24">
        <f t="shared" si="102"/>
        <v>660</v>
      </c>
      <c r="AW33" s="24">
        <f t="shared" si="102"/>
        <v>660</v>
      </c>
      <c r="AX33" s="24">
        <f t="shared" si="102"/>
        <v>660</v>
      </c>
      <c r="AY33" s="24">
        <f t="shared" si="102"/>
        <v>660</v>
      </c>
      <c r="AZ33" s="24">
        <f t="shared" si="102"/>
        <v>660</v>
      </c>
      <c r="BA33" s="24">
        <f t="shared" si="102"/>
        <v>660</v>
      </c>
      <c r="BB33" s="24">
        <f t="shared" si="102"/>
        <v>660</v>
      </c>
      <c r="BC33" s="24">
        <f t="shared" si="102"/>
        <v>660</v>
      </c>
      <c r="BD33" s="24">
        <f t="shared" si="102"/>
        <v>660</v>
      </c>
      <c r="BE33" s="24">
        <f t="shared" si="102"/>
        <v>660</v>
      </c>
      <c r="BF33" s="24">
        <f t="shared" si="102"/>
        <v>660</v>
      </c>
      <c r="BG33" s="24">
        <f t="shared" si="102"/>
        <v>660</v>
      </c>
      <c r="BH33" s="24">
        <f t="shared" si="102"/>
        <v>660</v>
      </c>
      <c r="BI33" s="24">
        <f t="shared" si="102"/>
        <v>660</v>
      </c>
      <c r="BJ33" s="24">
        <f t="shared" si="102"/>
        <v>660</v>
      </c>
      <c r="BK33" s="24">
        <f t="shared" si="102"/>
        <v>660</v>
      </c>
      <c r="BL33" s="24">
        <f t="shared" si="102"/>
        <v>660</v>
      </c>
      <c r="BM33" s="24">
        <f t="shared" si="102"/>
        <v>660</v>
      </c>
      <c r="BN33" s="24">
        <f t="shared" si="102"/>
        <v>660</v>
      </c>
      <c r="BO33" s="24">
        <f t="shared" si="102"/>
        <v>660</v>
      </c>
      <c r="BP33" s="24">
        <f t="shared" si="102"/>
        <v>660</v>
      </c>
      <c r="BQ33" s="24">
        <f t="shared" si="102"/>
        <v>660</v>
      </c>
      <c r="BR33" s="24">
        <f t="shared" si="102"/>
        <v>660</v>
      </c>
      <c r="BS33" s="24">
        <f t="shared" si="102"/>
        <v>660</v>
      </c>
      <c r="BT33" s="24">
        <f t="shared" si="102"/>
        <v>660</v>
      </c>
      <c r="BU33" s="24">
        <f t="shared" si="102"/>
        <v>660</v>
      </c>
      <c r="BV33" s="24">
        <f t="shared" si="102"/>
        <v>660</v>
      </c>
      <c r="BW33" s="24">
        <f t="shared" si="102"/>
        <v>660</v>
      </c>
      <c r="BX33" s="24">
        <f t="shared" si="102"/>
        <v>660</v>
      </c>
      <c r="BY33" s="24">
        <f t="shared" si="102"/>
        <v>660</v>
      </c>
      <c r="BZ33" s="24">
        <f t="shared" ref="BZ33:CG33" si="103">$E$75*$E$77</f>
        <v>660</v>
      </c>
      <c r="CA33" s="24">
        <f t="shared" si="103"/>
        <v>660</v>
      </c>
      <c r="CB33" s="24">
        <f t="shared" si="103"/>
        <v>660</v>
      </c>
      <c r="CC33" s="24">
        <f t="shared" si="103"/>
        <v>660</v>
      </c>
      <c r="CD33" s="24">
        <f t="shared" si="103"/>
        <v>660</v>
      </c>
      <c r="CE33" s="24">
        <f t="shared" si="103"/>
        <v>660</v>
      </c>
      <c r="CF33" s="24">
        <f t="shared" si="103"/>
        <v>660</v>
      </c>
      <c r="CG33" s="24">
        <f t="shared" si="103"/>
        <v>660</v>
      </c>
    </row>
    <row r="34" spans="1:85" ht="14.65" thickBot="1" x14ac:dyDescent="0.5">
      <c r="A34" s="43"/>
      <c r="B34" s="69" t="s">
        <v>146</v>
      </c>
      <c r="C34" s="43"/>
      <c r="D34" s="43"/>
      <c r="E34" s="72"/>
      <c r="F34" s="43" t="s">
        <v>139</v>
      </c>
      <c r="N34" s="24">
        <f t="shared" ref="N34:AH34" si="104">-$E$76</f>
        <v>-300</v>
      </c>
      <c r="O34" s="24">
        <f t="shared" si="104"/>
        <v>-300</v>
      </c>
      <c r="P34" s="24">
        <f t="shared" si="104"/>
        <v>-300</v>
      </c>
      <c r="Q34" s="24">
        <f t="shared" si="104"/>
        <v>-300</v>
      </c>
      <c r="R34" s="24">
        <f t="shared" si="104"/>
        <v>-300</v>
      </c>
      <c r="S34" s="24">
        <f t="shared" si="104"/>
        <v>-300</v>
      </c>
      <c r="T34" s="24">
        <f t="shared" si="104"/>
        <v>-300</v>
      </c>
      <c r="U34" s="24">
        <f t="shared" si="104"/>
        <v>-300</v>
      </c>
      <c r="V34" s="24">
        <f t="shared" si="104"/>
        <v>-300</v>
      </c>
      <c r="W34" s="24">
        <f t="shared" si="104"/>
        <v>-300</v>
      </c>
      <c r="X34" s="24">
        <f t="shared" si="104"/>
        <v>-300</v>
      </c>
      <c r="Y34" s="24">
        <f t="shared" si="104"/>
        <v>-300</v>
      </c>
      <c r="Z34" s="24">
        <f t="shared" si="104"/>
        <v>-300</v>
      </c>
      <c r="AA34" s="24">
        <f t="shared" si="104"/>
        <v>-300</v>
      </c>
      <c r="AB34" s="24">
        <f t="shared" si="104"/>
        <v>-300</v>
      </c>
      <c r="AC34" s="24">
        <f t="shared" si="104"/>
        <v>-300</v>
      </c>
      <c r="AD34" s="24">
        <f t="shared" si="104"/>
        <v>-300</v>
      </c>
      <c r="AE34" s="24">
        <f t="shared" si="104"/>
        <v>-300</v>
      </c>
      <c r="AF34" s="24">
        <f t="shared" si="104"/>
        <v>-300</v>
      </c>
      <c r="AG34" s="24">
        <f t="shared" si="104"/>
        <v>-300</v>
      </c>
      <c r="AH34" s="24">
        <f t="shared" si="104"/>
        <v>-300</v>
      </c>
      <c r="AI34" s="24">
        <v>-400</v>
      </c>
      <c r="AJ34" s="24">
        <v>-400</v>
      </c>
      <c r="AK34" s="24">
        <v>-400</v>
      </c>
      <c r="AL34" s="24">
        <f>AK34</f>
        <v>-400</v>
      </c>
      <c r="AM34" s="24">
        <f t="shared" ref="AM34:CD34" si="105">AL34</f>
        <v>-400</v>
      </c>
      <c r="AN34" s="24">
        <f t="shared" si="105"/>
        <v>-400</v>
      </c>
      <c r="AO34" s="24">
        <f t="shared" si="105"/>
        <v>-400</v>
      </c>
      <c r="AP34" s="24">
        <f t="shared" si="105"/>
        <v>-400</v>
      </c>
      <c r="AQ34" s="24">
        <f t="shared" si="105"/>
        <v>-400</v>
      </c>
      <c r="AR34" s="24">
        <f t="shared" si="105"/>
        <v>-400</v>
      </c>
      <c r="AS34" s="24">
        <f t="shared" si="105"/>
        <v>-400</v>
      </c>
      <c r="AT34" s="24">
        <f t="shared" si="105"/>
        <v>-400</v>
      </c>
      <c r="AU34" s="24">
        <f t="shared" si="105"/>
        <v>-400</v>
      </c>
      <c r="AV34" s="24">
        <f t="shared" si="105"/>
        <v>-400</v>
      </c>
      <c r="AW34" s="24">
        <f t="shared" si="105"/>
        <v>-400</v>
      </c>
      <c r="AX34" s="24">
        <f t="shared" si="105"/>
        <v>-400</v>
      </c>
      <c r="AY34" s="24">
        <f t="shared" si="105"/>
        <v>-400</v>
      </c>
      <c r="AZ34" s="24">
        <f t="shared" si="105"/>
        <v>-400</v>
      </c>
      <c r="BA34" s="24">
        <f t="shared" si="105"/>
        <v>-400</v>
      </c>
      <c r="BB34" s="24">
        <f t="shared" si="105"/>
        <v>-400</v>
      </c>
      <c r="BC34" s="24">
        <f t="shared" si="105"/>
        <v>-400</v>
      </c>
      <c r="BD34" s="24">
        <f t="shared" si="105"/>
        <v>-400</v>
      </c>
      <c r="BE34" s="24">
        <f t="shared" si="105"/>
        <v>-400</v>
      </c>
      <c r="BF34" s="24">
        <f t="shared" si="105"/>
        <v>-400</v>
      </c>
      <c r="BG34" s="24">
        <f t="shared" si="105"/>
        <v>-400</v>
      </c>
      <c r="BH34" s="24">
        <f t="shared" si="105"/>
        <v>-400</v>
      </c>
      <c r="BI34" s="24">
        <f t="shared" si="105"/>
        <v>-400</v>
      </c>
      <c r="BJ34" s="24">
        <f t="shared" si="105"/>
        <v>-400</v>
      </c>
      <c r="BK34" s="24">
        <f t="shared" si="105"/>
        <v>-400</v>
      </c>
      <c r="BL34" s="24">
        <f t="shared" si="105"/>
        <v>-400</v>
      </c>
      <c r="BM34" s="24">
        <f t="shared" si="105"/>
        <v>-400</v>
      </c>
      <c r="BN34" s="24">
        <f t="shared" si="105"/>
        <v>-400</v>
      </c>
      <c r="BO34" s="24">
        <f t="shared" si="105"/>
        <v>-400</v>
      </c>
      <c r="BP34" s="24">
        <f t="shared" si="105"/>
        <v>-400</v>
      </c>
      <c r="BQ34" s="24">
        <f t="shared" si="105"/>
        <v>-400</v>
      </c>
      <c r="BR34" s="24">
        <f t="shared" si="105"/>
        <v>-400</v>
      </c>
      <c r="BS34" s="24">
        <f t="shared" si="105"/>
        <v>-400</v>
      </c>
      <c r="BT34" s="24">
        <f t="shared" si="105"/>
        <v>-400</v>
      </c>
      <c r="BU34" s="24">
        <f t="shared" si="105"/>
        <v>-400</v>
      </c>
      <c r="BV34" s="24">
        <f t="shared" si="105"/>
        <v>-400</v>
      </c>
      <c r="BW34" s="24">
        <f t="shared" si="105"/>
        <v>-400</v>
      </c>
      <c r="BX34" s="24">
        <f t="shared" si="105"/>
        <v>-400</v>
      </c>
      <c r="BY34" s="24">
        <f t="shared" si="105"/>
        <v>-400</v>
      </c>
      <c r="BZ34" s="24">
        <f t="shared" si="105"/>
        <v>-400</v>
      </c>
      <c r="CA34" s="24">
        <f t="shared" si="105"/>
        <v>-400</v>
      </c>
      <c r="CB34" s="24">
        <f t="shared" si="105"/>
        <v>-400</v>
      </c>
      <c r="CC34" s="24">
        <f t="shared" si="105"/>
        <v>-400</v>
      </c>
      <c r="CD34" s="24">
        <f t="shared" si="105"/>
        <v>-400</v>
      </c>
      <c r="CE34" s="24">
        <f t="shared" ref="CE34" si="106">CD34</f>
        <v>-400</v>
      </c>
      <c r="CF34" s="24">
        <f t="shared" ref="CF34" si="107">CE34</f>
        <v>-400</v>
      </c>
      <c r="CG34" s="24">
        <f t="shared" ref="CG34" si="108">CF34</f>
        <v>-400</v>
      </c>
    </row>
    <row r="35" spans="1:85" ht="14.65" thickBot="1" x14ac:dyDescent="0.5">
      <c r="A35" s="43"/>
      <c r="B35" s="69" t="s">
        <v>184</v>
      </c>
      <c r="C35" s="43"/>
      <c r="D35" s="43"/>
      <c r="E35" s="72"/>
      <c r="F35" s="43" t="s">
        <v>188</v>
      </c>
      <c r="N35" s="24">
        <f t="shared" ref="N35:BY35" si="109">-$E$80</f>
        <v>-100</v>
      </c>
      <c r="O35" s="24">
        <f t="shared" si="109"/>
        <v>-100</v>
      </c>
      <c r="P35" s="24">
        <f t="shared" si="109"/>
        <v>-100</v>
      </c>
      <c r="Q35" s="24">
        <f t="shared" si="109"/>
        <v>-100</v>
      </c>
      <c r="R35" s="24">
        <f t="shared" si="109"/>
        <v>-100</v>
      </c>
      <c r="S35" s="24">
        <f t="shared" si="109"/>
        <v>-100</v>
      </c>
      <c r="T35" s="24">
        <f t="shared" si="109"/>
        <v>-100</v>
      </c>
      <c r="U35" s="24">
        <f t="shared" si="109"/>
        <v>-100</v>
      </c>
      <c r="V35" s="24">
        <f t="shared" si="109"/>
        <v>-100</v>
      </c>
      <c r="W35" s="24">
        <f t="shared" si="109"/>
        <v>-100</v>
      </c>
      <c r="X35" s="24">
        <f t="shared" si="109"/>
        <v>-100</v>
      </c>
      <c r="Y35" s="24">
        <f t="shared" si="109"/>
        <v>-100</v>
      </c>
      <c r="Z35" s="24">
        <f t="shared" si="109"/>
        <v>-100</v>
      </c>
      <c r="AA35" s="24">
        <f t="shared" si="109"/>
        <v>-100</v>
      </c>
      <c r="AB35" s="24">
        <f t="shared" si="109"/>
        <v>-100</v>
      </c>
      <c r="AC35" s="24">
        <f t="shared" si="109"/>
        <v>-100</v>
      </c>
      <c r="AD35" s="24">
        <f t="shared" si="109"/>
        <v>-100</v>
      </c>
      <c r="AE35" s="24">
        <f t="shared" si="109"/>
        <v>-100</v>
      </c>
      <c r="AF35" s="24">
        <f t="shared" si="109"/>
        <v>-100</v>
      </c>
      <c r="AG35" s="24">
        <f t="shared" si="109"/>
        <v>-100</v>
      </c>
      <c r="AH35" s="24">
        <f t="shared" si="109"/>
        <v>-100</v>
      </c>
      <c r="AI35" s="24">
        <f t="shared" si="109"/>
        <v>-100</v>
      </c>
      <c r="AJ35" s="24">
        <f t="shared" si="109"/>
        <v>-100</v>
      </c>
      <c r="AK35" s="24">
        <f t="shared" si="109"/>
        <v>-100</v>
      </c>
      <c r="AL35" s="24">
        <f t="shared" si="109"/>
        <v>-100</v>
      </c>
      <c r="AM35" s="24">
        <f t="shared" si="109"/>
        <v>-100</v>
      </c>
      <c r="AN35" s="24">
        <f t="shared" si="109"/>
        <v>-100</v>
      </c>
      <c r="AO35" s="24">
        <f t="shared" si="109"/>
        <v>-100</v>
      </c>
      <c r="AP35" s="24">
        <f t="shared" si="109"/>
        <v>-100</v>
      </c>
      <c r="AQ35" s="24">
        <f t="shared" si="109"/>
        <v>-100</v>
      </c>
      <c r="AR35" s="24">
        <f t="shared" si="109"/>
        <v>-100</v>
      </c>
      <c r="AS35" s="24">
        <f t="shared" si="109"/>
        <v>-100</v>
      </c>
      <c r="AT35" s="24">
        <f t="shared" si="109"/>
        <v>-100</v>
      </c>
      <c r="AU35" s="24">
        <f t="shared" si="109"/>
        <v>-100</v>
      </c>
      <c r="AV35" s="24">
        <f t="shared" si="109"/>
        <v>-100</v>
      </c>
      <c r="AW35" s="24">
        <f t="shared" si="109"/>
        <v>-100</v>
      </c>
      <c r="AX35" s="24">
        <f t="shared" si="109"/>
        <v>-100</v>
      </c>
      <c r="AY35" s="24">
        <f t="shared" si="109"/>
        <v>-100</v>
      </c>
      <c r="AZ35" s="24">
        <f t="shared" si="109"/>
        <v>-100</v>
      </c>
      <c r="BA35" s="24">
        <f t="shared" si="109"/>
        <v>-100</v>
      </c>
      <c r="BB35" s="24">
        <f t="shared" si="109"/>
        <v>-100</v>
      </c>
      <c r="BC35" s="24">
        <f t="shared" si="109"/>
        <v>-100</v>
      </c>
      <c r="BD35" s="24">
        <f t="shared" si="109"/>
        <v>-100</v>
      </c>
      <c r="BE35" s="24">
        <f t="shared" si="109"/>
        <v>-100</v>
      </c>
      <c r="BF35" s="24">
        <f t="shared" si="109"/>
        <v>-100</v>
      </c>
      <c r="BG35" s="24">
        <f t="shared" si="109"/>
        <v>-100</v>
      </c>
      <c r="BH35" s="24">
        <f t="shared" si="109"/>
        <v>-100</v>
      </c>
      <c r="BI35" s="24">
        <f t="shared" si="109"/>
        <v>-100</v>
      </c>
      <c r="BJ35" s="24">
        <f t="shared" si="109"/>
        <v>-100</v>
      </c>
      <c r="BK35" s="24">
        <f t="shared" si="109"/>
        <v>-100</v>
      </c>
      <c r="BL35" s="24">
        <f t="shared" si="109"/>
        <v>-100</v>
      </c>
      <c r="BM35" s="24">
        <f t="shared" si="109"/>
        <v>-100</v>
      </c>
      <c r="BN35" s="24">
        <f t="shared" si="109"/>
        <v>-100</v>
      </c>
      <c r="BO35" s="24">
        <f t="shared" si="109"/>
        <v>-100</v>
      </c>
      <c r="BP35" s="24">
        <f t="shared" si="109"/>
        <v>-100</v>
      </c>
      <c r="BQ35" s="24">
        <f t="shared" si="109"/>
        <v>-100</v>
      </c>
      <c r="BR35" s="24">
        <f t="shared" si="109"/>
        <v>-100</v>
      </c>
      <c r="BS35" s="24">
        <f t="shared" si="109"/>
        <v>-100</v>
      </c>
      <c r="BT35" s="24">
        <f t="shared" si="109"/>
        <v>-100</v>
      </c>
      <c r="BU35" s="24">
        <f t="shared" si="109"/>
        <v>-100</v>
      </c>
      <c r="BV35" s="24">
        <f t="shared" si="109"/>
        <v>-100</v>
      </c>
      <c r="BW35" s="24">
        <f t="shared" si="109"/>
        <v>-100</v>
      </c>
      <c r="BX35" s="24">
        <f t="shared" si="109"/>
        <v>-100</v>
      </c>
      <c r="BY35" s="24">
        <f t="shared" si="109"/>
        <v>-100</v>
      </c>
      <c r="BZ35" s="24">
        <f t="shared" ref="BZ35:CG35" si="110">-$E$80</f>
        <v>-100</v>
      </c>
      <c r="CA35" s="24">
        <f t="shared" si="110"/>
        <v>-100</v>
      </c>
      <c r="CB35" s="24">
        <f t="shared" si="110"/>
        <v>-100</v>
      </c>
      <c r="CC35" s="24">
        <f t="shared" si="110"/>
        <v>-100</v>
      </c>
      <c r="CD35" s="24">
        <f t="shared" si="110"/>
        <v>-100</v>
      </c>
      <c r="CE35" s="24">
        <f t="shared" si="110"/>
        <v>-100</v>
      </c>
      <c r="CF35" s="24">
        <f t="shared" si="110"/>
        <v>-100</v>
      </c>
      <c r="CG35" s="24">
        <f t="shared" si="110"/>
        <v>-100</v>
      </c>
    </row>
    <row r="36" spans="1:85" s="27" customFormat="1" x14ac:dyDescent="0.45">
      <c r="A36" s="44"/>
      <c r="B36" s="44"/>
      <c r="C36" s="44"/>
      <c r="D36" s="44"/>
      <c r="E36" s="73"/>
      <c r="F36" s="44" t="s">
        <v>143</v>
      </c>
      <c r="N36" s="82">
        <v>-900</v>
      </c>
    </row>
    <row r="37" spans="1:85" x14ac:dyDescent="0.45">
      <c r="A37" s="23"/>
      <c r="B37" s="23"/>
      <c r="C37" s="23"/>
      <c r="D37" s="23"/>
      <c r="F37" s="117">
        <f>SUM(H32:CG36)</f>
        <v>12720</v>
      </c>
    </row>
    <row r="38" spans="1:85" x14ac:dyDescent="0.45">
      <c r="A38" s="23"/>
      <c r="B38" s="23"/>
      <c r="C38" s="23"/>
      <c r="D38" s="23"/>
    </row>
    <row r="39" spans="1:85" s="27" customFormat="1" ht="18" x14ac:dyDescent="0.55000000000000004">
      <c r="A39" s="110"/>
      <c r="B39" s="111"/>
      <c r="C39" s="111"/>
      <c r="D39" s="111"/>
      <c r="E39" s="112"/>
      <c r="F39" s="113" t="s">
        <v>420</v>
      </c>
    </row>
    <row r="40" spans="1:85" ht="14.65" thickBot="1" x14ac:dyDescent="0.5">
      <c r="A40" s="43"/>
      <c r="B40" s="43"/>
      <c r="C40" s="43"/>
      <c r="D40" s="43"/>
      <c r="E40" s="43"/>
      <c r="F40" s="43"/>
    </row>
    <row r="41" spans="1:85" ht="14.65" thickBot="1" x14ac:dyDescent="0.5">
      <c r="A41" s="43"/>
      <c r="B41" s="69" t="s">
        <v>146</v>
      </c>
      <c r="C41" s="43"/>
      <c r="D41" s="43"/>
      <c r="E41" s="72"/>
      <c r="F41" s="43" t="s">
        <v>139</v>
      </c>
      <c r="AU41" s="24">
        <f t="shared" ref="AU41:CG41" si="111">$E$75*$E$77</f>
        <v>660</v>
      </c>
      <c r="AV41" s="24">
        <f t="shared" si="111"/>
        <v>660</v>
      </c>
      <c r="AW41" s="24">
        <f t="shared" si="111"/>
        <v>660</v>
      </c>
      <c r="AX41" s="24">
        <f t="shared" si="111"/>
        <v>660</v>
      </c>
      <c r="AY41" s="24">
        <f t="shared" si="111"/>
        <v>660</v>
      </c>
      <c r="AZ41" s="24">
        <f t="shared" si="111"/>
        <v>660</v>
      </c>
      <c r="BA41" s="24">
        <f t="shared" si="111"/>
        <v>660</v>
      </c>
      <c r="BB41" s="24">
        <f t="shared" si="111"/>
        <v>660</v>
      </c>
      <c r="BC41" s="24">
        <f t="shared" si="111"/>
        <v>660</v>
      </c>
      <c r="BD41" s="24">
        <f t="shared" si="111"/>
        <v>660</v>
      </c>
      <c r="BE41" s="24">
        <f t="shared" si="111"/>
        <v>660</v>
      </c>
      <c r="BF41" s="24">
        <f t="shared" si="111"/>
        <v>660</v>
      </c>
      <c r="BG41" s="24">
        <f t="shared" si="111"/>
        <v>660</v>
      </c>
      <c r="BH41" s="24">
        <f t="shared" si="111"/>
        <v>660</v>
      </c>
      <c r="BI41" s="24">
        <f t="shared" si="111"/>
        <v>660</v>
      </c>
      <c r="BJ41" s="24">
        <f t="shared" si="111"/>
        <v>660</v>
      </c>
      <c r="BK41" s="24">
        <f t="shared" si="111"/>
        <v>660</v>
      </c>
      <c r="BL41" s="24">
        <f t="shared" si="111"/>
        <v>660</v>
      </c>
      <c r="BM41" s="24">
        <f t="shared" si="111"/>
        <v>660</v>
      </c>
      <c r="BN41" s="24">
        <f t="shared" si="111"/>
        <v>660</v>
      </c>
      <c r="BO41" s="24">
        <f t="shared" si="111"/>
        <v>660</v>
      </c>
      <c r="BP41" s="24">
        <f t="shared" si="111"/>
        <v>660</v>
      </c>
      <c r="BQ41" s="24">
        <f t="shared" si="111"/>
        <v>660</v>
      </c>
      <c r="BR41" s="24">
        <f t="shared" si="111"/>
        <v>660</v>
      </c>
      <c r="BS41" s="24">
        <f t="shared" si="111"/>
        <v>660</v>
      </c>
      <c r="BT41" s="24">
        <f t="shared" si="111"/>
        <v>660</v>
      </c>
      <c r="BU41" s="24">
        <f t="shared" si="111"/>
        <v>660</v>
      </c>
      <c r="BV41" s="24">
        <f t="shared" si="111"/>
        <v>660</v>
      </c>
      <c r="BW41" s="24">
        <f t="shared" si="111"/>
        <v>660</v>
      </c>
      <c r="BX41" s="24">
        <f t="shared" si="111"/>
        <v>660</v>
      </c>
      <c r="BY41" s="24">
        <f t="shared" si="111"/>
        <v>660</v>
      </c>
      <c r="BZ41" s="24">
        <f t="shared" si="111"/>
        <v>660</v>
      </c>
      <c r="CA41" s="24">
        <f t="shared" si="111"/>
        <v>660</v>
      </c>
      <c r="CB41" s="24">
        <f t="shared" si="111"/>
        <v>660</v>
      </c>
      <c r="CC41" s="24">
        <f t="shared" si="111"/>
        <v>660</v>
      </c>
      <c r="CD41" s="24">
        <f t="shared" si="111"/>
        <v>660</v>
      </c>
      <c r="CE41" s="24">
        <f t="shared" si="111"/>
        <v>660</v>
      </c>
      <c r="CF41" s="24">
        <f t="shared" si="111"/>
        <v>660</v>
      </c>
      <c r="CG41" s="24">
        <f t="shared" si="111"/>
        <v>660</v>
      </c>
    </row>
    <row r="42" spans="1:85" ht="14.65" thickBot="1" x14ac:dyDescent="0.5">
      <c r="A42" s="43"/>
      <c r="B42" s="69" t="s">
        <v>184</v>
      </c>
      <c r="C42" s="43"/>
      <c r="D42" s="43"/>
      <c r="E42" s="72"/>
      <c r="F42" s="43" t="s">
        <v>188</v>
      </c>
      <c r="AU42" s="24">
        <v>-390</v>
      </c>
      <c r="AV42" s="24">
        <f>AU42</f>
        <v>-390</v>
      </c>
      <c r="AW42" s="24">
        <f t="shared" ref="AW42:CD42" si="112">AV42</f>
        <v>-390</v>
      </c>
      <c r="AX42" s="24">
        <f t="shared" si="112"/>
        <v>-390</v>
      </c>
      <c r="AY42" s="24">
        <f t="shared" si="112"/>
        <v>-390</v>
      </c>
      <c r="AZ42" s="24">
        <f t="shared" si="112"/>
        <v>-390</v>
      </c>
      <c r="BA42" s="24">
        <f t="shared" si="112"/>
        <v>-390</v>
      </c>
      <c r="BB42" s="24">
        <f t="shared" si="112"/>
        <v>-390</v>
      </c>
      <c r="BC42" s="24">
        <f t="shared" si="112"/>
        <v>-390</v>
      </c>
      <c r="BD42" s="24">
        <f t="shared" si="112"/>
        <v>-390</v>
      </c>
      <c r="BE42" s="24">
        <f t="shared" si="112"/>
        <v>-390</v>
      </c>
      <c r="BF42" s="24">
        <f t="shared" si="112"/>
        <v>-390</v>
      </c>
      <c r="BG42" s="24">
        <f t="shared" si="112"/>
        <v>-390</v>
      </c>
      <c r="BH42" s="24">
        <f t="shared" si="112"/>
        <v>-390</v>
      </c>
      <c r="BI42" s="24">
        <f t="shared" si="112"/>
        <v>-390</v>
      </c>
      <c r="BJ42" s="24">
        <f t="shared" si="112"/>
        <v>-390</v>
      </c>
      <c r="BK42" s="24">
        <f t="shared" si="112"/>
        <v>-390</v>
      </c>
      <c r="BL42" s="24">
        <f t="shared" si="112"/>
        <v>-390</v>
      </c>
      <c r="BM42" s="24">
        <f t="shared" si="112"/>
        <v>-390</v>
      </c>
      <c r="BN42" s="24">
        <f t="shared" si="112"/>
        <v>-390</v>
      </c>
      <c r="BO42" s="24">
        <f t="shared" si="112"/>
        <v>-390</v>
      </c>
      <c r="BP42" s="24">
        <f t="shared" si="112"/>
        <v>-390</v>
      </c>
      <c r="BQ42" s="24">
        <f t="shared" si="112"/>
        <v>-390</v>
      </c>
      <c r="BR42" s="24">
        <f t="shared" si="112"/>
        <v>-390</v>
      </c>
      <c r="BS42" s="24">
        <f t="shared" si="112"/>
        <v>-390</v>
      </c>
      <c r="BT42" s="24">
        <f t="shared" si="112"/>
        <v>-390</v>
      </c>
      <c r="BU42" s="24">
        <f t="shared" si="112"/>
        <v>-390</v>
      </c>
      <c r="BV42" s="24">
        <f t="shared" si="112"/>
        <v>-390</v>
      </c>
      <c r="BW42" s="24">
        <f t="shared" si="112"/>
        <v>-390</v>
      </c>
      <c r="BX42" s="24">
        <f t="shared" si="112"/>
        <v>-390</v>
      </c>
      <c r="BY42" s="24">
        <f t="shared" si="112"/>
        <v>-390</v>
      </c>
      <c r="BZ42" s="24">
        <f t="shared" si="112"/>
        <v>-390</v>
      </c>
      <c r="CA42" s="24">
        <f t="shared" si="112"/>
        <v>-390</v>
      </c>
      <c r="CB42" s="24">
        <f t="shared" si="112"/>
        <v>-390</v>
      </c>
      <c r="CC42" s="24">
        <f t="shared" si="112"/>
        <v>-390</v>
      </c>
      <c r="CD42" s="24">
        <f t="shared" si="112"/>
        <v>-390</v>
      </c>
      <c r="CE42" s="24">
        <f t="shared" ref="CE42" si="113">CD42</f>
        <v>-390</v>
      </c>
      <c r="CF42" s="24">
        <f t="shared" ref="CF42" si="114">CE42</f>
        <v>-390</v>
      </c>
      <c r="CG42" s="24">
        <f t="shared" ref="CG42" si="115">CF42</f>
        <v>-390</v>
      </c>
    </row>
    <row r="43" spans="1:85" s="27" customFormat="1" x14ac:dyDescent="0.45">
      <c r="A43" s="44"/>
      <c r="B43" s="44"/>
      <c r="C43" s="44"/>
      <c r="D43" s="44"/>
      <c r="E43" s="73"/>
      <c r="F43" s="44" t="s">
        <v>143</v>
      </c>
      <c r="AU43" s="27">
        <f t="shared" ref="AU43:CG43" si="116">-$E$80</f>
        <v>-100</v>
      </c>
      <c r="AV43" s="27">
        <f t="shared" si="116"/>
        <v>-100</v>
      </c>
      <c r="AW43" s="27">
        <f t="shared" si="116"/>
        <v>-100</v>
      </c>
      <c r="AX43" s="27">
        <f t="shared" si="116"/>
        <v>-100</v>
      </c>
      <c r="AY43" s="27">
        <f t="shared" si="116"/>
        <v>-100</v>
      </c>
      <c r="AZ43" s="27">
        <f t="shared" si="116"/>
        <v>-100</v>
      </c>
      <c r="BA43" s="27">
        <f t="shared" si="116"/>
        <v>-100</v>
      </c>
      <c r="BB43" s="27">
        <f t="shared" si="116"/>
        <v>-100</v>
      </c>
      <c r="BC43" s="27">
        <f t="shared" si="116"/>
        <v>-100</v>
      </c>
      <c r="BD43" s="27">
        <f t="shared" si="116"/>
        <v>-100</v>
      </c>
      <c r="BE43" s="27">
        <f t="shared" si="116"/>
        <v>-100</v>
      </c>
      <c r="BF43" s="27">
        <f t="shared" si="116"/>
        <v>-100</v>
      </c>
      <c r="BG43" s="27">
        <f t="shared" si="116"/>
        <v>-100</v>
      </c>
      <c r="BH43" s="27">
        <f t="shared" si="116"/>
        <v>-100</v>
      </c>
      <c r="BI43" s="27">
        <f t="shared" si="116"/>
        <v>-100</v>
      </c>
      <c r="BJ43" s="27">
        <f t="shared" si="116"/>
        <v>-100</v>
      </c>
      <c r="BK43" s="27">
        <f t="shared" si="116"/>
        <v>-100</v>
      </c>
      <c r="BL43" s="27">
        <f t="shared" si="116"/>
        <v>-100</v>
      </c>
      <c r="BM43" s="27">
        <f t="shared" si="116"/>
        <v>-100</v>
      </c>
      <c r="BN43" s="27">
        <f t="shared" si="116"/>
        <v>-100</v>
      </c>
      <c r="BO43" s="27">
        <f t="shared" si="116"/>
        <v>-100</v>
      </c>
      <c r="BP43" s="27">
        <f t="shared" si="116"/>
        <v>-100</v>
      </c>
      <c r="BQ43" s="27">
        <f t="shared" si="116"/>
        <v>-100</v>
      </c>
      <c r="BR43" s="27">
        <f t="shared" si="116"/>
        <v>-100</v>
      </c>
      <c r="BS43" s="27">
        <f t="shared" si="116"/>
        <v>-100</v>
      </c>
      <c r="BT43" s="27">
        <f t="shared" si="116"/>
        <v>-100</v>
      </c>
      <c r="BU43" s="27">
        <f t="shared" si="116"/>
        <v>-100</v>
      </c>
      <c r="BV43" s="27">
        <f t="shared" si="116"/>
        <v>-100</v>
      </c>
      <c r="BW43" s="27">
        <f t="shared" si="116"/>
        <v>-100</v>
      </c>
      <c r="BX43" s="27">
        <f t="shared" si="116"/>
        <v>-100</v>
      </c>
      <c r="BY43" s="27">
        <f t="shared" si="116"/>
        <v>-100</v>
      </c>
      <c r="BZ43" s="27">
        <f t="shared" si="116"/>
        <v>-100</v>
      </c>
      <c r="CA43" s="27">
        <f t="shared" si="116"/>
        <v>-100</v>
      </c>
      <c r="CB43" s="27">
        <f t="shared" si="116"/>
        <v>-100</v>
      </c>
      <c r="CC43" s="27">
        <f t="shared" si="116"/>
        <v>-100</v>
      </c>
      <c r="CD43" s="27">
        <f t="shared" si="116"/>
        <v>-100</v>
      </c>
      <c r="CE43" s="27">
        <f t="shared" si="116"/>
        <v>-100</v>
      </c>
      <c r="CF43" s="27">
        <f t="shared" si="116"/>
        <v>-100</v>
      </c>
      <c r="CG43" s="27">
        <f t="shared" si="116"/>
        <v>-100</v>
      </c>
    </row>
    <row r="44" spans="1:85" x14ac:dyDescent="0.45">
      <c r="A44" s="23"/>
      <c r="B44" s="23"/>
      <c r="C44" s="23"/>
      <c r="D44" s="23"/>
      <c r="F44" s="117">
        <f>SUM(H39:CG43)</f>
        <v>6630</v>
      </c>
      <c r="AT44" s="24" t="s">
        <v>276</v>
      </c>
      <c r="AU44" s="82">
        <v>-3000</v>
      </c>
    </row>
    <row r="45" spans="1:85" x14ac:dyDescent="0.45">
      <c r="A45" s="23"/>
      <c r="B45" s="23"/>
      <c r="C45" s="23"/>
      <c r="D45" s="23"/>
    </row>
    <row r="46" spans="1:85" s="27" customFormat="1" ht="18" x14ac:dyDescent="0.55000000000000004">
      <c r="A46" s="110"/>
      <c r="B46" s="111"/>
      <c r="C46" s="111"/>
      <c r="D46" s="111"/>
      <c r="E46" s="112"/>
      <c r="F46" s="113" t="s">
        <v>318</v>
      </c>
    </row>
    <row r="47" spans="1:85" x14ac:dyDescent="0.45">
      <c r="A47" s="43"/>
      <c r="B47" s="43"/>
      <c r="C47" s="43"/>
      <c r="D47" s="43"/>
      <c r="E47" s="43"/>
      <c r="F47" s="43"/>
    </row>
    <row r="48" spans="1:85" ht="14.65" thickBot="1" x14ac:dyDescent="0.5">
      <c r="A48" s="43"/>
      <c r="B48" s="43"/>
      <c r="C48" s="43"/>
      <c r="D48" s="43"/>
      <c r="E48" s="72"/>
      <c r="F48" s="43" t="s">
        <v>164</v>
      </c>
      <c r="Q48" s="24">
        <f t="shared" ref="Q48:Y48" si="117">(Q18+Q26+Q33)*$E$81</f>
        <v>484</v>
      </c>
      <c r="R48" s="24">
        <f t="shared" si="117"/>
        <v>484</v>
      </c>
      <c r="S48" s="24">
        <f t="shared" si="117"/>
        <v>484</v>
      </c>
      <c r="T48" s="24">
        <f t="shared" si="117"/>
        <v>484</v>
      </c>
      <c r="U48" s="24">
        <f t="shared" si="117"/>
        <v>484</v>
      </c>
      <c r="V48" s="24">
        <f t="shared" si="117"/>
        <v>484</v>
      </c>
      <c r="W48" s="24">
        <f t="shared" si="117"/>
        <v>484</v>
      </c>
      <c r="X48" s="24">
        <f t="shared" si="117"/>
        <v>484</v>
      </c>
      <c r="Y48" s="24">
        <f t="shared" si="117"/>
        <v>484</v>
      </c>
      <c r="Z48" s="24">
        <f t="shared" ref="Z48:AE48" si="118">(Z18+Z26+Z33+Z19)*$E$81</f>
        <v>589.6</v>
      </c>
      <c r="AA48" s="24">
        <f t="shared" si="118"/>
        <v>589.6</v>
      </c>
      <c r="AB48" s="24">
        <f t="shared" si="118"/>
        <v>589.6</v>
      </c>
      <c r="AC48" s="24">
        <f t="shared" si="118"/>
        <v>589.6</v>
      </c>
      <c r="AD48" s="24">
        <f t="shared" si="118"/>
        <v>589.6</v>
      </c>
      <c r="AE48" s="24">
        <f t="shared" si="118"/>
        <v>589.6</v>
      </c>
      <c r="AF48" s="24">
        <f t="shared" ref="AF48:AT48" si="119">(AF18+AF26+AF33+AF19)*$E$82</f>
        <v>1474</v>
      </c>
      <c r="AG48" s="24">
        <f t="shared" si="119"/>
        <v>1474</v>
      </c>
      <c r="AH48" s="24">
        <f t="shared" si="119"/>
        <v>1474</v>
      </c>
      <c r="AI48" s="24">
        <f t="shared" si="119"/>
        <v>1474</v>
      </c>
      <c r="AJ48" s="24">
        <f t="shared" si="119"/>
        <v>1474</v>
      </c>
      <c r="AK48" s="24">
        <f t="shared" si="119"/>
        <v>1474</v>
      </c>
      <c r="AL48" s="24">
        <f t="shared" si="119"/>
        <v>1474</v>
      </c>
      <c r="AM48" s="24">
        <f t="shared" si="119"/>
        <v>1474</v>
      </c>
      <c r="AN48" s="24">
        <f t="shared" si="119"/>
        <v>1474</v>
      </c>
      <c r="AO48" s="24">
        <f t="shared" si="119"/>
        <v>1474</v>
      </c>
      <c r="AP48" s="24">
        <f t="shared" si="119"/>
        <v>1474</v>
      </c>
      <c r="AQ48" s="24">
        <f t="shared" si="119"/>
        <v>1474</v>
      </c>
      <c r="AR48" s="24">
        <f t="shared" si="119"/>
        <v>1474</v>
      </c>
      <c r="AS48" s="24">
        <f t="shared" si="119"/>
        <v>1474</v>
      </c>
      <c r="AT48" s="24">
        <f t="shared" si="119"/>
        <v>1474</v>
      </c>
      <c r="AU48" s="24">
        <f>(AU18+AU26+AU33+AU19+AU41)*$E$82</f>
        <v>1804</v>
      </c>
      <c r="AV48" s="24">
        <f t="shared" ref="AV48:CD48" si="120">(AV18+AV26+AV33+AV19)*$E$82</f>
        <v>1474</v>
      </c>
      <c r="AW48" s="24">
        <f t="shared" si="120"/>
        <v>1474</v>
      </c>
      <c r="AX48" s="24">
        <f t="shared" si="120"/>
        <v>1474</v>
      </c>
      <c r="AY48" s="24">
        <f t="shared" si="120"/>
        <v>1474</v>
      </c>
      <c r="AZ48" s="24">
        <f t="shared" si="120"/>
        <v>1474</v>
      </c>
      <c r="BA48" s="24">
        <f t="shared" si="120"/>
        <v>1474</v>
      </c>
      <c r="BB48" s="24">
        <f t="shared" si="120"/>
        <v>1474</v>
      </c>
      <c r="BC48" s="24">
        <f t="shared" si="120"/>
        <v>1474</v>
      </c>
      <c r="BD48" s="24">
        <f t="shared" si="120"/>
        <v>1474</v>
      </c>
      <c r="BE48" s="24">
        <f t="shared" si="120"/>
        <v>1474</v>
      </c>
      <c r="BF48" s="24">
        <f t="shared" si="120"/>
        <v>1474</v>
      </c>
      <c r="BG48" s="24">
        <f t="shared" si="120"/>
        <v>1474</v>
      </c>
      <c r="BH48" s="24">
        <f t="shared" si="120"/>
        <v>1474</v>
      </c>
      <c r="BI48" s="24">
        <f t="shared" si="120"/>
        <v>1474</v>
      </c>
      <c r="BJ48" s="24">
        <f t="shared" si="120"/>
        <v>1474</v>
      </c>
      <c r="BK48" s="24">
        <f t="shared" si="120"/>
        <v>1474</v>
      </c>
      <c r="BL48" s="24">
        <f t="shared" si="120"/>
        <v>1474</v>
      </c>
      <c r="BM48" s="24">
        <f t="shared" si="120"/>
        <v>1474</v>
      </c>
      <c r="BN48" s="24">
        <f t="shared" si="120"/>
        <v>1474</v>
      </c>
      <c r="BO48" s="24">
        <f t="shared" si="120"/>
        <v>1474</v>
      </c>
      <c r="BP48" s="24">
        <f t="shared" si="120"/>
        <v>1474</v>
      </c>
      <c r="BQ48" s="24">
        <f t="shared" si="120"/>
        <v>1474</v>
      </c>
      <c r="BR48" s="24">
        <f t="shared" si="120"/>
        <v>1474</v>
      </c>
      <c r="BS48" s="24">
        <f t="shared" si="120"/>
        <v>1474</v>
      </c>
      <c r="BT48" s="24">
        <f t="shared" si="120"/>
        <v>1474</v>
      </c>
      <c r="BU48" s="24">
        <f t="shared" si="120"/>
        <v>1474</v>
      </c>
      <c r="BV48" s="24">
        <f t="shared" si="120"/>
        <v>1474</v>
      </c>
      <c r="BW48" s="24">
        <f t="shared" si="120"/>
        <v>1474</v>
      </c>
      <c r="BX48" s="24">
        <f t="shared" si="120"/>
        <v>1474</v>
      </c>
      <c r="BY48" s="24">
        <f t="shared" si="120"/>
        <v>1474</v>
      </c>
      <c r="BZ48" s="24">
        <f t="shared" si="120"/>
        <v>1474</v>
      </c>
      <c r="CA48" s="24">
        <f t="shared" si="120"/>
        <v>1474</v>
      </c>
      <c r="CB48" s="24">
        <f t="shared" si="120"/>
        <v>1474</v>
      </c>
      <c r="CC48" s="24">
        <f t="shared" si="120"/>
        <v>1474</v>
      </c>
      <c r="CD48" s="24">
        <f t="shared" si="120"/>
        <v>1474</v>
      </c>
      <c r="CE48" s="24">
        <f t="shared" ref="CE48:CG48" si="121">(CE18+CE26+CE33+CE19)*$E$82</f>
        <v>1474</v>
      </c>
      <c r="CF48" s="24">
        <f t="shared" si="121"/>
        <v>1474</v>
      </c>
      <c r="CG48" s="24">
        <f t="shared" si="121"/>
        <v>1474</v>
      </c>
    </row>
    <row r="49" spans="1:85" ht="14.65" thickBot="1" x14ac:dyDescent="0.5">
      <c r="A49" s="43"/>
      <c r="B49" s="69" t="s">
        <v>146</v>
      </c>
      <c r="C49" s="69" t="s">
        <v>146</v>
      </c>
      <c r="D49" s="72"/>
      <c r="E49" s="72"/>
      <c r="F49" s="43" t="s">
        <v>167</v>
      </c>
      <c r="Q49" s="24">
        <f t="shared" ref="Q49:AE49" si="122">-$E$84</f>
        <v>-350</v>
      </c>
      <c r="R49" s="24">
        <f t="shared" si="122"/>
        <v>-350</v>
      </c>
      <c r="S49" s="24">
        <f t="shared" si="122"/>
        <v>-350</v>
      </c>
      <c r="T49" s="24">
        <f t="shared" si="122"/>
        <v>-350</v>
      </c>
      <c r="U49" s="24">
        <f t="shared" si="122"/>
        <v>-350</v>
      </c>
      <c r="V49" s="24">
        <f t="shared" si="122"/>
        <v>-350</v>
      </c>
      <c r="W49" s="24">
        <f t="shared" si="122"/>
        <v>-350</v>
      </c>
      <c r="X49" s="24">
        <f t="shared" si="122"/>
        <v>-350</v>
      </c>
      <c r="Y49" s="24">
        <f t="shared" si="122"/>
        <v>-350</v>
      </c>
      <c r="Z49" s="24">
        <f t="shared" si="122"/>
        <v>-350</v>
      </c>
      <c r="AA49" s="24">
        <f t="shared" si="122"/>
        <v>-350</v>
      </c>
      <c r="AB49" s="24">
        <f t="shared" si="122"/>
        <v>-350</v>
      </c>
      <c r="AC49" s="24">
        <f t="shared" si="122"/>
        <v>-350</v>
      </c>
      <c r="AD49" s="24">
        <f t="shared" si="122"/>
        <v>-350</v>
      </c>
      <c r="AE49" s="24">
        <f t="shared" si="122"/>
        <v>-350</v>
      </c>
      <c r="AF49" s="24">
        <f t="shared" ref="AF49:CG49" si="123">-$E$84*2</f>
        <v>-700</v>
      </c>
      <c r="AG49" s="24">
        <f t="shared" si="123"/>
        <v>-700</v>
      </c>
      <c r="AH49" s="24">
        <f t="shared" si="123"/>
        <v>-700</v>
      </c>
      <c r="AI49" s="24">
        <f t="shared" si="123"/>
        <v>-700</v>
      </c>
      <c r="AJ49" s="24">
        <f t="shared" si="123"/>
        <v>-700</v>
      </c>
      <c r="AK49" s="24">
        <f t="shared" si="123"/>
        <v>-700</v>
      </c>
      <c r="AL49" s="24">
        <f t="shared" si="123"/>
        <v>-700</v>
      </c>
      <c r="AM49" s="24">
        <f t="shared" si="123"/>
        <v>-700</v>
      </c>
      <c r="AN49" s="24">
        <f t="shared" si="123"/>
        <v>-700</v>
      </c>
      <c r="AO49" s="24">
        <f t="shared" si="123"/>
        <v>-700</v>
      </c>
      <c r="AP49" s="24">
        <f t="shared" si="123"/>
        <v>-700</v>
      </c>
      <c r="AQ49" s="24">
        <f t="shared" si="123"/>
        <v>-700</v>
      </c>
      <c r="AR49" s="24">
        <f t="shared" si="123"/>
        <v>-700</v>
      </c>
      <c r="AS49" s="24">
        <f t="shared" si="123"/>
        <v>-700</v>
      </c>
      <c r="AT49" s="24">
        <f t="shared" si="123"/>
        <v>-700</v>
      </c>
      <c r="AU49" s="24">
        <f t="shared" si="123"/>
        <v>-700</v>
      </c>
      <c r="AV49" s="24">
        <f t="shared" si="123"/>
        <v>-700</v>
      </c>
      <c r="AW49" s="24">
        <f t="shared" si="123"/>
        <v>-700</v>
      </c>
      <c r="AX49" s="24">
        <f t="shared" si="123"/>
        <v>-700</v>
      </c>
      <c r="AY49" s="24">
        <f t="shared" si="123"/>
        <v>-700</v>
      </c>
      <c r="AZ49" s="24">
        <f t="shared" si="123"/>
        <v>-700</v>
      </c>
      <c r="BA49" s="24">
        <f t="shared" si="123"/>
        <v>-700</v>
      </c>
      <c r="BB49" s="24">
        <f t="shared" si="123"/>
        <v>-700</v>
      </c>
      <c r="BC49" s="24">
        <f t="shared" si="123"/>
        <v>-700</v>
      </c>
      <c r="BD49" s="24">
        <f t="shared" si="123"/>
        <v>-700</v>
      </c>
      <c r="BE49" s="24">
        <f t="shared" si="123"/>
        <v>-700</v>
      </c>
      <c r="BF49" s="24">
        <f t="shared" si="123"/>
        <v>-700</v>
      </c>
      <c r="BG49" s="24">
        <f t="shared" si="123"/>
        <v>-700</v>
      </c>
      <c r="BH49" s="24">
        <f t="shared" si="123"/>
        <v>-700</v>
      </c>
      <c r="BI49" s="24">
        <f t="shared" si="123"/>
        <v>-700</v>
      </c>
      <c r="BJ49" s="24">
        <f t="shared" si="123"/>
        <v>-700</v>
      </c>
      <c r="BK49" s="24">
        <f t="shared" si="123"/>
        <v>-700</v>
      </c>
      <c r="BL49" s="24">
        <f t="shared" si="123"/>
        <v>-700</v>
      </c>
      <c r="BM49" s="24">
        <f t="shared" si="123"/>
        <v>-700</v>
      </c>
      <c r="BN49" s="24">
        <f t="shared" si="123"/>
        <v>-700</v>
      </c>
      <c r="BO49" s="24">
        <f t="shared" si="123"/>
        <v>-700</v>
      </c>
      <c r="BP49" s="24">
        <f t="shared" si="123"/>
        <v>-700</v>
      </c>
      <c r="BQ49" s="24">
        <f t="shared" si="123"/>
        <v>-700</v>
      </c>
      <c r="BR49" s="24">
        <f t="shared" si="123"/>
        <v>-700</v>
      </c>
      <c r="BS49" s="24">
        <f t="shared" si="123"/>
        <v>-700</v>
      </c>
      <c r="BT49" s="24">
        <f t="shared" si="123"/>
        <v>-700</v>
      </c>
      <c r="BU49" s="24">
        <f t="shared" si="123"/>
        <v>-700</v>
      </c>
      <c r="BV49" s="24">
        <f t="shared" si="123"/>
        <v>-700</v>
      </c>
      <c r="BW49" s="24">
        <f t="shared" si="123"/>
        <v>-700</v>
      </c>
      <c r="BX49" s="24">
        <f t="shared" si="123"/>
        <v>-700</v>
      </c>
      <c r="BY49" s="24">
        <f t="shared" si="123"/>
        <v>-700</v>
      </c>
      <c r="BZ49" s="24">
        <f t="shared" si="123"/>
        <v>-700</v>
      </c>
      <c r="CA49" s="24">
        <f t="shared" si="123"/>
        <v>-700</v>
      </c>
      <c r="CB49" s="24">
        <f t="shared" si="123"/>
        <v>-700</v>
      </c>
      <c r="CC49" s="24">
        <f t="shared" si="123"/>
        <v>-700</v>
      </c>
      <c r="CD49" s="24">
        <f t="shared" si="123"/>
        <v>-700</v>
      </c>
      <c r="CE49" s="24">
        <f t="shared" si="123"/>
        <v>-700</v>
      </c>
      <c r="CF49" s="24">
        <f t="shared" si="123"/>
        <v>-700</v>
      </c>
      <c r="CG49" s="24">
        <f t="shared" si="123"/>
        <v>-700</v>
      </c>
    </row>
    <row r="50" spans="1:85" ht="14.65" thickBot="1" x14ac:dyDescent="0.5">
      <c r="A50" s="43"/>
      <c r="B50" s="43"/>
      <c r="C50" s="43"/>
      <c r="D50" s="43"/>
      <c r="E50" s="72"/>
      <c r="F50" s="124"/>
      <c r="P50" s="115" t="s">
        <v>407</v>
      </c>
      <c r="Q50" s="27" t="s">
        <v>315</v>
      </c>
    </row>
    <row r="51" spans="1:85" s="27" customFormat="1" ht="14.65" thickBot="1" x14ac:dyDescent="0.5">
      <c r="A51" s="44"/>
      <c r="B51" s="69" t="s">
        <v>184</v>
      </c>
      <c r="C51" s="43"/>
      <c r="D51" s="43"/>
      <c r="E51" s="73"/>
      <c r="F51" s="124" t="s">
        <v>319</v>
      </c>
      <c r="AE51" s="122" t="s">
        <v>316</v>
      </c>
      <c r="AF51" s="118">
        <v>-12000</v>
      </c>
    </row>
    <row r="52" spans="1:85" x14ac:dyDescent="0.45">
      <c r="A52" s="23"/>
      <c r="B52" s="23"/>
      <c r="C52" s="23"/>
      <c r="D52" s="23"/>
      <c r="F52" s="117">
        <f>SUM(H47:CG51)</f>
        <v>32769.600000000006</v>
      </c>
    </row>
    <row r="53" spans="1:85" x14ac:dyDescent="0.45">
      <c r="A53" s="23"/>
      <c r="B53" s="23"/>
      <c r="C53" s="23"/>
      <c r="D53" s="23"/>
    </row>
    <row r="54" spans="1:85" ht="18.399999999999999" thickBot="1" x14ac:dyDescent="0.6">
      <c r="A54" s="110"/>
      <c r="B54" s="111"/>
      <c r="C54" s="111"/>
      <c r="D54" s="111"/>
      <c r="E54" s="112"/>
      <c r="F54" s="113" t="s">
        <v>262</v>
      </c>
    </row>
    <row r="55" spans="1:85" ht="14.65" thickBot="1" x14ac:dyDescent="0.5">
      <c r="A55" s="43"/>
      <c r="B55" s="70" t="s">
        <v>184</v>
      </c>
      <c r="C55" s="43"/>
      <c r="D55" s="43"/>
      <c r="E55" s="72"/>
      <c r="F55" s="43" t="s">
        <v>181</v>
      </c>
      <c r="H55" s="24">
        <f t="shared" ref="H55:AU55" si="124">-$E$79</f>
        <v>-25</v>
      </c>
      <c r="I55" s="24">
        <f t="shared" si="124"/>
        <v>-25</v>
      </c>
      <c r="J55" s="24">
        <f t="shared" si="124"/>
        <v>-25</v>
      </c>
      <c r="K55" s="24">
        <f t="shared" si="124"/>
        <v>-25</v>
      </c>
      <c r="L55" s="24">
        <f t="shared" si="124"/>
        <v>-25</v>
      </c>
      <c r="M55" s="24">
        <f t="shared" si="124"/>
        <v>-25</v>
      </c>
      <c r="N55" s="24">
        <f t="shared" si="124"/>
        <v>-25</v>
      </c>
      <c r="O55" s="24">
        <f t="shared" si="124"/>
        <v>-25</v>
      </c>
      <c r="P55" s="24">
        <f t="shared" si="124"/>
        <v>-25</v>
      </c>
      <c r="Q55" s="24">
        <f t="shared" si="124"/>
        <v>-25</v>
      </c>
      <c r="R55" s="24">
        <f t="shared" si="124"/>
        <v>-25</v>
      </c>
      <c r="S55" s="24">
        <f t="shared" si="124"/>
        <v>-25</v>
      </c>
      <c r="T55" s="24">
        <f t="shared" si="124"/>
        <v>-25</v>
      </c>
      <c r="U55" s="24">
        <f t="shared" si="124"/>
        <v>-25</v>
      </c>
      <c r="V55" s="24">
        <f t="shared" si="124"/>
        <v>-25</v>
      </c>
      <c r="W55" s="24">
        <f t="shared" si="124"/>
        <v>-25</v>
      </c>
      <c r="X55" s="24">
        <f t="shared" si="124"/>
        <v>-25</v>
      </c>
      <c r="Y55" s="24">
        <f t="shared" si="124"/>
        <v>-25</v>
      </c>
      <c r="Z55" s="24">
        <f t="shared" si="124"/>
        <v>-25</v>
      </c>
      <c r="AA55" s="24">
        <f t="shared" si="124"/>
        <v>-25</v>
      </c>
      <c r="AB55" s="24">
        <f t="shared" si="124"/>
        <v>-25</v>
      </c>
      <c r="AC55" s="24">
        <f t="shared" si="124"/>
        <v>-25</v>
      </c>
      <c r="AD55" s="24">
        <f t="shared" si="124"/>
        <v>-25</v>
      </c>
      <c r="AE55" s="24">
        <f t="shared" si="124"/>
        <v>-25</v>
      </c>
      <c r="AF55" s="24">
        <f t="shared" si="124"/>
        <v>-25</v>
      </c>
      <c r="AG55" s="24">
        <f t="shared" si="124"/>
        <v>-25</v>
      </c>
      <c r="AH55" s="24">
        <f t="shared" si="124"/>
        <v>-25</v>
      </c>
      <c r="AI55" s="24">
        <f t="shared" si="124"/>
        <v>-25</v>
      </c>
      <c r="AJ55" s="24">
        <f t="shared" si="124"/>
        <v>-25</v>
      </c>
      <c r="AK55" s="24">
        <f t="shared" si="124"/>
        <v>-25</v>
      </c>
      <c r="AL55" s="24">
        <f t="shared" si="124"/>
        <v>-25</v>
      </c>
      <c r="AM55" s="24">
        <f t="shared" si="124"/>
        <v>-25</v>
      </c>
      <c r="AN55" s="24">
        <f t="shared" si="124"/>
        <v>-25</v>
      </c>
      <c r="AO55" s="24">
        <f t="shared" si="124"/>
        <v>-25</v>
      </c>
      <c r="AP55" s="24">
        <f t="shared" si="124"/>
        <v>-25</v>
      </c>
      <c r="AQ55" s="24">
        <f t="shared" si="124"/>
        <v>-25</v>
      </c>
      <c r="AR55" s="24">
        <f t="shared" si="124"/>
        <v>-25</v>
      </c>
      <c r="AS55" s="24">
        <f t="shared" si="124"/>
        <v>-25</v>
      </c>
      <c r="AT55" s="24">
        <f t="shared" si="124"/>
        <v>-25</v>
      </c>
      <c r="AU55" s="24">
        <f t="shared" si="124"/>
        <v>-25</v>
      </c>
      <c r="AV55" s="24">
        <f t="shared" ref="AV55:BX56" si="125">-$E$79</f>
        <v>-25</v>
      </c>
      <c r="AW55" s="24">
        <f t="shared" si="125"/>
        <v>-25</v>
      </c>
      <c r="AX55" s="24">
        <f t="shared" si="125"/>
        <v>-25</v>
      </c>
      <c r="AY55" s="24">
        <f t="shared" si="125"/>
        <v>-25</v>
      </c>
      <c r="AZ55" s="24">
        <f t="shared" si="125"/>
        <v>-25</v>
      </c>
      <c r="BA55" s="24">
        <f t="shared" si="125"/>
        <v>-25</v>
      </c>
      <c r="BB55" s="24">
        <f t="shared" si="125"/>
        <v>-25</v>
      </c>
      <c r="BC55" s="24">
        <f t="shared" si="125"/>
        <v>-25</v>
      </c>
      <c r="BD55" s="24">
        <f t="shared" si="125"/>
        <v>-25</v>
      </c>
      <c r="BE55" s="24">
        <f t="shared" si="125"/>
        <v>-25</v>
      </c>
      <c r="BF55" s="24">
        <f t="shared" si="125"/>
        <v>-25</v>
      </c>
      <c r="BG55" s="24">
        <f t="shared" si="125"/>
        <v>-25</v>
      </c>
      <c r="BH55" s="24">
        <f t="shared" si="125"/>
        <v>-25</v>
      </c>
      <c r="BI55" s="24">
        <f t="shared" si="125"/>
        <v>-25</v>
      </c>
      <c r="BJ55" s="24">
        <f t="shared" si="125"/>
        <v>-25</v>
      </c>
      <c r="BK55" s="24">
        <f t="shared" si="125"/>
        <v>-25</v>
      </c>
      <c r="BL55" s="24">
        <f t="shared" si="125"/>
        <v>-25</v>
      </c>
      <c r="BM55" s="24">
        <f t="shared" si="125"/>
        <v>-25</v>
      </c>
      <c r="BN55" s="24">
        <f t="shared" si="125"/>
        <v>-25</v>
      </c>
      <c r="BO55" s="24">
        <f t="shared" si="125"/>
        <v>-25</v>
      </c>
      <c r="BP55" s="24">
        <f t="shared" si="125"/>
        <v>-25</v>
      </c>
      <c r="BQ55" s="24">
        <f t="shared" si="125"/>
        <v>-25</v>
      </c>
      <c r="BR55" s="24">
        <f t="shared" si="125"/>
        <v>-25</v>
      </c>
      <c r="BS55" s="24">
        <f t="shared" si="125"/>
        <v>-25</v>
      </c>
      <c r="BT55" s="24">
        <f t="shared" si="125"/>
        <v>-25</v>
      </c>
      <c r="BU55" s="24">
        <f t="shared" si="125"/>
        <v>-25</v>
      </c>
      <c r="BV55" s="24">
        <f t="shared" si="125"/>
        <v>-25</v>
      </c>
      <c r="BW55" s="24">
        <f t="shared" si="125"/>
        <v>-25</v>
      </c>
      <c r="BX55" s="24">
        <f t="shared" si="125"/>
        <v>-25</v>
      </c>
      <c r="BY55" s="24">
        <f t="shared" ref="BX55:CG57" si="126">-$E$79</f>
        <v>-25</v>
      </c>
      <c r="BZ55" s="24">
        <f t="shared" si="126"/>
        <v>-25</v>
      </c>
      <c r="CA55" s="24">
        <f t="shared" si="126"/>
        <v>-25</v>
      </c>
      <c r="CB55" s="24">
        <f t="shared" si="126"/>
        <v>-25</v>
      </c>
      <c r="CC55" s="24">
        <f t="shared" si="126"/>
        <v>-25</v>
      </c>
      <c r="CD55" s="24">
        <f t="shared" si="126"/>
        <v>-25</v>
      </c>
      <c r="CE55" s="24">
        <f t="shared" si="126"/>
        <v>-25</v>
      </c>
      <c r="CF55" s="24">
        <f t="shared" si="126"/>
        <v>-25</v>
      </c>
      <c r="CG55" s="24">
        <f t="shared" si="126"/>
        <v>-25</v>
      </c>
    </row>
    <row r="56" spans="1:85" ht="14.65" thickBot="1" x14ac:dyDescent="0.5">
      <c r="A56" s="43"/>
      <c r="B56" s="69" t="s">
        <v>184</v>
      </c>
      <c r="C56" s="43"/>
      <c r="D56" s="43"/>
      <c r="E56" s="72"/>
      <c r="F56" s="43" t="s">
        <v>182</v>
      </c>
      <c r="K56" s="24">
        <f t="shared" ref="K56:AU56" si="127">-$E$79</f>
        <v>-25</v>
      </c>
      <c r="L56" s="24">
        <f t="shared" si="127"/>
        <v>-25</v>
      </c>
      <c r="M56" s="24">
        <f t="shared" si="127"/>
        <v>-25</v>
      </c>
      <c r="N56" s="24">
        <f t="shared" si="127"/>
        <v>-25</v>
      </c>
      <c r="O56" s="24">
        <f t="shared" si="127"/>
        <v>-25</v>
      </c>
      <c r="P56" s="24">
        <f t="shared" si="127"/>
        <v>-25</v>
      </c>
      <c r="Q56" s="24">
        <f t="shared" si="127"/>
        <v>-25</v>
      </c>
      <c r="R56" s="24">
        <f t="shared" si="127"/>
        <v>-25</v>
      </c>
      <c r="S56" s="24">
        <f t="shared" si="127"/>
        <v>-25</v>
      </c>
      <c r="T56" s="24">
        <f t="shared" si="127"/>
        <v>-25</v>
      </c>
      <c r="U56" s="24">
        <f t="shared" si="127"/>
        <v>-25</v>
      </c>
      <c r="V56" s="24">
        <f t="shared" si="127"/>
        <v>-25</v>
      </c>
      <c r="W56" s="24">
        <f t="shared" si="127"/>
        <v>-25</v>
      </c>
      <c r="X56" s="24">
        <f t="shared" si="127"/>
        <v>-25</v>
      </c>
      <c r="Y56" s="24">
        <f t="shared" si="127"/>
        <v>-25</v>
      </c>
      <c r="Z56" s="24">
        <f t="shared" si="127"/>
        <v>-25</v>
      </c>
      <c r="AA56" s="24">
        <f t="shared" si="127"/>
        <v>-25</v>
      </c>
      <c r="AB56" s="24">
        <f t="shared" si="127"/>
        <v>-25</v>
      </c>
      <c r="AC56" s="24">
        <f t="shared" si="127"/>
        <v>-25</v>
      </c>
      <c r="AD56" s="24">
        <f t="shared" si="127"/>
        <v>-25</v>
      </c>
      <c r="AE56" s="24">
        <f t="shared" si="127"/>
        <v>-25</v>
      </c>
      <c r="AF56" s="24">
        <f t="shared" si="127"/>
        <v>-25</v>
      </c>
      <c r="AG56" s="24">
        <f t="shared" si="127"/>
        <v>-25</v>
      </c>
      <c r="AH56" s="24">
        <f t="shared" si="127"/>
        <v>-25</v>
      </c>
      <c r="AI56" s="24">
        <f t="shared" si="127"/>
        <v>-25</v>
      </c>
      <c r="AJ56" s="24">
        <f t="shared" si="127"/>
        <v>-25</v>
      </c>
      <c r="AK56" s="24">
        <f t="shared" si="127"/>
        <v>-25</v>
      </c>
      <c r="AL56" s="24">
        <f t="shared" si="127"/>
        <v>-25</v>
      </c>
      <c r="AM56" s="24">
        <f t="shared" si="127"/>
        <v>-25</v>
      </c>
      <c r="AN56" s="24">
        <f t="shared" si="127"/>
        <v>-25</v>
      </c>
      <c r="AO56" s="24">
        <f t="shared" si="127"/>
        <v>-25</v>
      </c>
      <c r="AP56" s="24">
        <f t="shared" si="127"/>
        <v>-25</v>
      </c>
      <c r="AQ56" s="24">
        <f t="shared" si="127"/>
        <v>-25</v>
      </c>
      <c r="AR56" s="24">
        <f t="shared" si="127"/>
        <v>-25</v>
      </c>
      <c r="AS56" s="24">
        <f t="shared" si="127"/>
        <v>-25</v>
      </c>
      <c r="AT56" s="24">
        <f t="shared" si="127"/>
        <v>-25</v>
      </c>
      <c r="AU56" s="24">
        <f t="shared" si="127"/>
        <v>-25</v>
      </c>
      <c r="AV56" s="24">
        <f t="shared" si="125"/>
        <v>-25</v>
      </c>
      <c r="AW56" s="24">
        <f t="shared" si="125"/>
        <v>-25</v>
      </c>
      <c r="AX56" s="24">
        <f t="shared" si="125"/>
        <v>-25</v>
      </c>
      <c r="AY56" s="24">
        <f t="shared" si="125"/>
        <v>-25</v>
      </c>
      <c r="AZ56" s="24">
        <f t="shared" si="125"/>
        <v>-25</v>
      </c>
      <c r="BA56" s="24">
        <f t="shared" si="125"/>
        <v>-25</v>
      </c>
      <c r="BB56" s="24">
        <f t="shared" si="125"/>
        <v>-25</v>
      </c>
      <c r="BC56" s="24">
        <f t="shared" si="125"/>
        <v>-25</v>
      </c>
      <c r="BD56" s="24">
        <f t="shared" si="125"/>
        <v>-25</v>
      </c>
      <c r="BE56" s="24">
        <f t="shared" si="125"/>
        <v>-25</v>
      </c>
      <c r="BF56" s="24">
        <f t="shared" si="125"/>
        <v>-25</v>
      </c>
      <c r="BG56" s="24">
        <f t="shared" si="125"/>
        <v>-25</v>
      </c>
      <c r="BH56" s="24">
        <f t="shared" si="125"/>
        <v>-25</v>
      </c>
      <c r="BI56" s="24">
        <f t="shared" si="125"/>
        <v>-25</v>
      </c>
      <c r="BJ56" s="24">
        <f t="shared" si="125"/>
        <v>-25</v>
      </c>
      <c r="BK56" s="24">
        <f t="shared" si="125"/>
        <v>-25</v>
      </c>
      <c r="BL56" s="24">
        <f t="shared" si="125"/>
        <v>-25</v>
      </c>
      <c r="BM56" s="24">
        <f t="shared" si="125"/>
        <v>-25</v>
      </c>
      <c r="BN56" s="24">
        <f t="shared" si="125"/>
        <v>-25</v>
      </c>
      <c r="BO56" s="24">
        <f t="shared" si="125"/>
        <v>-25</v>
      </c>
      <c r="BP56" s="24">
        <f t="shared" si="125"/>
        <v>-25</v>
      </c>
      <c r="BQ56" s="24">
        <f t="shared" si="125"/>
        <v>-25</v>
      </c>
      <c r="BR56" s="24">
        <f t="shared" si="125"/>
        <v>-25</v>
      </c>
      <c r="BS56" s="24">
        <f t="shared" si="125"/>
        <v>-25</v>
      </c>
      <c r="BT56" s="24">
        <f t="shared" si="125"/>
        <v>-25</v>
      </c>
      <c r="BU56" s="24">
        <f t="shared" si="125"/>
        <v>-25</v>
      </c>
      <c r="BV56" s="24">
        <f t="shared" si="125"/>
        <v>-25</v>
      </c>
      <c r="BW56" s="24">
        <f t="shared" si="125"/>
        <v>-25</v>
      </c>
      <c r="BX56" s="24">
        <f t="shared" si="126"/>
        <v>-25</v>
      </c>
      <c r="BY56" s="24">
        <f t="shared" si="126"/>
        <v>-25</v>
      </c>
      <c r="BZ56" s="24">
        <f t="shared" si="126"/>
        <v>-25</v>
      </c>
      <c r="CA56" s="24">
        <f t="shared" si="126"/>
        <v>-25</v>
      </c>
      <c r="CB56" s="24">
        <f t="shared" si="126"/>
        <v>-25</v>
      </c>
      <c r="CC56" s="24">
        <f t="shared" si="126"/>
        <v>-25</v>
      </c>
      <c r="CD56" s="24">
        <f t="shared" si="126"/>
        <v>-25</v>
      </c>
      <c r="CE56" s="24">
        <f t="shared" si="126"/>
        <v>-25</v>
      </c>
      <c r="CF56" s="24">
        <f t="shared" si="126"/>
        <v>-25</v>
      </c>
      <c r="CG56" s="24">
        <f t="shared" si="126"/>
        <v>-25</v>
      </c>
    </row>
    <row r="57" spans="1:85" ht="14.65" thickBot="1" x14ac:dyDescent="0.5">
      <c r="A57" s="43"/>
      <c r="B57" s="71" t="s">
        <v>184</v>
      </c>
      <c r="C57" s="43"/>
      <c r="D57" s="43"/>
      <c r="E57" s="72"/>
      <c r="F57" s="43" t="s">
        <v>183</v>
      </c>
      <c r="N57" s="24">
        <f t="shared" ref="N57:BY57" si="128">-$E$79</f>
        <v>-25</v>
      </c>
      <c r="O57" s="24">
        <f t="shared" si="128"/>
        <v>-25</v>
      </c>
      <c r="P57" s="24">
        <f t="shared" si="128"/>
        <v>-25</v>
      </c>
      <c r="Q57" s="24">
        <f t="shared" si="128"/>
        <v>-25</v>
      </c>
      <c r="R57" s="24">
        <f t="shared" si="128"/>
        <v>-25</v>
      </c>
      <c r="S57" s="24">
        <f t="shared" si="128"/>
        <v>-25</v>
      </c>
      <c r="T57" s="24">
        <f t="shared" si="128"/>
        <v>-25</v>
      </c>
      <c r="U57" s="24">
        <f t="shared" si="128"/>
        <v>-25</v>
      </c>
      <c r="V57" s="24">
        <f t="shared" si="128"/>
        <v>-25</v>
      </c>
      <c r="W57" s="24">
        <f t="shared" si="128"/>
        <v>-25</v>
      </c>
      <c r="X57" s="24">
        <f t="shared" si="128"/>
        <v>-25</v>
      </c>
      <c r="Y57" s="24">
        <f t="shared" si="128"/>
        <v>-25</v>
      </c>
      <c r="Z57" s="24">
        <f t="shared" si="128"/>
        <v>-25</v>
      </c>
      <c r="AA57" s="24">
        <f t="shared" si="128"/>
        <v>-25</v>
      </c>
      <c r="AB57" s="24">
        <f t="shared" si="128"/>
        <v>-25</v>
      </c>
      <c r="AC57" s="24">
        <f t="shared" si="128"/>
        <v>-25</v>
      </c>
      <c r="AD57" s="24">
        <f t="shared" si="128"/>
        <v>-25</v>
      </c>
      <c r="AE57" s="24">
        <f t="shared" si="128"/>
        <v>-25</v>
      </c>
      <c r="AF57" s="24">
        <f t="shared" si="128"/>
        <v>-25</v>
      </c>
      <c r="AG57" s="24">
        <f t="shared" si="128"/>
        <v>-25</v>
      </c>
      <c r="AH57" s="24">
        <f t="shared" si="128"/>
        <v>-25</v>
      </c>
      <c r="AI57" s="24">
        <f t="shared" si="128"/>
        <v>-25</v>
      </c>
      <c r="AJ57" s="24">
        <f t="shared" si="128"/>
        <v>-25</v>
      </c>
      <c r="AK57" s="24">
        <f t="shared" si="128"/>
        <v>-25</v>
      </c>
      <c r="AL57" s="24">
        <f t="shared" si="128"/>
        <v>-25</v>
      </c>
      <c r="AM57" s="24">
        <f t="shared" si="128"/>
        <v>-25</v>
      </c>
      <c r="AN57" s="24">
        <f t="shared" si="128"/>
        <v>-25</v>
      </c>
      <c r="AO57" s="24">
        <f t="shared" si="128"/>
        <v>-25</v>
      </c>
      <c r="AP57" s="24">
        <f t="shared" si="128"/>
        <v>-25</v>
      </c>
      <c r="AQ57" s="24">
        <f t="shared" si="128"/>
        <v>-25</v>
      </c>
      <c r="AR57" s="24">
        <f t="shared" si="128"/>
        <v>-25</v>
      </c>
      <c r="AS57" s="24">
        <f t="shared" si="128"/>
        <v>-25</v>
      </c>
      <c r="AT57" s="24">
        <f t="shared" si="128"/>
        <v>-25</v>
      </c>
      <c r="AU57" s="24">
        <f t="shared" si="128"/>
        <v>-25</v>
      </c>
      <c r="AV57" s="24">
        <f t="shared" si="128"/>
        <v>-25</v>
      </c>
      <c r="AW57" s="24">
        <f t="shared" si="128"/>
        <v>-25</v>
      </c>
      <c r="AX57" s="24">
        <f t="shared" si="128"/>
        <v>-25</v>
      </c>
      <c r="AY57" s="24">
        <f t="shared" si="128"/>
        <v>-25</v>
      </c>
      <c r="AZ57" s="24">
        <f t="shared" si="128"/>
        <v>-25</v>
      </c>
      <c r="BA57" s="24">
        <f t="shared" si="128"/>
        <v>-25</v>
      </c>
      <c r="BB57" s="24">
        <f t="shared" si="128"/>
        <v>-25</v>
      </c>
      <c r="BC57" s="24">
        <f t="shared" si="128"/>
        <v>-25</v>
      </c>
      <c r="BD57" s="24">
        <f t="shared" si="128"/>
        <v>-25</v>
      </c>
      <c r="BE57" s="24">
        <f t="shared" si="128"/>
        <v>-25</v>
      </c>
      <c r="BF57" s="24">
        <f t="shared" si="128"/>
        <v>-25</v>
      </c>
      <c r="BG57" s="24">
        <f t="shared" si="128"/>
        <v>-25</v>
      </c>
      <c r="BH57" s="24">
        <f t="shared" si="128"/>
        <v>-25</v>
      </c>
      <c r="BI57" s="24">
        <f t="shared" si="128"/>
        <v>-25</v>
      </c>
      <c r="BJ57" s="24">
        <f t="shared" si="128"/>
        <v>-25</v>
      </c>
      <c r="BK57" s="24">
        <f t="shared" si="128"/>
        <v>-25</v>
      </c>
      <c r="BL57" s="24">
        <f t="shared" si="128"/>
        <v>-25</v>
      </c>
      <c r="BM57" s="24">
        <f t="shared" si="128"/>
        <v>-25</v>
      </c>
      <c r="BN57" s="24">
        <f t="shared" si="128"/>
        <v>-25</v>
      </c>
      <c r="BO57" s="24">
        <f t="shared" si="128"/>
        <v>-25</v>
      </c>
      <c r="BP57" s="24">
        <f t="shared" si="128"/>
        <v>-25</v>
      </c>
      <c r="BQ57" s="24">
        <f t="shared" si="128"/>
        <v>-25</v>
      </c>
      <c r="BR57" s="24">
        <f t="shared" si="128"/>
        <v>-25</v>
      </c>
      <c r="BS57" s="24">
        <f t="shared" si="128"/>
        <v>-25</v>
      </c>
      <c r="BT57" s="24">
        <f t="shared" si="128"/>
        <v>-25</v>
      </c>
      <c r="BU57" s="24">
        <f t="shared" si="128"/>
        <v>-25</v>
      </c>
      <c r="BV57" s="24">
        <f t="shared" si="128"/>
        <v>-25</v>
      </c>
      <c r="BW57" s="24">
        <f t="shared" si="128"/>
        <v>-25</v>
      </c>
      <c r="BX57" s="24">
        <f t="shared" si="128"/>
        <v>-25</v>
      </c>
      <c r="BY57" s="24">
        <f t="shared" si="128"/>
        <v>-25</v>
      </c>
      <c r="BZ57" s="24">
        <f t="shared" si="126"/>
        <v>-25</v>
      </c>
      <c r="CA57" s="24">
        <f t="shared" si="126"/>
        <v>-25</v>
      </c>
      <c r="CB57" s="24">
        <f t="shared" si="126"/>
        <v>-25</v>
      </c>
      <c r="CC57" s="24">
        <f t="shared" si="126"/>
        <v>-25</v>
      </c>
      <c r="CD57" s="24">
        <f t="shared" si="126"/>
        <v>-25</v>
      </c>
      <c r="CE57" s="24">
        <f t="shared" si="126"/>
        <v>-25</v>
      </c>
      <c r="CF57" s="24">
        <f t="shared" si="126"/>
        <v>-25</v>
      </c>
      <c r="CG57" s="24">
        <f t="shared" si="126"/>
        <v>-25</v>
      </c>
    </row>
    <row r="58" spans="1:85" s="27" customFormat="1" x14ac:dyDescent="0.45">
      <c r="A58" s="44"/>
      <c r="B58" s="44"/>
      <c r="C58" s="44"/>
      <c r="D58" s="44"/>
      <c r="E58" s="73"/>
      <c r="F58" s="44" t="s">
        <v>145</v>
      </c>
    </row>
    <row r="59" spans="1:85" x14ac:dyDescent="0.45">
      <c r="A59" s="23"/>
      <c r="B59" s="23"/>
      <c r="C59" s="23"/>
      <c r="D59" s="23"/>
    </row>
    <row r="60" spans="1:85" x14ac:dyDescent="0.45">
      <c r="A60" s="72"/>
      <c r="B60" s="72"/>
      <c r="C60" s="72"/>
      <c r="D60" s="72"/>
      <c r="E60" s="72" t="s">
        <v>147</v>
      </c>
      <c r="F60" s="43" t="s">
        <v>288</v>
      </c>
      <c r="AC60" s="24">
        <f t="shared" ref="AC60:AE60" si="129">1/7*500/2</f>
        <v>35.714285714285715</v>
      </c>
      <c r="AD60" s="24">
        <f t="shared" si="129"/>
        <v>35.714285714285715</v>
      </c>
      <c r="AE60" s="24">
        <f t="shared" si="129"/>
        <v>35.714285714285715</v>
      </c>
      <c r="AF60" s="24">
        <f>1/7*500/2</f>
        <v>35.714285714285715</v>
      </c>
      <c r="AG60" s="24">
        <f t="shared" ref="AG60:CG60" si="130">1/7*500/2</f>
        <v>35.714285714285715</v>
      </c>
      <c r="AH60" s="24">
        <f t="shared" si="130"/>
        <v>35.714285714285715</v>
      </c>
      <c r="AI60" s="24">
        <f>1/7*500/2</f>
        <v>35.714285714285715</v>
      </c>
      <c r="AJ60" s="24">
        <f t="shared" si="130"/>
        <v>35.714285714285715</v>
      </c>
      <c r="AK60" s="24">
        <f t="shared" si="130"/>
        <v>35.714285714285715</v>
      </c>
      <c r="AL60" s="24">
        <f t="shared" si="130"/>
        <v>35.714285714285715</v>
      </c>
      <c r="AM60" s="24">
        <f t="shared" si="130"/>
        <v>35.714285714285715</v>
      </c>
      <c r="AN60" s="24">
        <f t="shared" si="130"/>
        <v>35.714285714285715</v>
      </c>
      <c r="AO60" s="24">
        <f t="shared" si="130"/>
        <v>35.714285714285715</v>
      </c>
      <c r="AP60" s="24">
        <f t="shared" si="130"/>
        <v>35.714285714285715</v>
      </c>
      <c r="AQ60" s="24">
        <f t="shared" si="130"/>
        <v>35.714285714285715</v>
      </c>
      <c r="AR60" s="24">
        <f t="shared" si="130"/>
        <v>35.714285714285715</v>
      </c>
      <c r="AS60" s="24">
        <f t="shared" si="130"/>
        <v>35.714285714285715</v>
      </c>
      <c r="AT60" s="24">
        <f t="shared" si="130"/>
        <v>35.714285714285715</v>
      </c>
      <c r="AU60" s="24">
        <f t="shared" si="130"/>
        <v>35.714285714285715</v>
      </c>
      <c r="AV60" s="24">
        <f t="shared" si="130"/>
        <v>35.714285714285715</v>
      </c>
      <c r="AW60" s="24">
        <f t="shared" si="130"/>
        <v>35.714285714285715</v>
      </c>
      <c r="AX60" s="24">
        <f t="shared" si="130"/>
        <v>35.714285714285715</v>
      </c>
      <c r="AY60" s="24">
        <f t="shared" si="130"/>
        <v>35.714285714285715</v>
      </c>
      <c r="AZ60" s="24">
        <f t="shared" si="130"/>
        <v>35.714285714285715</v>
      </c>
      <c r="BA60" s="24">
        <f t="shared" si="130"/>
        <v>35.714285714285715</v>
      </c>
      <c r="BB60" s="24">
        <f t="shared" si="130"/>
        <v>35.714285714285715</v>
      </c>
      <c r="BC60" s="24">
        <f t="shared" si="130"/>
        <v>35.714285714285715</v>
      </c>
      <c r="BD60" s="24">
        <f t="shared" si="130"/>
        <v>35.714285714285715</v>
      </c>
      <c r="BE60" s="24">
        <f t="shared" si="130"/>
        <v>35.714285714285715</v>
      </c>
      <c r="BF60" s="24">
        <f t="shared" si="130"/>
        <v>35.714285714285715</v>
      </c>
      <c r="BG60" s="24">
        <f t="shared" si="130"/>
        <v>35.714285714285715</v>
      </c>
      <c r="BH60" s="24">
        <f t="shared" si="130"/>
        <v>35.714285714285715</v>
      </c>
      <c r="BI60" s="24">
        <f t="shared" si="130"/>
        <v>35.714285714285715</v>
      </c>
      <c r="BJ60" s="24">
        <f t="shared" si="130"/>
        <v>35.714285714285715</v>
      </c>
      <c r="BK60" s="24">
        <f t="shared" si="130"/>
        <v>35.714285714285715</v>
      </c>
      <c r="BL60" s="24">
        <f t="shared" si="130"/>
        <v>35.714285714285715</v>
      </c>
      <c r="BM60" s="24">
        <f t="shared" si="130"/>
        <v>35.714285714285715</v>
      </c>
      <c r="BN60" s="24">
        <f t="shared" si="130"/>
        <v>35.714285714285715</v>
      </c>
      <c r="BO60" s="24">
        <f t="shared" si="130"/>
        <v>35.714285714285715</v>
      </c>
      <c r="BP60" s="24">
        <f t="shared" si="130"/>
        <v>35.714285714285715</v>
      </c>
      <c r="BQ60" s="24">
        <f t="shared" si="130"/>
        <v>35.714285714285715</v>
      </c>
      <c r="BR60" s="24">
        <f t="shared" si="130"/>
        <v>35.714285714285715</v>
      </c>
      <c r="BS60" s="24">
        <f t="shared" si="130"/>
        <v>35.714285714285715</v>
      </c>
      <c r="BT60" s="24">
        <f t="shared" si="130"/>
        <v>35.714285714285715</v>
      </c>
      <c r="BU60" s="24">
        <f t="shared" si="130"/>
        <v>35.714285714285715</v>
      </c>
      <c r="BV60" s="24">
        <f t="shared" si="130"/>
        <v>35.714285714285715</v>
      </c>
      <c r="BW60" s="24">
        <f t="shared" si="130"/>
        <v>35.714285714285715</v>
      </c>
      <c r="BX60" s="24">
        <f t="shared" si="130"/>
        <v>35.714285714285715</v>
      </c>
      <c r="BY60" s="24">
        <f t="shared" si="130"/>
        <v>35.714285714285715</v>
      </c>
      <c r="BZ60" s="24">
        <f t="shared" si="130"/>
        <v>35.714285714285715</v>
      </c>
      <c r="CA60" s="24">
        <f t="shared" si="130"/>
        <v>35.714285714285715</v>
      </c>
      <c r="CB60" s="24">
        <f t="shared" si="130"/>
        <v>35.714285714285715</v>
      </c>
      <c r="CC60" s="24">
        <f t="shared" si="130"/>
        <v>35.714285714285715</v>
      </c>
      <c r="CD60" s="24">
        <f t="shared" si="130"/>
        <v>35.714285714285715</v>
      </c>
      <c r="CE60" s="24">
        <f t="shared" si="130"/>
        <v>35.714285714285715</v>
      </c>
      <c r="CF60" s="24">
        <f t="shared" si="130"/>
        <v>35.714285714285715</v>
      </c>
      <c r="CG60" s="24">
        <f t="shared" si="130"/>
        <v>35.714285714285715</v>
      </c>
    </row>
    <row r="61" spans="1:85" x14ac:dyDescent="0.45">
      <c r="A61" s="43"/>
      <c r="B61" s="43"/>
      <c r="C61" s="43"/>
      <c r="D61" s="43"/>
      <c r="E61" s="43"/>
      <c r="F61" s="43" t="s">
        <v>327</v>
      </c>
      <c r="AC61" s="24">
        <v>-103</v>
      </c>
      <c r="AD61" s="24">
        <v>-102</v>
      </c>
      <c r="AE61" s="24">
        <v>-101</v>
      </c>
      <c r="AF61" s="24">
        <v>-100</v>
      </c>
      <c r="AG61" s="24">
        <v>-100</v>
      </c>
      <c r="AH61" s="24">
        <v>-100</v>
      </c>
      <c r="AI61" s="24">
        <v>-100</v>
      </c>
      <c r="AJ61" s="24">
        <v>-100</v>
      </c>
      <c r="AK61" s="24">
        <v>-100</v>
      </c>
      <c r="AL61" s="24">
        <v>-100</v>
      </c>
      <c r="AM61" s="24">
        <v>-100</v>
      </c>
      <c r="AN61" s="24">
        <v>-100</v>
      </c>
      <c r="AO61" s="24">
        <v>-100</v>
      </c>
      <c r="AP61" s="24">
        <v>-100</v>
      </c>
      <c r="AQ61" s="24">
        <v>-100</v>
      </c>
      <c r="AR61" s="24">
        <v>-100</v>
      </c>
      <c r="AS61" s="24">
        <v>-100</v>
      </c>
      <c r="AT61" s="24">
        <v>-100</v>
      </c>
      <c r="AU61" s="24">
        <v>-100</v>
      </c>
      <c r="AV61" s="24">
        <v>-100</v>
      </c>
      <c r="AW61" s="24">
        <v>-100</v>
      </c>
      <c r="AX61" s="24">
        <v>-100</v>
      </c>
      <c r="AY61" s="24">
        <v>-100</v>
      </c>
      <c r="AZ61" s="24">
        <v>-100</v>
      </c>
      <c r="BA61" s="24">
        <v>-100</v>
      </c>
      <c r="BB61" s="24">
        <v>-100</v>
      </c>
      <c r="BC61" s="24">
        <v>-100</v>
      </c>
      <c r="BD61" s="24">
        <v>-100</v>
      </c>
      <c r="BE61" s="24">
        <v>-100</v>
      </c>
      <c r="BF61" s="24">
        <v>-100</v>
      </c>
      <c r="BG61" s="24">
        <v>-100</v>
      </c>
      <c r="BH61" s="24">
        <v>-100</v>
      </c>
      <c r="BI61" s="24">
        <v>-100</v>
      </c>
      <c r="BJ61" s="24">
        <v>-100</v>
      </c>
      <c r="BK61" s="24">
        <v>-100</v>
      </c>
      <c r="BL61" s="24">
        <v>-100</v>
      </c>
      <c r="BM61" s="24">
        <v>-100</v>
      </c>
      <c r="BN61" s="24">
        <v>-100</v>
      </c>
      <c r="BO61" s="24">
        <v>-100</v>
      </c>
      <c r="BP61" s="24">
        <v>-100</v>
      </c>
      <c r="BQ61" s="24">
        <v>-100</v>
      </c>
      <c r="BR61" s="24">
        <v>-100</v>
      </c>
      <c r="BS61" s="24">
        <v>-100</v>
      </c>
      <c r="BT61" s="24">
        <v>-100</v>
      </c>
      <c r="BU61" s="24">
        <v>-100</v>
      </c>
      <c r="BV61" s="24">
        <v>-100</v>
      </c>
      <c r="BW61" s="24">
        <v>-100</v>
      </c>
      <c r="BX61" s="24">
        <v>-99</v>
      </c>
      <c r="BY61" s="24">
        <v>-98</v>
      </c>
      <c r="BZ61" s="24">
        <v>-97</v>
      </c>
      <c r="CA61" s="24">
        <v>-96</v>
      </c>
      <c r="CB61" s="24">
        <v>-95</v>
      </c>
      <c r="CC61" s="24">
        <v>-94</v>
      </c>
      <c r="CD61" s="24">
        <v>-93</v>
      </c>
      <c r="CE61" s="24">
        <v>-92</v>
      </c>
      <c r="CF61" s="24">
        <v>-91</v>
      </c>
      <c r="CG61" s="24">
        <v>-90</v>
      </c>
    </row>
    <row r="62" spans="1:85" x14ac:dyDescent="0.45">
      <c r="A62" s="23"/>
      <c r="B62" s="23"/>
      <c r="C62" s="23"/>
      <c r="D62" s="23"/>
    </row>
    <row r="63" spans="1:85" x14ac:dyDescent="0.45">
      <c r="A63" s="23"/>
      <c r="B63" s="23"/>
      <c r="C63" s="23"/>
      <c r="D63" s="23"/>
    </row>
    <row r="64" spans="1:85" s="116" customFormat="1" x14ac:dyDescent="0.45">
      <c r="A64" s="129"/>
      <c r="B64" s="129"/>
      <c r="C64" s="129"/>
      <c r="D64" s="129"/>
      <c r="E64" s="129"/>
      <c r="F64" s="129" t="s">
        <v>287</v>
      </c>
      <c r="H64" s="116">
        <f>-SUMIF(H17:H58, "&gt;=0")*$E$88</f>
        <v>-33</v>
      </c>
      <c r="I64" s="116">
        <f t="shared" ref="I64:AK64" si="131">-SUMIF(I17:I58, "&gt;=0")*$E$88</f>
        <v>-33</v>
      </c>
      <c r="J64" s="116">
        <f t="shared" si="131"/>
        <v>-33</v>
      </c>
      <c r="K64" s="116">
        <f t="shared" si="131"/>
        <v>-52.8</v>
      </c>
      <c r="L64" s="116">
        <f t="shared" si="131"/>
        <v>-52.8</v>
      </c>
      <c r="M64" s="116">
        <f t="shared" si="131"/>
        <v>-52.8</v>
      </c>
      <c r="N64" s="116">
        <f t="shared" si="131"/>
        <v>-72.599999999999994</v>
      </c>
      <c r="O64" s="116">
        <f t="shared" si="131"/>
        <v>-72.599999999999994</v>
      </c>
      <c r="P64" s="116">
        <f t="shared" si="131"/>
        <v>-72.599999999999994</v>
      </c>
      <c r="Q64" s="116">
        <f t="shared" si="131"/>
        <v>-87.11999999999999</v>
      </c>
      <c r="R64" s="116">
        <f t="shared" si="131"/>
        <v>-87.11999999999999</v>
      </c>
      <c r="S64" s="116">
        <f t="shared" si="131"/>
        <v>-87.11999999999999</v>
      </c>
      <c r="T64" s="116">
        <f t="shared" si="131"/>
        <v>-87.11999999999999</v>
      </c>
      <c r="U64" s="116">
        <f t="shared" si="131"/>
        <v>-87.11999999999999</v>
      </c>
      <c r="V64" s="116">
        <f t="shared" si="131"/>
        <v>-87.11999999999999</v>
      </c>
      <c r="W64" s="116">
        <f t="shared" si="131"/>
        <v>-87.11999999999999</v>
      </c>
      <c r="X64" s="116">
        <f t="shared" si="131"/>
        <v>-87.11999999999999</v>
      </c>
      <c r="Y64" s="116">
        <f t="shared" si="131"/>
        <v>-87.11999999999999</v>
      </c>
      <c r="Z64" s="116">
        <f t="shared" si="131"/>
        <v>-106.128</v>
      </c>
      <c r="AA64" s="116">
        <f t="shared" si="131"/>
        <v>-106.128</v>
      </c>
      <c r="AB64" s="116">
        <f t="shared" si="131"/>
        <v>-106.128</v>
      </c>
      <c r="AC64" s="116">
        <f t="shared" si="131"/>
        <v>-106.128</v>
      </c>
      <c r="AD64" s="116">
        <f t="shared" si="131"/>
        <v>-106.128</v>
      </c>
      <c r="AE64" s="116">
        <f t="shared" si="131"/>
        <v>-106.128</v>
      </c>
      <c r="AF64" s="116">
        <f t="shared" si="131"/>
        <v>-132.66</v>
      </c>
      <c r="AG64" s="116">
        <f t="shared" si="131"/>
        <v>-132.66</v>
      </c>
      <c r="AH64" s="116">
        <f t="shared" si="131"/>
        <v>-132.66</v>
      </c>
      <c r="AI64" s="116">
        <f t="shared" si="131"/>
        <v>-132.66</v>
      </c>
      <c r="AJ64" s="116">
        <f t="shared" si="131"/>
        <v>-132.66</v>
      </c>
      <c r="AK64" s="116">
        <f t="shared" si="131"/>
        <v>-132.66</v>
      </c>
      <c r="AL64" s="116">
        <f t="shared" ref="AL64:AN64" si="132">-SUMIF(AL17:AL58, "&gt;=0")*$E$88</f>
        <v>-132.66</v>
      </c>
      <c r="AM64" s="116">
        <f t="shared" si="132"/>
        <v>-132.66</v>
      </c>
      <c r="AN64" s="116">
        <f t="shared" si="132"/>
        <v>-132.66</v>
      </c>
      <c r="AO64" s="116">
        <f t="shared" ref="AO64:AQ64" si="133">-SUMIF(AO17:AO58, "&gt;=0")*$E$88</f>
        <v>-132.66</v>
      </c>
      <c r="AP64" s="116">
        <f t="shared" si="133"/>
        <v>-132.66</v>
      </c>
      <c r="AQ64" s="116">
        <f t="shared" si="133"/>
        <v>-132.66</v>
      </c>
      <c r="AR64" s="116">
        <f t="shared" ref="AR64:AS64" si="134">-SUMIF(AR17:AR58, "&gt;=0")*$E$88</f>
        <v>-132.66</v>
      </c>
      <c r="AS64" s="116">
        <f t="shared" si="134"/>
        <v>-132.66</v>
      </c>
      <c r="AT64" s="116">
        <f t="shared" ref="AT64:AU64" si="135">-SUMIF(AT17:AT58, "&gt;=0")*$E$88</f>
        <v>-132.66</v>
      </c>
      <c r="AU64" s="116">
        <f t="shared" si="135"/>
        <v>-162.35999999999999</v>
      </c>
      <c r="AV64" s="116">
        <f t="shared" ref="AV64:BW64" si="136">-SUMIF(AV17:AV58, "&gt;=0")*$E$88</f>
        <v>-152.46</v>
      </c>
      <c r="AW64" s="116">
        <f t="shared" si="136"/>
        <v>-152.46</v>
      </c>
      <c r="AX64" s="116">
        <f t="shared" si="136"/>
        <v>-152.46</v>
      </c>
      <c r="AY64" s="116">
        <f t="shared" si="136"/>
        <v>-152.46</v>
      </c>
      <c r="AZ64" s="116">
        <f t="shared" si="136"/>
        <v>-152.46</v>
      </c>
      <c r="BA64" s="116">
        <f t="shared" si="136"/>
        <v>-152.46</v>
      </c>
      <c r="BB64" s="116">
        <f t="shared" si="136"/>
        <v>-152.46</v>
      </c>
      <c r="BC64" s="116">
        <f t="shared" si="136"/>
        <v>-152.46</v>
      </c>
      <c r="BD64" s="116">
        <f t="shared" si="136"/>
        <v>-152.46</v>
      </c>
      <c r="BE64" s="116">
        <f t="shared" si="136"/>
        <v>-152.46</v>
      </c>
      <c r="BF64" s="116">
        <f t="shared" si="136"/>
        <v>-152.46</v>
      </c>
      <c r="BG64" s="116">
        <f t="shared" si="136"/>
        <v>-152.46</v>
      </c>
      <c r="BH64" s="116">
        <f t="shared" si="136"/>
        <v>-152.46</v>
      </c>
      <c r="BI64" s="116">
        <f t="shared" si="136"/>
        <v>-152.46</v>
      </c>
      <c r="BJ64" s="116">
        <f t="shared" si="136"/>
        <v>-152.46</v>
      </c>
      <c r="BK64" s="116">
        <f t="shared" si="136"/>
        <v>-152.46</v>
      </c>
      <c r="BL64" s="116">
        <f t="shared" si="136"/>
        <v>-152.46</v>
      </c>
      <c r="BM64" s="116">
        <f t="shared" si="136"/>
        <v>-152.46</v>
      </c>
      <c r="BN64" s="116">
        <f t="shared" si="136"/>
        <v>-152.46</v>
      </c>
      <c r="BO64" s="116">
        <f t="shared" si="136"/>
        <v>-152.46</v>
      </c>
      <c r="BP64" s="116">
        <f t="shared" si="136"/>
        <v>-152.46</v>
      </c>
      <c r="BQ64" s="116">
        <f t="shared" si="136"/>
        <v>-152.46</v>
      </c>
      <c r="BR64" s="116">
        <f t="shared" si="136"/>
        <v>-152.46</v>
      </c>
      <c r="BS64" s="116">
        <f t="shared" si="136"/>
        <v>-152.46</v>
      </c>
      <c r="BT64" s="116">
        <f t="shared" si="136"/>
        <v>-152.46</v>
      </c>
      <c r="BU64" s="116">
        <f t="shared" si="136"/>
        <v>-152.46</v>
      </c>
      <c r="BV64" s="116">
        <f t="shared" si="136"/>
        <v>-152.46</v>
      </c>
      <c r="BW64" s="116">
        <f t="shared" si="136"/>
        <v>-152.46</v>
      </c>
      <c r="BX64" s="116">
        <f t="shared" ref="BX64:CA64" si="137">-SUMIF(BX17:BX58, "&gt;=0")*$E$88</f>
        <v>-152.46</v>
      </c>
      <c r="BY64" s="116">
        <f t="shared" si="137"/>
        <v>-152.46</v>
      </c>
      <c r="BZ64" s="116">
        <f t="shared" si="137"/>
        <v>-152.46</v>
      </c>
      <c r="CA64" s="116">
        <f t="shared" si="137"/>
        <v>-152.46</v>
      </c>
      <c r="CB64" s="116">
        <f t="shared" ref="CB64:CD64" si="138">-SUMIF(CB17:CB58, "&gt;=0")*$E$88</f>
        <v>-152.46</v>
      </c>
      <c r="CC64" s="116">
        <f t="shared" si="138"/>
        <v>-152.46</v>
      </c>
      <c r="CD64" s="116">
        <f t="shared" si="138"/>
        <v>-152.46</v>
      </c>
      <c r="CE64" s="116">
        <f t="shared" ref="CE64:CG64" si="139">-SUMIF(CE17:CE58, "&gt;=0")*$E$88</f>
        <v>-152.46</v>
      </c>
      <c r="CF64" s="116">
        <f t="shared" si="139"/>
        <v>-152.46</v>
      </c>
      <c r="CG64" s="116">
        <f t="shared" si="139"/>
        <v>-152.46</v>
      </c>
    </row>
    <row r="65" spans="1:85" x14ac:dyDescent="0.45">
      <c r="F65" s="117"/>
    </row>
    <row r="66" spans="1:85" ht="71.25" x14ac:dyDescent="0.45">
      <c r="A66" s="23"/>
      <c r="B66" s="23"/>
      <c r="C66" s="23"/>
      <c r="D66" s="23"/>
      <c r="G66" s="25" t="s">
        <v>119</v>
      </c>
      <c r="M66" s="25" t="s">
        <v>196</v>
      </c>
      <c r="Q66" s="25" t="s">
        <v>211</v>
      </c>
      <c r="R66" s="25" t="s">
        <v>212</v>
      </c>
      <c r="AE66" s="115" t="s">
        <v>322</v>
      </c>
      <c r="AF66" s="24">
        <v>-700</v>
      </c>
      <c r="CF66" s="24" t="s">
        <v>439</v>
      </c>
      <c r="CG66" s="24">
        <f>10000/4</f>
        <v>2500</v>
      </c>
    </row>
    <row r="67" spans="1:85" x14ac:dyDescent="0.45">
      <c r="A67" s="23"/>
      <c r="B67" s="23"/>
      <c r="C67" s="23"/>
      <c r="D67" s="23"/>
      <c r="G67" s="24">
        <v>5000</v>
      </c>
      <c r="I67" s="26"/>
      <c r="M67" s="109">
        <v>-1000</v>
      </c>
      <c r="Q67" s="109">
        <v>-320</v>
      </c>
      <c r="R67" s="109">
        <v>-30</v>
      </c>
      <c r="AE67" s="115" t="s">
        <v>323</v>
      </c>
      <c r="AF67" s="109">
        <v>-300</v>
      </c>
      <c r="AK67" s="24" t="s">
        <v>368</v>
      </c>
      <c r="AL67" s="37">
        <v>-2000</v>
      </c>
      <c r="AS67" s="115" t="s">
        <v>415</v>
      </c>
      <c r="AT67" s="37">
        <v>-20600</v>
      </c>
      <c r="CA67" s="24" t="s">
        <v>425</v>
      </c>
      <c r="CB67" s="24">
        <v>-9000</v>
      </c>
    </row>
    <row r="68" spans="1:85" x14ac:dyDescent="0.45">
      <c r="AE68" s="115" t="s">
        <v>317</v>
      </c>
      <c r="AF68" s="24">
        <f>(69+5)*0.9*100</f>
        <v>6660.0000000000009</v>
      </c>
      <c r="AK68" s="24" t="s">
        <v>368</v>
      </c>
      <c r="AL68" s="37">
        <v>-13500</v>
      </c>
      <c r="AS68" s="24" t="s">
        <v>416</v>
      </c>
      <c r="AT68" s="24">
        <v>-8100</v>
      </c>
    </row>
    <row r="69" spans="1:85" ht="57" x14ac:dyDescent="0.45">
      <c r="G69" s="24" t="s">
        <v>110</v>
      </c>
      <c r="H69" s="25" t="s">
        <v>195</v>
      </c>
      <c r="J69" s="24" t="s">
        <v>144</v>
      </c>
      <c r="L69" s="24" t="s">
        <v>194</v>
      </c>
      <c r="Q69" s="25" t="s">
        <v>214</v>
      </c>
      <c r="R69" s="25" t="s">
        <v>213</v>
      </c>
      <c r="V69" s="24" t="s">
        <v>219</v>
      </c>
    </row>
    <row r="70" spans="1:85" x14ac:dyDescent="0.45">
      <c r="G70" s="109">
        <v>-75</v>
      </c>
      <c r="H70" s="109">
        <v>-950</v>
      </c>
      <c r="J70" s="24">
        <f>-J18*2/30</f>
        <v>-73.333333333333329</v>
      </c>
      <c r="L70" s="24">
        <f>-L18/30</f>
        <v>-36.666666666666664</v>
      </c>
      <c r="Q70" s="24">
        <v>100</v>
      </c>
      <c r="R70" s="24">
        <v>-50</v>
      </c>
      <c r="V70" s="109">
        <v>-500</v>
      </c>
    </row>
    <row r="71" spans="1:85" x14ac:dyDescent="0.45">
      <c r="AD71" s="24" t="s">
        <v>286</v>
      </c>
      <c r="AE71" s="109">
        <v>-130</v>
      </c>
    </row>
    <row r="73" spans="1:85" s="27" customFormat="1" x14ac:dyDescent="0.45">
      <c r="A73" s="58"/>
      <c r="B73" s="58"/>
      <c r="C73" s="58"/>
      <c r="D73" s="58"/>
      <c r="E73" s="66"/>
      <c r="F73" s="61"/>
    </row>
    <row r="75" spans="1:85" x14ac:dyDescent="0.45">
      <c r="E75" s="23">
        <v>1100</v>
      </c>
      <c r="F75" s="23" t="s">
        <v>142</v>
      </c>
    </row>
    <row r="76" spans="1:85" x14ac:dyDescent="0.45">
      <c r="E76" s="34">
        <v>300</v>
      </c>
      <c r="F76" s="34" t="s">
        <v>135</v>
      </c>
    </row>
    <row r="77" spans="1:85" x14ac:dyDescent="0.45">
      <c r="E77" s="35">
        <v>0.6</v>
      </c>
      <c r="F77" s="23" t="s">
        <v>140</v>
      </c>
    </row>
    <row r="78" spans="1:85" x14ac:dyDescent="0.45">
      <c r="E78" s="35">
        <v>0.8</v>
      </c>
      <c r="F78" s="23" t="s">
        <v>264</v>
      </c>
    </row>
    <row r="79" spans="1:85" x14ac:dyDescent="0.45">
      <c r="E79" s="23">
        <v>25</v>
      </c>
      <c r="F79" s="23" t="s">
        <v>187</v>
      </c>
    </row>
    <row r="80" spans="1:85" x14ac:dyDescent="0.45">
      <c r="E80" s="23">
        <v>100</v>
      </c>
      <c r="F80" s="23" t="s">
        <v>188</v>
      </c>
    </row>
    <row r="81" spans="1:6" x14ac:dyDescent="0.45">
      <c r="E81" s="235">
        <v>0.2</v>
      </c>
      <c r="F81" s="32" t="s">
        <v>210</v>
      </c>
    </row>
    <row r="82" spans="1:6" x14ac:dyDescent="0.45">
      <c r="E82" s="35">
        <v>0.5</v>
      </c>
      <c r="F82" s="23" t="s">
        <v>321</v>
      </c>
    </row>
    <row r="83" spans="1:6" x14ac:dyDescent="0.45">
      <c r="A83" s="47"/>
      <c r="B83" s="47"/>
      <c r="C83" s="47"/>
      <c r="D83" s="47"/>
      <c r="E83" s="23">
        <v>6900</v>
      </c>
      <c r="F83" s="23" t="s">
        <v>208</v>
      </c>
    </row>
    <row r="84" spans="1:6" x14ac:dyDescent="0.45">
      <c r="E84" s="23">
        <v>350</v>
      </c>
      <c r="F84" s="23" t="s">
        <v>165</v>
      </c>
    </row>
    <row r="85" spans="1:6" x14ac:dyDescent="0.45">
      <c r="E85" s="23">
        <v>25</v>
      </c>
      <c r="F85" s="23" t="s">
        <v>157</v>
      </c>
    </row>
    <row r="86" spans="1:6" x14ac:dyDescent="0.45">
      <c r="E86" s="23">
        <v>100</v>
      </c>
      <c r="F86" s="23" t="s">
        <v>188</v>
      </c>
    </row>
    <row r="88" spans="1:6" x14ac:dyDescent="0.45">
      <c r="E88" s="35">
        <v>0.03</v>
      </c>
      <c r="F88" s="23" t="s">
        <v>325</v>
      </c>
    </row>
    <row r="90" spans="1:6" x14ac:dyDescent="0.45">
      <c r="E90" s="23"/>
    </row>
    <row r="92" spans="1:6" x14ac:dyDescent="0.45">
      <c r="A92" s="23"/>
    </row>
    <row r="93" spans="1:6" x14ac:dyDescent="0.45">
      <c r="A93" s="23"/>
    </row>
    <row r="94" spans="1:6" x14ac:dyDescent="0.45">
      <c r="A94" s="23"/>
      <c r="E94" s="2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AC81-2417-4F29-A4FB-764D8BB28F95}">
  <sheetPr>
    <tabColor rgb="FF7030A0"/>
  </sheetPr>
  <dimension ref="A1:CT50"/>
  <sheetViews>
    <sheetView topLeftCell="AG1" zoomScaleNormal="100" workbookViewId="0">
      <selection activeCell="AM9" sqref="AM9"/>
    </sheetView>
  </sheetViews>
  <sheetFormatPr defaultColWidth="11.6640625" defaultRowHeight="14.25" x14ac:dyDescent="0.45"/>
  <cols>
    <col min="1" max="2" width="3.9296875" style="36" customWidth="1"/>
    <col min="3" max="3" width="11.6640625" style="36"/>
    <col min="4" max="4" width="20.46484375" style="23" bestFit="1" customWidth="1"/>
    <col min="5" max="16384" width="11.6640625" style="24"/>
  </cols>
  <sheetData>
    <row r="1" spans="1:98" s="22" customFormat="1" ht="21" x14ac:dyDescent="0.65">
      <c r="A1" s="33"/>
      <c r="B1" s="59"/>
      <c r="C1" s="59"/>
      <c r="D1" s="107" t="s">
        <v>128</v>
      </c>
      <c r="E1" s="100"/>
      <c r="F1" s="102" t="s">
        <v>98</v>
      </c>
      <c r="G1" s="102" t="s">
        <v>99</v>
      </c>
      <c r="H1" s="102" t="s">
        <v>100</v>
      </c>
      <c r="I1" s="103" t="s">
        <v>101</v>
      </c>
      <c r="J1" s="103" t="s">
        <v>102</v>
      </c>
      <c r="K1" s="103" t="s">
        <v>103</v>
      </c>
      <c r="L1" s="104" t="s">
        <v>104</v>
      </c>
      <c r="M1" s="104" t="s">
        <v>105</v>
      </c>
      <c r="N1" s="104" t="s">
        <v>106</v>
      </c>
      <c r="O1" s="105" t="s">
        <v>107</v>
      </c>
      <c r="P1" s="105" t="s">
        <v>108</v>
      </c>
      <c r="Q1" s="105" t="s">
        <v>109</v>
      </c>
      <c r="R1" s="102" t="s">
        <v>98</v>
      </c>
      <c r="S1" s="102" t="s">
        <v>99</v>
      </c>
      <c r="T1" s="102" t="s">
        <v>100</v>
      </c>
      <c r="U1" s="103" t="s">
        <v>101</v>
      </c>
      <c r="V1" s="103" t="s">
        <v>102</v>
      </c>
      <c r="W1" s="103" t="s">
        <v>103</v>
      </c>
      <c r="X1" s="104" t="s">
        <v>104</v>
      </c>
      <c r="Y1" s="104" t="s">
        <v>105</v>
      </c>
      <c r="Z1" s="104" t="s">
        <v>106</v>
      </c>
      <c r="AA1" s="105" t="s">
        <v>107</v>
      </c>
      <c r="AB1" s="105" t="s">
        <v>108</v>
      </c>
      <c r="AC1" s="105" t="s">
        <v>109</v>
      </c>
      <c r="AD1" s="102" t="s">
        <v>98</v>
      </c>
      <c r="AE1" s="102" t="s">
        <v>99</v>
      </c>
      <c r="AF1" s="102" t="s">
        <v>100</v>
      </c>
      <c r="AG1" s="103" t="s">
        <v>101</v>
      </c>
      <c r="AH1" s="103" t="s">
        <v>102</v>
      </c>
      <c r="AI1" s="103" t="s">
        <v>103</v>
      </c>
      <c r="AJ1" s="104" t="s">
        <v>104</v>
      </c>
      <c r="AK1" s="104" t="s">
        <v>105</v>
      </c>
      <c r="AL1" s="104" t="s">
        <v>106</v>
      </c>
      <c r="AM1" s="105" t="s">
        <v>107</v>
      </c>
      <c r="AN1" s="105" t="s">
        <v>108</v>
      </c>
      <c r="AO1" s="105" t="s">
        <v>109</v>
      </c>
      <c r="AP1" s="102" t="s">
        <v>98</v>
      </c>
      <c r="AQ1" s="102" t="s">
        <v>99</v>
      </c>
      <c r="AR1" s="102" t="s">
        <v>100</v>
      </c>
      <c r="AS1" s="103" t="s">
        <v>101</v>
      </c>
      <c r="AT1" s="103" t="s">
        <v>102</v>
      </c>
      <c r="AU1" s="103" t="s">
        <v>103</v>
      </c>
      <c r="AV1" s="104" t="s">
        <v>104</v>
      </c>
      <c r="AW1" s="104" t="s">
        <v>105</v>
      </c>
      <c r="AX1" s="104" t="s">
        <v>106</v>
      </c>
      <c r="AY1" s="105" t="s">
        <v>107</v>
      </c>
      <c r="AZ1" s="105" t="s">
        <v>108</v>
      </c>
      <c r="BA1" s="105" t="s">
        <v>109</v>
      </c>
      <c r="BB1" s="102" t="s">
        <v>98</v>
      </c>
      <c r="BC1" s="102" t="s">
        <v>99</v>
      </c>
      <c r="BD1" s="102" t="s">
        <v>100</v>
      </c>
      <c r="BE1" s="103" t="s">
        <v>101</v>
      </c>
      <c r="BF1" s="103" t="s">
        <v>102</v>
      </c>
      <c r="BG1" s="103" t="s">
        <v>103</v>
      </c>
      <c r="BH1" s="104" t="s">
        <v>104</v>
      </c>
      <c r="BI1" s="104" t="s">
        <v>105</v>
      </c>
      <c r="BJ1" s="104" t="s">
        <v>106</v>
      </c>
      <c r="BK1" s="105" t="s">
        <v>107</v>
      </c>
      <c r="BL1" s="105" t="s">
        <v>108</v>
      </c>
      <c r="BM1" s="105" t="s">
        <v>109</v>
      </c>
      <c r="BN1" s="102" t="s">
        <v>98</v>
      </c>
      <c r="BO1" s="102" t="s">
        <v>99</v>
      </c>
      <c r="BP1" s="102" t="s">
        <v>100</v>
      </c>
      <c r="BQ1" s="103" t="s">
        <v>101</v>
      </c>
      <c r="BR1" s="103" t="s">
        <v>102</v>
      </c>
      <c r="BS1" s="103" t="s">
        <v>103</v>
      </c>
      <c r="BT1" s="104" t="s">
        <v>104</v>
      </c>
      <c r="BU1" s="104" t="s">
        <v>105</v>
      </c>
      <c r="BV1" s="104" t="s">
        <v>106</v>
      </c>
      <c r="BW1" s="105" t="s">
        <v>107</v>
      </c>
      <c r="BX1" s="105" t="s">
        <v>108</v>
      </c>
      <c r="BY1" s="105" t="s">
        <v>109</v>
      </c>
      <c r="BZ1" s="102" t="s">
        <v>98</v>
      </c>
      <c r="CA1" s="102" t="s">
        <v>99</v>
      </c>
      <c r="CB1" s="102" t="s">
        <v>100</v>
      </c>
      <c r="CC1" s="103" t="s">
        <v>101</v>
      </c>
      <c r="CD1" s="103" t="s">
        <v>102</v>
      </c>
      <c r="CE1" s="103" t="s">
        <v>103</v>
      </c>
      <c r="CF1" s="104" t="s">
        <v>104</v>
      </c>
      <c r="CG1" s="104" t="s">
        <v>105</v>
      </c>
      <c r="CH1" s="104" t="s">
        <v>106</v>
      </c>
      <c r="CI1" s="105" t="s">
        <v>107</v>
      </c>
      <c r="CJ1" s="105" t="s">
        <v>108</v>
      </c>
      <c r="CK1" s="105" t="s">
        <v>109</v>
      </c>
      <c r="CL1" s="102" t="s">
        <v>98</v>
      </c>
      <c r="CM1" s="102" t="s">
        <v>99</v>
      </c>
      <c r="CN1" s="102" t="s">
        <v>100</v>
      </c>
      <c r="CO1" s="103" t="s">
        <v>101</v>
      </c>
      <c r="CP1" s="103" t="s">
        <v>102</v>
      </c>
      <c r="CQ1" s="103" t="s">
        <v>103</v>
      </c>
      <c r="CR1" s="104" t="s">
        <v>104</v>
      </c>
      <c r="CS1" s="104" t="s">
        <v>105</v>
      </c>
      <c r="CT1" s="104" t="s">
        <v>106</v>
      </c>
    </row>
    <row r="2" spans="1:98" s="36" customFormat="1" x14ac:dyDescent="0.45">
      <c r="D2" s="97" t="s">
        <v>1</v>
      </c>
      <c r="F2" s="36">
        <v>1532</v>
      </c>
      <c r="G2" s="36">
        <f t="shared" ref="G2:AL2" si="0">F2+IF(G1="Gennaio",1,0)</f>
        <v>1532</v>
      </c>
      <c r="H2" s="36">
        <f t="shared" si="0"/>
        <v>1532</v>
      </c>
      <c r="I2" s="36">
        <f t="shared" si="0"/>
        <v>1532</v>
      </c>
      <c r="J2" s="36">
        <f t="shared" si="0"/>
        <v>1532</v>
      </c>
      <c r="K2" s="36">
        <f t="shared" si="0"/>
        <v>1532</v>
      </c>
      <c r="L2" s="36">
        <f t="shared" si="0"/>
        <v>1532</v>
      </c>
      <c r="M2" s="36">
        <f t="shared" si="0"/>
        <v>1532</v>
      </c>
      <c r="N2" s="36">
        <f t="shared" si="0"/>
        <v>1532</v>
      </c>
      <c r="O2" s="36">
        <f t="shared" si="0"/>
        <v>1533</v>
      </c>
      <c r="P2" s="36">
        <f t="shared" si="0"/>
        <v>1533</v>
      </c>
      <c r="Q2" s="36">
        <f t="shared" si="0"/>
        <v>1533</v>
      </c>
      <c r="R2" s="36">
        <f t="shared" si="0"/>
        <v>1533</v>
      </c>
      <c r="S2" s="36">
        <f t="shared" si="0"/>
        <v>1533</v>
      </c>
      <c r="T2" s="36">
        <f t="shared" si="0"/>
        <v>1533</v>
      </c>
      <c r="U2" s="36">
        <f t="shared" si="0"/>
        <v>1533</v>
      </c>
      <c r="V2" s="36">
        <f t="shared" si="0"/>
        <v>1533</v>
      </c>
      <c r="W2" s="36">
        <f t="shared" si="0"/>
        <v>1533</v>
      </c>
      <c r="X2" s="36">
        <f t="shared" si="0"/>
        <v>1533</v>
      </c>
      <c r="Y2" s="36">
        <f t="shared" si="0"/>
        <v>1533</v>
      </c>
      <c r="Z2" s="36">
        <f t="shared" si="0"/>
        <v>1533</v>
      </c>
      <c r="AA2" s="36">
        <f t="shared" si="0"/>
        <v>1534</v>
      </c>
      <c r="AB2" s="36">
        <f t="shared" si="0"/>
        <v>1534</v>
      </c>
      <c r="AC2" s="36">
        <f t="shared" si="0"/>
        <v>1534</v>
      </c>
      <c r="AD2" s="36">
        <f t="shared" si="0"/>
        <v>1534</v>
      </c>
      <c r="AE2" s="36">
        <f t="shared" si="0"/>
        <v>1534</v>
      </c>
      <c r="AF2" s="36">
        <f t="shared" si="0"/>
        <v>1534</v>
      </c>
      <c r="AG2" s="36">
        <f t="shared" si="0"/>
        <v>1534</v>
      </c>
      <c r="AH2" s="36">
        <f t="shared" si="0"/>
        <v>1534</v>
      </c>
      <c r="AI2" s="36">
        <f t="shared" si="0"/>
        <v>1534</v>
      </c>
      <c r="AJ2" s="36">
        <f t="shared" si="0"/>
        <v>1534</v>
      </c>
      <c r="AK2" s="36">
        <f t="shared" si="0"/>
        <v>1534</v>
      </c>
      <c r="AL2" s="36">
        <f t="shared" si="0"/>
        <v>1534</v>
      </c>
      <c r="AM2" s="36">
        <f t="shared" ref="AM2:BR2" si="1">AL2+IF(AM1="Gennaio",1,0)</f>
        <v>1535</v>
      </c>
      <c r="AN2" s="36">
        <f t="shared" si="1"/>
        <v>1535</v>
      </c>
      <c r="AO2" s="36">
        <f t="shared" si="1"/>
        <v>1535</v>
      </c>
      <c r="AP2" s="36">
        <f t="shared" si="1"/>
        <v>1535</v>
      </c>
      <c r="AQ2" s="36">
        <f t="shared" si="1"/>
        <v>1535</v>
      </c>
      <c r="AR2" s="36">
        <f t="shared" si="1"/>
        <v>1535</v>
      </c>
      <c r="AS2" s="36">
        <f t="shared" si="1"/>
        <v>1535</v>
      </c>
      <c r="AT2" s="36">
        <f t="shared" si="1"/>
        <v>1535</v>
      </c>
      <c r="AU2" s="36">
        <f t="shared" si="1"/>
        <v>1535</v>
      </c>
      <c r="AV2" s="36">
        <f t="shared" si="1"/>
        <v>1535</v>
      </c>
      <c r="AW2" s="36">
        <f t="shared" si="1"/>
        <v>1535</v>
      </c>
      <c r="AX2" s="36">
        <f t="shared" si="1"/>
        <v>1535</v>
      </c>
      <c r="AY2" s="36">
        <f t="shared" si="1"/>
        <v>1536</v>
      </c>
      <c r="AZ2" s="36">
        <f t="shared" si="1"/>
        <v>1536</v>
      </c>
      <c r="BA2" s="36">
        <f t="shared" si="1"/>
        <v>1536</v>
      </c>
      <c r="BB2" s="36">
        <f t="shared" si="1"/>
        <v>1536</v>
      </c>
      <c r="BC2" s="36">
        <f t="shared" si="1"/>
        <v>1536</v>
      </c>
      <c r="BD2" s="36">
        <f t="shared" si="1"/>
        <v>1536</v>
      </c>
      <c r="BE2" s="36">
        <f t="shared" si="1"/>
        <v>1536</v>
      </c>
      <c r="BF2" s="36">
        <f t="shared" si="1"/>
        <v>1536</v>
      </c>
      <c r="BG2" s="36">
        <f t="shared" si="1"/>
        <v>1536</v>
      </c>
      <c r="BH2" s="36">
        <f t="shared" si="1"/>
        <v>1536</v>
      </c>
      <c r="BI2" s="36">
        <f t="shared" si="1"/>
        <v>1536</v>
      </c>
      <c r="BJ2" s="36">
        <f t="shared" si="1"/>
        <v>1536</v>
      </c>
      <c r="BK2" s="36">
        <f t="shared" si="1"/>
        <v>1537</v>
      </c>
      <c r="BL2" s="36">
        <f t="shared" si="1"/>
        <v>1537</v>
      </c>
      <c r="BM2" s="36">
        <f t="shared" si="1"/>
        <v>1537</v>
      </c>
      <c r="BN2" s="36">
        <f t="shared" si="1"/>
        <v>1537</v>
      </c>
      <c r="BO2" s="36">
        <f t="shared" si="1"/>
        <v>1537</v>
      </c>
      <c r="BP2" s="36">
        <f t="shared" si="1"/>
        <v>1537</v>
      </c>
      <c r="BQ2" s="36">
        <f t="shared" si="1"/>
        <v>1537</v>
      </c>
      <c r="BR2" s="36">
        <f t="shared" si="1"/>
        <v>1537</v>
      </c>
      <c r="BS2" s="36">
        <f t="shared" ref="BS2:CT2" si="2">BR2+IF(BS1="Gennaio",1,0)</f>
        <v>1537</v>
      </c>
      <c r="BT2" s="36">
        <f t="shared" si="2"/>
        <v>1537</v>
      </c>
      <c r="BU2" s="36">
        <f t="shared" si="2"/>
        <v>1537</v>
      </c>
      <c r="BV2" s="36">
        <f t="shared" si="2"/>
        <v>1537</v>
      </c>
      <c r="BW2" s="36">
        <f t="shared" si="2"/>
        <v>1538</v>
      </c>
      <c r="BX2" s="36">
        <f t="shared" si="2"/>
        <v>1538</v>
      </c>
      <c r="BY2" s="36">
        <f t="shared" si="2"/>
        <v>1538</v>
      </c>
      <c r="BZ2" s="36">
        <f t="shared" si="2"/>
        <v>1538</v>
      </c>
      <c r="CA2" s="36">
        <f t="shared" si="2"/>
        <v>1538</v>
      </c>
      <c r="CB2" s="36">
        <f t="shared" si="2"/>
        <v>1538</v>
      </c>
      <c r="CC2" s="36">
        <f t="shared" si="2"/>
        <v>1538</v>
      </c>
      <c r="CD2" s="36">
        <f t="shared" si="2"/>
        <v>1538</v>
      </c>
      <c r="CE2" s="36">
        <f t="shared" si="2"/>
        <v>1538</v>
      </c>
      <c r="CF2" s="36">
        <f t="shared" si="2"/>
        <v>1538</v>
      </c>
      <c r="CG2" s="36">
        <f t="shared" si="2"/>
        <v>1538</v>
      </c>
      <c r="CH2" s="36">
        <f t="shared" si="2"/>
        <v>1538</v>
      </c>
      <c r="CI2" s="36">
        <f t="shared" si="2"/>
        <v>1539</v>
      </c>
      <c r="CJ2" s="36">
        <f t="shared" si="2"/>
        <v>1539</v>
      </c>
      <c r="CK2" s="36">
        <f t="shared" si="2"/>
        <v>1539</v>
      </c>
      <c r="CL2" s="36">
        <f t="shared" si="2"/>
        <v>1539</v>
      </c>
      <c r="CM2" s="36">
        <f t="shared" si="2"/>
        <v>1539</v>
      </c>
      <c r="CN2" s="36">
        <f t="shared" si="2"/>
        <v>1539</v>
      </c>
      <c r="CO2" s="36">
        <f t="shared" si="2"/>
        <v>1539</v>
      </c>
      <c r="CP2" s="36">
        <f t="shared" si="2"/>
        <v>1539</v>
      </c>
      <c r="CQ2" s="36">
        <f t="shared" si="2"/>
        <v>1539</v>
      </c>
      <c r="CR2" s="36">
        <f t="shared" si="2"/>
        <v>1539</v>
      </c>
      <c r="CS2" s="36">
        <f t="shared" si="2"/>
        <v>1539</v>
      </c>
      <c r="CT2" s="36">
        <f t="shared" si="2"/>
        <v>1539</v>
      </c>
    </row>
    <row r="3" spans="1:98" s="36" customFormat="1" x14ac:dyDescent="0.45">
      <c r="D3" s="23" t="s">
        <v>94</v>
      </c>
      <c r="F3" s="36">
        <f>E3+1</f>
        <v>1</v>
      </c>
      <c r="G3" s="36">
        <f t="shared" ref="G3:BR3" si="3">F3+1</f>
        <v>2</v>
      </c>
      <c r="H3" s="36">
        <f t="shared" si="3"/>
        <v>3</v>
      </c>
      <c r="I3" s="36">
        <f t="shared" si="3"/>
        <v>4</v>
      </c>
      <c r="J3" s="36">
        <f t="shared" si="3"/>
        <v>5</v>
      </c>
      <c r="K3" s="36">
        <f t="shared" si="3"/>
        <v>6</v>
      </c>
      <c r="L3" s="36">
        <f t="shared" si="3"/>
        <v>7</v>
      </c>
      <c r="M3" s="36">
        <f t="shared" si="3"/>
        <v>8</v>
      </c>
      <c r="N3" s="36">
        <f t="shared" si="3"/>
        <v>9</v>
      </c>
      <c r="O3" s="36">
        <f t="shared" si="3"/>
        <v>10</v>
      </c>
      <c r="P3" s="36">
        <f t="shared" si="3"/>
        <v>11</v>
      </c>
      <c r="Q3" s="36">
        <f t="shared" si="3"/>
        <v>12</v>
      </c>
      <c r="R3" s="36">
        <f t="shared" si="3"/>
        <v>13</v>
      </c>
      <c r="S3" s="36">
        <f t="shared" si="3"/>
        <v>14</v>
      </c>
      <c r="T3" s="36">
        <f t="shared" si="3"/>
        <v>15</v>
      </c>
      <c r="U3" s="36">
        <f t="shared" si="3"/>
        <v>16</v>
      </c>
      <c r="V3" s="36">
        <f t="shared" si="3"/>
        <v>17</v>
      </c>
      <c r="W3" s="36">
        <f t="shared" si="3"/>
        <v>18</v>
      </c>
      <c r="X3" s="36">
        <f t="shared" si="3"/>
        <v>19</v>
      </c>
      <c r="Y3" s="36">
        <f t="shared" si="3"/>
        <v>20</v>
      </c>
      <c r="Z3" s="36">
        <f t="shared" si="3"/>
        <v>21</v>
      </c>
      <c r="AA3" s="36">
        <f t="shared" si="3"/>
        <v>22</v>
      </c>
      <c r="AB3" s="36">
        <f t="shared" si="3"/>
        <v>23</v>
      </c>
      <c r="AC3" s="36">
        <f t="shared" si="3"/>
        <v>24</v>
      </c>
      <c r="AD3" s="36">
        <f t="shared" si="3"/>
        <v>25</v>
      </c>
      <c r="AE3" s="36">
        <f t="shared" si="3"/>
        <v>26</v>
      </c>
      <c r="AF3" s="36">
        <f t="shared" si="3"/>
        <v>27</v>
      </c>
      <c r="AG3" s="36">
        <f t="shared" si="3"/>
        <v>28</v>
      </c>
      <c r="AH3" s="36">
        <f t="shared" si="3"/>
        <v>29</v>
      </c>
      <c r="AI3" s="36">
        <f t="shared" si="3"/>
        <v>30</v>
      </c>
      <c r="AJ3" s="36">
        <f t="shared" si="3"/>
        <v>31</v>
      </c>
      <c r="AK3" s="36">
        <f t="shared" si="3"/>
        <v>32</v>
      </c>
      <c r="AL3" s="36">
        <f t="shared" si="3"/>
        <v>33</v>
      </c>
      <c r="AM3" s="36">
        <f t="shared" si="3"/>
        <v>34</v>
      </c>
      <c r="AN3" s="36">
        <f t="shared" si="3"/>
        <v>35</v>
      </c>
      <c r="AO3" s="36">
        <f t="shared" si="3"/>
        <v>36</v>
      </c>
      <c r="AP3" s="36">
        <f t="shared" si="3"/>
        <v>37</v>
      </c>
      <c r="AQ3" s="36">
        <f t="shared" si="3"/>
        <v>38</v>
      </c>
      <c r="AR3" s="36">
        <f t="shared" si="3"/>
        <v>39</v>
      </c>
      <c r="AS3" s="36">
        <f t="shared" si="3"/>
        <v>40</v>
      </c>
      <c r="AT3" s="36">
        <f t="shared" si="3"/>
        <v>41</v>
      </c>
      <c r="AU3" s="36">
        <f t="shared" si="3"/>
        <v>42</v>
      </c>
      <c r="AV3" s="36">
        <f t="shared" si="3"/>
        <v>43</v>
      </c>
      <c r="AW3" s="36">
        <f t="shared" si="3"/>
        <v>44</v>
      </c>
      <c r="AX3" s="36">
        <f t="shared" si="3"/>
        <v>45</v>
      </c>
      <c r="AY3" s="36">
        <f t="shared" si="3"/>
        <v>46</v>
      </c>
      <c r="AZ3" s="36">
        <f t="shared" si="3"/>
        <v>47</v>
      </c>
      <c r="BA3" s="36">
        <f t="shared" si="3"/>
        <v>48</v>
      </c>
      <c r="BB3" s="36">
        <f t="shared" si="3"/>
        <v>49</v>
      </c>
      <c r="BC3" s="36">
        <f t="shared" si="3"/>
        <v>50</v>
      </c>
      <c r="BD3" s="36">
        <f t="shared" si="3"/>
        <v>51</v>
      </c>
      <c r="BE3" s="36">
        <f t="shared" si="3"/>
        <v>52</v>
      </c>
      <c r="BF3" s="36">
        <f t="shared" si="3"/>
        <v>53</v>
      </c>
      <c r="BG3" s="36">
        <f t="shared" si="3"/>
        <v>54</v>
      </c>
      <c r="BH3" s="36">
        <f t="shared" si="3"/>
        <v>55</v>
      </c>
      <c r="BI3" s="36">
        <f t="shared" si="3"/>
        <v>56</v>
      </c>
      <c r="BJ3" s="36">
        <f t="shared" si="3"/>
        <v>57</v>
      </c>
      <c r="BK3" s="36">
        <f t="shared" si="3"/>
        <v>58</v>
      </c>
      <c r="BL3" s="36">
        <f t="shared" si="3"/>
        <v>59</v>
      </c>
      <c r="BM3" s="36">
        <f t="shared" si="3"/>
        <v>60</v>
      </c>
      <c r="BN3" s="36">
        <f t="shared" si="3"/>
        <v>61</v>
      </c>
      <c r="BO3" s="36">
        <f t="shared" si="3"/>
        <v>62</v>
      </c>
      <c r="BP3" s="36">
        <f t="shared" si="3"/>
        <v>63</v>
      </c>
      <c r="BQ3" s="36">
        <f t="shared" si="3"/>
        <v>64</v>
      </c>
      <c r="BR3" s="36">
        <f t="shared" si="3"/>
        <v>65</v>
      </c>
      <c r="BS3" s="36">
        <f t="shared" ref="BS3:CT3" si="4">BR3+1</f>
        <v>66</v>
      </c>
      <c r="BT3" s="36">
        <f t="shared" si="4"/>
        <v>67</v>
      </c>
      <c r="BU3" s="36">
        <f t="shared" si="4"/>
        <v>68</v>
      </c>
      <c r="BV3" s="36">
        <f t="shared" si="4"/>
        <v>69</v>
      </c>
      <c r="BW3" s="36">
        <f t="shared" si="4"/>
        <v>70</v>
      </c>
      <c r="BX3" s="36">
        <f t="shared" si="4"/>
        <v>71</v>
      </c>
      <c r="BY3" s="36">
        <f t="shared" si="4"/>
        <v>72</v>
      </c>
      <c r="BZ3" s="36">
        <f t="shared" si="4"/>
        <v>73</v>
      </c>
      <c r="CA3" s="36">
        <f t="shared" si="4"/>
        <v>74</v>
      </c>
      <c r="CB3" s="36">
        <f t="shared" si="4"/>
        <v>75</v>
      </c>
      <c r="CC3" s="36">
        <f t="shared" si="4"/>
        <v>76</v>
      </c>
      <c r="CD3" s="36">
        <f t="shared" si="4"/>
        <v>77</v>
      </c>
      <c r="CE3" s="36">
        <f t="shared" si="4"/>
        <v>78</v>
      </c>
      <c r="CF3" s="36">
        <f t="shared" si="4"/>
        <v>79</v>
      </c>
      <c r="CG3" s="36">
        <f t="shared" si="4"/>
        <v>80</v>
      </c>
      <c r="CH3" s="36">
        <f t="shared" si="4"/>
        <v>81</v>
      </c>
      <c r="CI3" s="36">
        <f t="shared" si="4"/>
        <v>82</v>
      </c>
      <c r="CJ3" s="36">
        <f t="shared" si="4"/>
        <v>83</v>
      </c>
      <c r="CK3" s="36">
        <f t="shared" si="4"/>
        <v>84</v>
      </c>
      <c r="CL3" s="36">
        <f t="shared" si="4"/>
        <v>85</v>
      </c>
      <c r="CM3" s="36">
        <f t="shared" si="4"/>
        <v>86</v>
      </c>
      <c r="CN3" s="36">
        <f t="shared" si="4"/>
        <v>87</v>
      </c>
      <c r="CO3" s="36">
        <f t="shared" si="4"/>
        <v>88</v>
      </c>
      <c r="CP3" s="36">
        <f t="shared" si="4"/>
        <v>89</v>
      </c>
      <c r="CQ3" s="36">
        <f t="shared" si="4"/>
        <v>90</v>
      </c>
      <c r="CR3" s="36">
        <f t="shared" si="4"/>
        <v>91</v>
      </c>
      <c r="CS3" s="36">
        <f t="shared" si="4"/>
        <v>92</v>
      </c>
      <c r="CT3" s="36">
        <f t="shared" si="4"/>
        <v>93</v>
      </c>
    </row>
    <row r="4" spans="1:98" s="36" customFormat="1" x14ac:dyDescent="0.45">
      <c r="D4" s="23"/>
      <c r="AM4" s="36" t="s">
        <v>201</v>
      </c>
      <c r="AY4" s="36" t="s">
        <v>201</v>
      </c>
    </row>
    <row r="5" spans="1:98" s="36" customFormat="1" x14ac:dyDescent="0.45">
      <c r="C5" s="39">
        <f>MAX(F9:CE9)</f>
        <v>4920</v>
      </c>
      <c r="D5" s="97" t="s">
        <v>248</v>
      </c>
      <c r="O5" s="36">
        <f>ABS(O35)</f>
        <v>350</v>
      </c>
      <c r="U5" s="36">
        <f>ABS(U34+U37)</f>
        <v>800</v>
      </c>
      <c r="AM5" s="36">
        <v>-5000</v>
      </c>
      <c r="AR5" s="36">
        <f>20</f>
        <v>20</v>
      </c>
      <c r="AY5" s="36">
        <v>5000</v>
      </c>
      <c r="BA5" s="106"/>
    </row>
    <row r="6" spans="1:98" s="36" customFormat="1" x14ac:dyDescent="0.45">
      <c r="C6" s="39">
        <f>MIN(F9:CE9)</f>
        <v>-3990</v>
      </c>
      <c r="D6" s="97" t="s">
        <v>255</v>
      </c>
      <c r="F6" s="106">
        <f>SUM($E5:F5)+F8</f>
        <v>5223</v>
      </c>
      <c r="G6" s="106">
        <f>SUM($E5:G5)+G8</f>
        <v>5479</v>
      </c>
      <c r="H6" s="106">
        <f>SUM($E5:H5)+H8</f>
        <v>5774</v>
      </c>
      <c r="I6" s="106">
        <f>SUM($E5:I5)+I8</f>
        <v>6024</v>
      </c>
      <c r="J6" s="106">
        <f>SUM($E5:J5)+J8</f>
        <v>6304</v>
      </c>
      <c r="K6" s="106">
        <f>SUM($E5:K5)+K8</f>
        <v>6584</v>
      </c>
      <c r="L6" s="106">
        <f>SUM($E5:L5)+L8</f>
        <v>6864</v>
      </c>
      <c r="M6" s="106">
        <f>SUM($E5:M5)+M8</f>
        <v>7144</v>
      </c>
      <c r="N6" s="106">
        <f>SUM($E5:N5)+N8</f>
        <v>7424</v>
      </c>
      <c r="O6" s="106">
        <f>SUM($E5:O5)+O8</f>
        <v>8054</v>
      </c>
      <c r="P6" s="106">
        <f>SUM($E5:P5)+P8</f>
        <v>8334</v>
      </c>
      <c r="Q6" s="106">
        <f>SUM($E5:Q5)+Q8</f>
        <v>8564</v>
      </c>
      <c r="R6" s="106">
        <f>SUM($E5:R5)+R8</f>
        <v>8844</v>
      </c>
      <c r="S6" s="106">
        <f>SUM($E5:S5)+S8</f>
        <v>9124</v>
      </c>
      <c r="T6" s="106">
        <f>SUM($E5:T5)+T8</f>
        <v>9404</v>
      </c>
      <c r="U6" s="106">
        <f>SUM($E5:U5)+U8</f>
        <v>9684</v>
      </c>
      <c r="V6" s="106">
        <f>SUM($E5:V5)+V8</f>
        <v>9964</v>
      </c>
      <c r="W6" s="106">
        <f>SUM($E5:W5)+W8</f>
        <v>10244</v>
      </c>
      <c r="X6" s="106">
        <f>SUM($E5:X5)+X8</f>
        <v>10524</v>
      </c>
      <c r="Y6" s="106">
        <f>SUM($E5:Y5)+Y8</f>
        <v>10804</v>
      </c>
      <c r="Z6" s="106">
        <f>SUM($E5:Z5)+Z8</f>
        <v>11084</v>
      </c>
      <c r="AA6" s="106">
        <f>SUM($E5:AA5)+AA8</f>
        <v>11364</v>
      </c>
      <c r="AB6" s="106">
        <f>SUM($E5:AB5)+AB8</f>
        <v>11644</v>
      </c>
      <c r="AC6" s="106">
        <f>SUM($E5:AC5)+AC8</f>
        <v>11924</v>
      </c>
      <c r="AD6" s="106">
        <f>SUM($E5:AD5)+AD8</f>
        <v>11414</v>
      </c>
      <c r="AE6" s="106">
        <f>SUM($E5:AE5)+AE8</f>
        <v>10904</v>
      </c>
      <c r="AF6" s="106">
        <f>SUM($E5:AF5)+AF8</f>
        <v>10394</v>
      </c>
      <c r="AG6" s="106">
        <f>SUM($E5:AG5)+AG8</f>
        <v>9714</v>
      </c>
      <c r="AH6" s="106">
        <f>SUM($E5:AH5)+AH8</f>
        <v>9204</v>
      </c>
      <c r="AI6" s="106">
        <f>SUM($E5:AI5)+AI8</f>
        <v>8694</v>
      </c>
      <c r="AJ6" s="106">
        <f>SUM($E5:AJ5)+AJ8</f>
        <v>8304</v>
      </c>
      <c r="AK6" s="106">
        <f>SUM($E5:AK5)+AK8</f>
        <v>7994</v>
      </c>
      <c r="AL6" s="106">
        <f>SUM($E5:AL5)+AL8</f>
        <v>7684</v>
      </c>
      <c r="AM6" s="106">
        <f>SUM($E5:AM5)+AM8</f>
        <v>7604</v>
      </c>
      <c r="AN6" s="106">
        <f>SUM($E5:AN5)+AN8</f>
        <v>7594</v>
      </c>
      <c r="AO6" s="106">
        <f>SUM($E5:AO5)+AO8</f>
        <v>8484</v>
      </c>
      <c r="AP6" s="106">
        <f>SUM($E5:AP5)+AP8</f>
        <v>9494</v>
      </c>
      <c r="AQ6" s="106">
        <f>SUM($E5:AQ5)+AQ8</f>
        <v>10384</v>
      </c>
      <c r="AR6" s="106">
        <f>SUM($E5:AR5)+AR8</f>
        <v>11274</v>
      </c>
      <c r="AS6" s="106">
        <f>SUM($E5:AS5)+AS8</f>
        <v>11834</v>
      </c>
      <c r="AT6" s="106">
        <f>SUM($E5:AT5)+AT8</f>
        <v>12394</v>
      </c>
      <c r="AU6" s="106">
        <f>SUM($E5:AU5)+AU8</f>
        <v>13554</v>
      </c>
      <c r="AV6" s="106">
        <f>SUM($E5:AV5)+AV8</f>
        <v>14714</v>
      </c>
      <c r="AW6" s="106">
        <f>SUM($E5:AW5)+AW8</f>
        <v>15874</v>
      </c>
      <c r="AX6" s="106">
        <f>SUM($E5:AX5)+AX8</f>
        <v>17034</v>
      </c>
      <c r="AY6" s="106">
        <f>SUM($E5:AY5)+AY8</f>
        <v>18044</v>
      </c>
      <c r="AZ6" s="106">
        <f>SUM($E5:AZ5)+AZ8</f>
        <v>19204</v>
      </c>
      <c r="BA6" s="106">
        <f>SUM($E5:BA5)+BA8</f>
        <v>20364</v>
      </c>
      <c r="BB6" s="106">
        <f>SUM($E5:BB5)+BB8</f>
        <v>21524</v>
      </c>
      <c r="BC6" s="106">
        <f>SUM($E5:BC5)+BC8</f>
        <v>22684</v>
      </c>
      <c r="BD6" s="106">
        <f>SUM($E5:BD5)+BD8</f>
        <v>23844</v>
      </c>
      <c r="BE6" s="106">
        <f>SUM($E5:BE5)+BE8</f>
        <v>25004</v>
      </c>
      <c r="BF6" s="106">
        <f>SUM($E5:BF5)+BF8</f>
        <v>26164</v>
      </c>
      <c r="BG6" s="106">
        <f>SUM($E5:BG5)+BG8</f>
        <v>27324</v>
      </c>
      <c r="BH6" s="106">
        <f>SUM($E5:BH5)+BH8</f>
        <v>28484</v>
      </c>
      <c r="BI6" s="106">
        <f>SUM($E5:BI5)+BI8</f>
        <v>29644</v>
      </c>
      <c r="BJ6" s="106">
        <f>SUM($E5:BJ5)+BJ8</f>
        <v>30804</v>
      </c>
      <c r="BK6" s="106">
        <f>SUM($E5:BK5)+BK8</f>
        <v>31964</v>
      </c>
      <c r="BL6" s="106">
        <f>SUM($E5:BL5)+BL8</f>
        <v>33124</v>
      </c>
      <c r="BM6" s="106">
        <f>SUM($E5:BM5)+BM8</f>
        <v>34284</v>
      </c>
      <c r="BN6" s="106">
        <f>SUM($E5:BN5)+BN8</f>
        <v>35444</v>
      </c>
      <c r="BO6" s="106">
        <f>SUM($E5:BO5)+BO8</f>
        <v>36604</v>
      </c>
      <c r="BP6" s="106">
        <f>SUM($E5:BP5)+BP8</f>
        <v>37764</v>
      </c>
      <c r="BQ6" s="106">
        <f>SUM($E5:BQ5)+BQ8</f>
        <v>38924</v>
      </c>
      <c r="BR6" s="106">
        <f>SUM($E5:BR5)+BR8</f>
        <v>40084</v>
      </c>
      <c r="BS6" s="106">
        <f>SUM($E5:BS5)+BS8</f>
        <v>41244</v>
      </c>
      <c r="BT6" s="106">
        <f>SUM($E5:BT5)+BT8</f>
        <v>42404</v>
      </c>
      <c r="BU6" s="106">
        <f>SUM($E5:BU5)+BU8</f>
        <v>43564</v>
      </c>
      <c r="BV6" s="106">
        <f>SUM($E5:BV5)+BV8</f>
        <v>44724</v>
      </c>
      <c r="BW6" s="106">
        <f>SUM($E5:BW5)+BW8</f>
        <v>45884</v>
      </c>
      <c r="BX6" s="106">
        <f>SUM($E5:BX5)+BX8</f>
        <v>47044</v>
      </c>
      <c r="BY6" s="106">
        <f>SUM($E5:BY5)+BY8</f>
        <v>48204</v>
      </c>
      <c r="BZ6" s="106">
        <f>SUM($E5:BZ5)+BZ8</f>
        <v>49766</v>
      </c>
      <c r="CA6" s="106">
        <f>SUM($E5:CA5)+CA8</f>
        <v>51326</v>
      </c>
      <c r="CB6" s="106">
        <f>SUM($E5:CB5)+CB8</f>
        <v>52886</v>
      </c>
      <c r="CC6" s="106">
        <f>SUM($E5:CC5)+CC8</f>
        <v>54446</v>
      </c>
      <c r="CD6" s="106">
        <f>SUM($E5:CD5)+CD8</f>
        <v>56006</v>
      </c>
      <c r="CE6" s="106">
        <f>SUM($E5:CE5)+CE8</f>
        <v>60066</v>
      </c>
    </row>
    <row r="7" spans="1:98" s="48" customFormat="1" x14ac:dyDescent="0.45">
      <c r="D7" s="49"/>
    </row>
    <row r="8" spans="1:98" s="37" customFormat="1" x14ac:dyDescent="0.45">
      <c r="A8" s="36"/>
      <c r="B8" s="36"/>
      <c r="C8" s="36"/>
      <c r="D8" s="32" t="s">
        <v>121</v>
      </c>
      <c r="E8" s="37">
        <f>SUM(E11:E1048576)</f>
        <v>5000</v>
      </c>
      <c r="F8" s="37">
        <f t="shared" ref="F8:AK8" si="5">E8+SUM(F11:F1048576)</f>
        <v>5223</v>
      </c>
      <c r="G8" s="37">
        <f t="shared" si="5"/>
        <v>5479</v>
      </c>
      <c r="H8" s="37">
        <f t="shared" si="5"/>
        <v>5774</v>
      </c>
      <c r="I8" s="37">
        <f t="shared" si="5"/>
        <v>6024</v>
      </c>
      <c r="J8" s="37">
        <f t="shared" si="5"/>
        <v>6304</v>
      </c>
      <c r="K8" s="37">
        <f t="shared" si="5"/>
        <v>6584</v>
      </c>
      <c r="L8" s="37">
        <f t="shared" si="5"/>
        <v>6864</v>
      </c>
      <c r="M8" s="37">
        <f t="shared" si="5"/>
        <v>7144</v>
      </c>
      <c r="N8" s="37">
        <f t="shared" si="5"/>
        <v>7424</v>
      </c>
      <c r="O8" s="37">
        <f t="shared" si="5"/>
        <v>7704</v>
      </c>
      <c r="P8" s="37">
        <f t="shared" si="5"/>
        <v>7984</v>
      </c>
      <c r="Q8" s="37">
        <f t="shared" si="5"/>
        <v>8214</v>
      </c>
      <c r="R8" s="37">
        <f t="shared" si="5"/>
        <v>8494</v>
      </c>
      <c r="S8" s="37">
        <f t="shared" si="5"/>
        <v>8774</v>
      </c>
      <c r="T8" s="37">
        <f t="shared" si="5"/>
        <v>9054</v>
      </c>
      <c r="U8" s="37">
        <f t="shared" si="5"/>
        <v>8534</v>
      </c>
      <c r="V8" s="37">
        <f t="shared" si="5"/>
        <v>8814</v>
      </c>
      <c r="W8" s="37">
        <f t="shared" si="5"/>
        <v>9094</v>
      </c>
      <c r="X8" s="37">
        <f t="shared" si="5"/>
        <v>9374</v>
      </c>
      <c r="Y8" s="37">
        <f t="shared" si="5"/>
        <v>9654</v>
      </c>
      <c r="Z8" s="37">
        <f t="shared" si="5"/>
        <v>9934</v>
      </c>
      <c r="AA8" s="37">
        <f t="shared" si="5"/>
        <v>10214</v>
      </c>
      <c r="AB8" s="37">
        <f t="shared" si="5"/>
        <v>10494</v>
      </c>
      <c r="AC8" s="37">
        <f t="shared" si="5"/>
        <v>10774</v>
      </c>
      <c r="AD8" s="37">
        <f t="shared" si="5"/>
        <v>10264</v>
      </c>
      <c r="AE8" s="37">
        <f t="shared" si="5"/>
        <v>9754</v>
      </c>
      <c r="AF8" s="37">
        <f t="shared" si="5"/>
        <v>9244</v>
      </c>
      <c r="AG8" s="37">
        <f t="shared" si="5"/>
        <v>8564</v>
      </c>
      <c r="AH8" s="37">
        <f t="shared" si="5"/>
        <v>8054</v>
      </c>
      <c r="AI8" s="37">
        <f t="shared" si="5"/>
        <v>7544</v>
      </c>
      <c r="AJ8" s="37">
        <f t="shared" si="5"/>
        <v>7154</v>
      </c>
      <c r="AK8" s="37">
        <f t="shared" si="5"/>
        <v>6844</v>
      </c>
      <c r="AL8" s="37">
        <f t="shared" ref="AL8:BQ8" si="6">AK8+SUM(AL11:AL1048576)</f>
        <v>6534</v>
      </c>
      <c r="AM8" s="37">
        <f t="shared" si="6"/>
        <v>11454</v>
      </c>
      <c r="AN8" s="37">
        <f t="shared" si="6"/>
        <v>11444</v>
      </c>
      <c r="AO8" s="37">
        <f t="shared" si="6"/>
        <v>12334</v>
      </c>
      <c r="AP8" s="37">
        <f t="shared" si="6"/>
        <v>13344</v>
      </c>
      <c r="AQ8" s="37">
        <f t="shared" si="6"/>
        <v>14234</v>
      </c>
      <c r="AR8" s="37">
        <f t="shared" si="6"/>
        <v>15104</v>
      </c>
      <c r="AS8" s="37">
        <f t="shared" si="6"/>
        <v>15664</v>
      </c>
      <c r="AT8" s="37">
        <f t="shared" si="6"/>
        <v>16224</v>
      </c>
      <c r="AU8" s="37">
        <f t="shared" si="6"/>
        <v>17384</v>
      </c>
      <c r="AV8" s="37">
        <f t="shared" si="6"/>
        <v>18544</v>
      </c>
      <c r="AW8" s="37">
        <f t="shared" si="6"/>
        <v>19704</v>
      </c>
      <c r="AX8" s="37">
        <f t="shared" si="6"/>
        <v>20864</v>
      </c>
      <c r="AY8" s="37">
        <f t="shared" si="6"/>
        <v>16874</v>
      </c>
      <c r="AZ8" s="37">
        <f t="shared" si="6"/>
        <v>18034</v>
      </c>
      <c r="BA8" s="37">
        <f t="shared" si="6"/>
        <v>19194</v>
      </c>
      <c r="BB8" s="37">
        <f t="shared" si="6"/>
        <v>20354</v>
      </c>
      <c r="BC8" s="37">
        <f t="shared" si="6"/>
        <v>21514</v>
      </c>
      <c r="BD8" s="37">
        <f t="shared" si="6"/>
        <v>22674</v>
      </c>
      <c r="BE8" s="37">
        <f t="shared" si="6"/>
        <v>23834</v>
      </c>
      <c r="BF8" s="37">
        <f t="shared" si="6"/>
        <v>24994</v>
      </c>
      <c r="BG8" s="37">
        <f t="shared" si="6"/>
        <v>26154</v>
      </c>
      <c r="BH8" s="37">
        <f t="shared" si="6"/>
        <v>27314</v>
      </c>
      <c r="BI8" s="37">
        <f t="shared" si="6"/>
        <v>28474</v>
      </c>
      <c r="BJ8" s="37">
        <f t="shared" si="6"/>
        <v>29634</v>
      </c>
      <c r="BK8" s="37">
        <f t="shared" si="6"/>
        <v>30794</v>
      </c>
      <c r="BL8" s="37">
        <f t="shared" si="6"/>
        <v>31954</v>
      </c>
      <c r="BM8" s="37">
        <f t="shared" si="6"/>
        <v>33114</v>
      </c>
      <c r="BN8" s="37">
        <f t="shared" si="6"/>
        <v>34274</v>
      </c>
      <c r="BO8" s="37">
        <f t="shared" si="6"/>
        <v>35434</v>
      </c>
      <c r="BP8" s="37">
        <f t="shared" si="6"/>
        <v>36594</v>
      </c>
      <c r="BQ8" s="37">
        <f t="shared" si="6"/>
        <v>37754</v>
      </c>
      <c r="BR8" s="37">
        <f t="shared" ref="BR8:BY8" si="7">BQ8+SUM(BR11:BR1048576)</f>
        <v>38914</v>
      </c>
      <c r="BS8" s="37">
        <f t="shared" si="7"/>
        <v>40074</v>
      </c>
      <c r="BT8" s="37">
        <f t="shared" si="7"/>
        <v>41234</v>
      </c>
      <c r="BU8" s="37">
        <f t="shared" si="7"/>
        <v>42394</v>
      </c>
      <c r="BV8" s="37">
        <f t="shared" si="7"/>
        <v>43554</v>
      </c>
      <c r="BW8" s="37">
        <f t="shared" si="7"/>
        <v>44714</v>
      </c>
      <c r="BX8" s="37">
        <f t="shared" si="7"/>
        <v>45874</v>
      </c>
      <c r="BY8" s="37">
        <f t="shared" si="7"/>
        <v>47034</v>
      </c>
      <c r="BZ8" s="37">
        <f t="shared" ref="BZ8" si="8">BY8+SUM(BZ11:BZ1048576)</f>
        <v>48596</v>
      </c>
      <c r="CA8" s="37">
        <f t="shared" ref="CA8" si="9">BZ8+SUM(CA11:CA1048576)</f>
        <v>50156</v>
      </c>
      <c r="CB8" s="37">
        <f t="shared" ref="CB8" si="10">CA8+SUM(CB11:CB1048576)</f>
        <v>51716</v>
      </c>
      <c r="CC8" s="37">
        <f t="shared" ref="CC8" si="11">CB8+SUM(CC11:CC1048576)</f>
        <v>53276</v>
      </c>
      <c r="CD8" s="37">
        <f t="shared" ref="CD8" si="12">CC8+SUM(CD11:CD1048576)</f>
        <v>54836</v>
      </c>
      <c r="CE8" s="37">
        <f t="shared" ref="CE8" si="13">CD8+SUM(CE11:CE1048576)</f>
        <v>58896</v>
      </c>
    </row>
    <row r="9" spans="1:98" s="52" customFormat="1" x14ac:dyDescent="0.45">
      <c r="A9" s="48"/>
      <c r="B9" s="48"/>
      <c r="C9" s="48"/>
      <c r="D9" s="54" t="s">
        <v>122</v>
      </c>
      <c r="E9" s="50"/>
      <c r="F9" s="51">
        <f>F8-E8</f>
        <v>223</v>
      </c>
      <c r="G9" s="51">
        <f>G8-F8</f>
        <v>256</v>
      </c>
      <c r="H9" s="51">
        <f>H8-G8</f>
        <v>295</v>
      </c>
      <c r="I9" s="51">
        <f t="shared" ref="I9:K9" si="14">I8-H8</f>
        <v>250</v>
      </c>
      <c r="J9" s="51">
        <f t="shared" si="14"/>
        <v>280</v>
      </c>
      <c r="K9" s="51">
        <f t="shared" si="14"/>
        <v>280</v>
      </c>
      <c r="L9" s="51">
        <f t="shared" ref="L9" si="15">L8-K8</f>
        <v>280</v>
      </c>
      <c r="M9" s="51">
        <f t="shared" ref="M9" si="16">M8-L8</f>
        <v>280</v>
      </c>
      <c r="N9" s="51">
        <f t="shared" ref="N9" si="17">N8-M8</f>
        <v>280</v>
      </c>
      <c r="O9" s="51">
        <f t="shared" ref="O9" si="18">O8-N8</f>
        <v>280</v>
      </c>
      <c r="P9" s="51">
        <f t="shared" ref="P9" si="19">P8-O8</f>
        <v>280</v>
      </c>
      <c r="Q9" s="51">
        <f t="shared" ref="Q9" si="20">Q8-P8</f>
        <v>230</v>
      </c>
      <c r="R9" s="51">
        <f t="shared" ref="R9" si="21">R8-Q8</f>
        <v>280</v>
      </c>
      <c r="S9" s="51">
        <f t="shared" ref="S9" si="22">S8-R8</f>
        <v>280</v>
      </c>
      <c r="T9" s="51">
        <f t="shared" ref="T9" si="23">T8-S8</f>
        <v>280</v>
      </c>
      <c r="U9" s="51">
        <f t="shared" ref="U9" si="24">U8-T8</f>
        <v>-520</v>
      </c>
      <c r="V9" s="51">
        <f t="shared" ref="V9" si="25">V8-U8</f>
        <v>280</v>
      </c>
      <c r="W9" s="51">
        <f t="shared" ref="W9" si="26">W8-V8</f>
        <v>280</v>
      </c>
      <c r="X9" s="51">
        <f t="shared" ref="X9" si="27">X8-W8</f>
        <v>280</v>
      </c>
      <c r="Y9" s="51">
        <f t="shared" ref="Y9" si="28">Y8-X8</f>
        <v>280</v>
      </c>
      <c r="Z9" s="51">
        <f t="shared" ref="Z9" si="29">Z8-Y8</f>
        <v>280</v>
      </c>
      <c r="AA9" s="51">
        <f t="shared" ref="AA9" si="30">AA8-Z8</f>
        <v>280</v>
      </c>
      <c r="AB9" s="51">
        <f t="shared" ref="AB9" si="31">AB8-AA8</f>
        <v>280</v>
      </c>
      <c r="AC9" s="51">
        <f t="shared" ref="AC9" si="32">AC8-AB8</f>
        <v>280</v>
      </c>
      <c r="AD9" s="51">
        <f t="shared" ref="AD9" si="33">AD8-AC8</f>
        <v>-510</v>
      </c>
      <c r="AE9" s="51">
        <f t="shared" ref="AE9" si="34">AE8-AD8</f>
        <v>-510</v>
      </c>
      <c r="AF9" s="51">
        <f t="shared" ref="AF9" si="35">AF8-AE8</f>
        <v>-510</v>
      </c>
      <c r="AG9" s="51">
        <f t="shared" ref="AG9" si="36">AG8-AF8</f>
        <v>-680</v>
      </c>
      <c r="AH9" s="51">
        <f t="shared" ref="AH9" si="37">AH8-AG8</f>
        <v>-510</v>
      </c>
      <c r="AI9" s="51">
        <f t="shared" ref="AI9" si="38">AI8-AH8</f>
        <v>-510</v>
      </c>
      <c r="AJ9" s="51">
        <f t="shared" ref="AJ9" si="39">AJ8-AI8</f>
        <v>-390</v>
      </c>
      <c r="AK9" s="51">
        <f t="shared" ref="AK9:AL9" si="40">AK8-AJ8</f>
        <v>-310</v>
      </c>
      <c r="AL9" s="51">
        <f t="shared" si="40"/>
        <v>-310</v>
      </c>
      <c r="AM9" s="51">
        <f t="shared" ref="AM9" si="41">AM8-AL8</f>
        <v>4920</v>
      </c>
      <c r="AN9" s="51">
        <f t="shared" ref="AN9" si="42">AN8-AM8</f>
        <v>-10</v>
      </c>
      <c r="AO9" s="51">
        <f t="shared" ref="AO9" si="43">AO8-AN8</f>
        <v>890</v>
      </c>
      <c r="AP9" s="51">
        <f t="shared" ref="AP9" si="44">AP8-AO8</f>
        <v>1010</v>
      </c>
      <c r="AQ9" s="51">
        <f t="shared" ref="AQ9" si="45">AQ8-AP8</f>
        <v>890</v>
      </c>
      <c r="AR9" s="51">
        <f t="shared" ref="AR9" si="46">AR8-AQ8</f>
        <v>870</v>
      </c>
      <c r="AS9" s="51">
        <f t="shared" ref="AS9" si="47">AS8-AR8</f>
        <v>560</v>
      </c>
      <c r="AT9" s="51">
        <f t="shared" ref="AT9" si="48">AT8-AS8</f>
        <v>560</v>
      </c>
      <c r="AU9" s="51">
        <f t="shared" ref="AU9" si="49">AU8-AT8</f>
        <v>1160</v>
      </c>
      <c r="AV9" s="51">
        <f t="shared" ref="AV9" si="50">AV8-AU8</f>
        <v>1160</v>
      </c>
      <c r="AW9" s="51">
        <f t="shared" ref="AW9" si="51">AW8-AV8</f>
        <v>1160</v>
      </c>
      <c r="AX9" s="51">
        <f t="shared" ref="AX9" si="52">AX8-AW8</f>
        <v>1160</v>
      </c>
      <c r="AY9" s="51">
        <f t="shared" ref="AY9" si="53">AY8-AX8</f>
        <v>-3990</v>
      </c>
      <c r="AZ9" s="51">
        <f t="shared" ref="AZ9" si="54">AZ8-AY8</f>
        <v>1160</v>
      </c>
      <c r="BA9" s="51">
        <f t="shared" ref="BA9" si="55">BA8-AZ8</f>
        <v>1160</v>
      </c>
      <c r="BB9" s="51">
        <f t="shared" ref="BB9" si="56">BB8-BA8</f>
        <v>1160</v>
      </c>
      <c r="BC9" s="51">
        <f t="shared" ref="BC9" si="57">BC8-BB8</f>
        <v>1160</v>
      </c>
      <c r="BD9" s="51">
        <f t="shared" ref="BD9" si="58">BD8-BC8</f>
        <v>1160</v>
      </c>
      <c r="BE9" s="51">
        <f t="shared" ref="BE9" si="59">BE8-BD8</f>
        <v>1160</v>
      </c>
      <c r="BF9" s="51">
        <f t="shared" ref="BF9" si="60">BF8-BE8</f>
        <v>1160</v>
      </c>
      <c r="BG9" s="51">
        <f t="shared" ref="BG9" si="61">BG8-BF8</f>
        <v>1160</v>
      </c>
      <c r="BH9" s="51">
        <f t="shared" ref="BH9" si="62">BH8-BG8</f>
        <v>1160</v>
      </c>
      <c r="BI9" s="51">
        <f t="shared" ref="BI9" si="63">BI8-BH8</f>
        <v>1160</v>
      </c>
      <c r="BJ9" s="51">
        <f t="shared" ref="BJ9" si="64">BJ8-BI8</f>
        <v>1160</v>
      </c>
      <c r="BK9" s="51">
        <f t="shared" ref="BK9" si="65">BK8-BJ8</f>
        <v>1160</v>
      </c>
      <c r="BL9" s="51">
        <f t="shared" ref="BL9" si="66">BL8-BK8</f>
        <v>1160</v>
      </c>
      <c r="BM9" s="51">
        <f t="shared" ref="BM9" si="67">BM8-BL8</f>
        <v>1160</v>
      </c>
      <c r="BN9" s="51">
        <f t="shared" ref="BN9" si="68">BN8-BM8</f>
        <v>1160</v>
      </c>
      <c r="BO9" s="51">
        <f t="shared" ref="BO9" si="69">BO8-BN8</f>
        <v>1160</v>
      </c>
      <c r="BP9" s="51">
        <f t="shared" ref="BP9" si="70">BP8-BO8</f>
        <v>1160</v>
      </c>
      <c r="BQ9" s="51">
        <f t="shared" ref="BQ9" si="71">BQ8-BP8</f>
        <v>1160</v>
      </c>
      <c r="BR9" s="51">
        <f t="shared" ref="BR9" si="72">BR8-BQ8</f>
        <v>1160</v>
      </c>
      <c r="BS9" s="51">
        <f t="shared" ref="BS9" si="73">BS8-BR8</f>
        <v>1160</v>
      </c>
      <c r="BT9" s="51">
        <f t="shared" ref="BT9" si="74">BT8-BS8</f>
        <v>1160</v>
      </c>
      <c r="BU9" s="51">
        <f t="shared" ref="BU9" si="75">BU8-BT8</f>
        <v>1160</v>
      </c>
      <c r="BV9" s="51">
        <f t="shared" ref="BV9" si="76">BV8-BU8</f>
        <v>1160</v>
      </c>
      <c r="BW9" s="51">
        <f t="shared" ref="BW9" si="77">BW8-BV8</f>
        <v>1160</v>
      </c>
      <c r="BX9" s="51">
        <f t="shared" ref="BX9" si="78">BX8-BW8</f>
        <v>1160</v>
      </c>
      <c r="BY9" s="51">
        <f t="shared" ref="BY9" si="79">BY8-BX8</f>
        <v>1160</v>
      </c>
      <c r="BZ9" s="51">
        <f t="shared" ref="BZ9" si="80">BZ8-BY8</f>
        <v>1562</v>
      </c>
      <c r="CA9" s="51">
        <f t="shared" ref="CA9" si="81">CA8-BZ8</f>
        <v>1560</v>
      </c>
      <c r="CB9" s="51">
        <f t="shared" ref="CB9" si="82">CB8-CA8</f>
        <v>1560</v>
      </c>
      <c r="CC9" s="51">
        <f t="shared" ref="CC9" si="83">CC8-CB8</f>
        <v>1560</v>
      </c>
      <c r="CD9" s="51">
        <f t="shared" ref="CD9" si="84">CD8-CC8</f>
        <v>1560</v>
      </c>
      <c r="CE9" s="51">
        <f t="shared" ref="CE9" si="85">CE8-CD8</f>
        <v>4060</v>
      </c>
    </row>
    <row r="10" spans="1:98" s="37" customFormat="1" x14ac:dyDescent="0.45">
      <c r="A10" s="36"/>
      <c r="B10" s="36"/>
      <c r="C10" s="36"/>
      <c r="D10" s="32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</row>
    <row r="11" spans="1:98" ht="14.65" thickBot="1" x14ac:dyDescent="0.5">
      <c r="D11" s="32"/>
    </row>
    <row r="12" spans="1:98" s="40" customFormat="1" x14ac:dyDescent="0.45">
      <c r="A12" s="45"/>
      <c r="B12" s="45"/>
      <c r="C12" s="45"/>
      <c r="D12" s="55" t="s">
        <v>95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40">
        <v>0</v>
      </c>
      <c r="AX12" s="40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0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</row>
    <row r="13" spans="1:98" s="28" customFormat="1" ht="14.65" thickBot="1" x14ac:dyDescent="0.5">
      <c r="A13" s="46"/>
      <c r="B13" s="46"/>
      <c r="C13" s="46"/>
      <c r="D13" s="56" t="s">
        <v>96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</row>
    <row r="14" spans="1:98" x14ac:dyDescent="0.45">
      <c r="C14" s="36">
        <f>COUNTA(A15:B42)</f>
        <v>4</v>
      </c>
      <c r="D14" s="57" t="s">
        <v>185</v>
      </c>
    </row>
    <row r="16" spans="1:98" x14ac:dyDescent="0.45">
      <c r="D16" s="57" t="s">
        <v>175</v>
      </c>
    </row>
    <row r="17" spans="1:83" x14ac:dyDescent="0.45">
      <c r="A17" s="41"/>
      <c r="B17" s="41"/>
      <c r="C17" s="41"/>
      <c r="D17" s="41" t="s">
        <v>136</v>
      </c>
    </row>
    <row r="18" spans="1:83" s="31" customFormat="1" x14ac:dyDescent="0.45">
      <c r="A18" s="53"/>
      <c r="B18" s="53"/>
      <c r="C18" s="53" t="s">
        <v>147</v>
      </c>
      <c r="D18" s="53" t="s">
        <v>97</v>
      </c>
      <c r="I18" s="31">
        <f t="shared" ref="I18:BT18" si="86">$C$42</f>
        <v>280</v>
      </c>
      <c r="J18" s="31">
        <f t="shared" si="86"/>
        <v>280</v>
      </c>
      <c r="K18" s="31">
        <f t="shared" si="86"/>
        <v>280</v>
      </c>
      <c r="L18" s="31">
        <f t="shared" si="86"/>
        <v>280</v>
      </c>
      <c r="M18" s="31">
        <f t="shared" si="86"/>
        <v>280</v>
      </c>
      <c r="N18" s="31">
        <f t="shared" si="86"/>
        <v>280</v>
      </c>
      <c r="O18" s="31">
        <f t="shared" si="86"/>
        <v>280</v>
      </c>
      <c r="P18" s="31">
        <f t="shared" si="86"/>
        <v>280</v>
      </c>
      <c r="Q18" s="31">
        <f t="shared" si="86"/>
        <v>280</v>
      </c>
      <c r="R18" s="31">
        <f t="shared" si="86"/>
        <v>280</v>
      </c>
      <c r="S18" s="31">
        <f t="shared" si="86"/>
        <v>280</v>
      </c>
      <c r="T18" s="31">
        <f t="shared" si="86"/>
        <v>280</v>
      </c>
      <c r="U18" s="31">
        <f t="shared" si="86"/>
        <v>280</v>
      </c>
      <c r="V18" s="31">
        <f t="shared" si="86"/>
        <v>280</v>
      </c>
      <c r="W18" s="31">
        <f t="shared" si="86"/>
        <v>280</v>
      </c>
      <c r="X18" s="31">
        <f t="shared" si="86"/>
        <v>280</v>
      </c>
      <c r="Y18" s="31">
        <f t="shared" si="86"/>
        <v>280</v>
      </c>
      <c r="Z18" s="31">
        <f t="shared" si="86"/>
        <v>280</v>
      </c>
      <c r="AA18" s="31">
        <f t="shared" si="86"/>
        <v>280</v>
      </c>
      <c r="AB18" s="31">
        <f t="shared" si="86"/>
        <v>280</v>
      </c>
      <c r="AC18" s="31">
        <f t="shared" si="86"/>
        <v>280</v>
      </c>
      <c r="AD18" s="31">
        <f t="shared" si="86"/>
        <v>280</v>
      </c>
      <c r="AE18" s="31">
        <f t="shared" si="86"/>
        <v>280</v>
      </c>
      <c r="AF18" s="31">
        <f t="shared" si="86"/>
        <v>280</v>
      </c>
      <c r="AG18" s="31">
        <f t="shared" si="86"/>
        <v>280</v>
      </c>
      <c r="AH18" s="31">
        <f t="shared" si="86"/>
        <v>280</v>
      </c>
      <c r="AI18" s="31">
        <f t="shared" si="86"/>
        <v>280</v>
      </c>
      <c r="AJ18" s="31">
        <f t="shared" si="86"/>
        <v>280</v>
      </c>
      <c r="AK18" s="31">
        <f t="shared" si="86"/>
        <v>280</v>
      </c>
      <c r="AL18" s="31">
        <f t="shared" si="86"/>
        <v>280</v>
      </c>
      <c r="AM18" s="31">
        <f t="shared" si="86"/>
        <v>280</v>
      </c>
      <c r="AN18" s="31">
        <f t="shared" si="86"/>
        <v>280</v>
      </c>
      <c r="AO18" s="31">
        <f t="shared" si="86"/>
        <v>280</v>
      </c>
      <c r="AP18" s="31">
        <f t="shared" si="86"/>
        <v>280</v>
      </c>
      <c r="AQ18" s="31">
        <f t="shared" si="86"/>
        <v>280</v>
      </c>
      <c r="AR18" s="31">
        <f t="shared" si="86"/>
        <v>280</v>
      </c>
      <c r="AS18" s="31">
        <f t="shared" si="86"/>
        <v>280</v>
      </c>
      <c r="AT18" s="31">
        <f t="shared" si="86"/>
        <v>280</v>
      </c>
      <c r="AU18" s="31">
        <f t="shared" si="86"/>
        <v>280</v>
      </c>
      <c r="AV18" s="31">
        <f t="shared" si="86"/>
        <v>280</v>
      </c>
      <c r="AW18" s="31">
        <f t="shared" si="86"/>
        <v>280</v>
      </c>
      <c r="AX18" s="31">
        <f t="shared" si="86"/>
        <v>280</v>
      </c>
      <c r="AY18" s="31">
        <f t="shared" si="86"/>
        <v>280</v>
      </c>
      <c r="AZ18" s="31">
        <f t="shared" si="86"/>
        <v>280</v>
      </c>
      <c r="BA18" s="31">
        <f t="shared" si="86"/>
        <v>280</v>
      </c>
      <c r="BB18" s="31">
        <f t="shared" si="86"/>
        <v>280</v>
      </c>
      <c r="BC18" s="31">
        <f t="shared" si="86"/>
        <v>280</v>
      </c>
      <c r="BD18" s="31">
        <f t="shared" si="86"/>
        <v>280</v>
      </c>
      <c r="BE18" s="31">
        <f t="shared" si="86"/>
        <v>280</v>
      </c>
      <c r="BF18" s="31">
        <f t="shared" si="86"/>
        <v>280</v>
      </c>
      <c r="BG18" s="31">
        <f t="shared" si="86"/>
        <v>280</v>
      </c>
      <c r="BH18" s="31">
        <f t="shared" si="86"/>
        <v>280</v>
      </c>
      <c r="BI18" s="31">
        <f t="shared" si="86"/>
        <v>280</v>
      </c>
      <c r="BJ18" s="31">
        <f t="shared" si="86"/>
        <v>280</v>
      </c>
      <c r="BK18" s="31">
        <f t="shared" si="86"/>
        <v>280</v>
      </c>
      <c r="BL18" s="31">
        <f t="shared" si="86"/>
        <v>280</v>
      </c>
      <c r="BM18" s="31">
        <f t="shared" si="86"/>
        <v>280</v>
      </c>
      <c r="BN18" s="31">
        <f t="shared" si="86"/>
        <v>280</v>
      </c>
      <c r="BO18" s="31">
        <f t="shared" si="86"/>
        <v>280</v>
      </c>
      <c r="BP18" s="31">
        <f t="shared" si="86"/>
        <v>280</v>
      </c>
      <c r="BQ18" s="31">
        <f t="shared" si="86"/>
        <v>280</v>
      </c>
      <c r="BR18" s="31">
        <f t="shared" si="86"/>
        <v>280</v>
      </c>
      <c r="BS18" s="31">
        <f t="shared" si="86"/>
        <v>280</v>
      </c>
      <c r="BT18" s="31">
        <f t="shared" si="86"/>
        <v>280</v>
      </c>
      <c r="BU18" s="31">
        <f t="shared" ref="BU18:CE18" si="87">$C$42</f>
        <v>280</v>
      </c>
      <c r="BV18" s="31">
        <f t="shared" si="87"/>
        <v>280</v>
      </c>
      <c r="BW18" s="31">
        <f t="shared" si="87"/>
        <v>280</v>
      </c>
      <c r="BX18" s="31">
        <f t="shared" si="87"/>
        <v>280</v>
      </c>
      <c r="BY18" s="31">
        <f t="shared" si="87"/>
        <v>280</v>
      </c>
      <c r="BZ18" s="31">
        <f t="shared" si="87"/>
        <v>280</v>
      </c>
      <c r="CA18" s="31">
        <f t="shared" si="87"/>
        <v>280</v>
      </c>
      <c r="CB18" s="31">
        <f t="shared" si="87"/>
        <v>280</v>
      </c>
      <c r="CC18" s="31">
        <f t="shared" si="87"/>
        <v>280</v>
      </c>
      <c r="CD18" s="31">
        <f t="shared" si="87"/>
        <v>280</v>
      </c>
      <c r="CE18" s="31">
        <f t="shared" si="87"/>
        <v>280</v>
      </c>
    </row>
    <row r="19" spans="1:83" x14ac:dyDescent="0.45">
      <c r="A19" s="23"/>
      <c r="B19" s="23"/>
      <c r="C19" s="23"/>
    </row>
    <row r="20" spans="1:83" x14ac:dyDescent="0.45">
      <c r="A20" s="23"/>
      <c r="B20" s="23"/>
      <c r="C20" s="23"/>
    </row>
    <row r="21" spans="1:83" s="27" customFormat="1" x14ac:dyDescent="0.45">
      <c r="A21" s="131"/>
      <c r="B21" s="131"/>
      <c r="C21" s="131"/>
      <c r="D21" s="131" t="s">
        <v>329</v>
      </c>
      <c r="AJ21" s="27" t="s">
        <v>401</v>
      </c>
      <c r="AO21" s="232" t="s">
        <v>422</v>
      </c>
      <c r="AU21" s="232" t="s">
        <v>421</v>
      </c>
      <c r="BZ21" s="106">
        <v>2</v>
      </c>
    </row>
    <row r="22" spans="1:83" x14ac:dyDescent="0.45">
      <c r="A22" s="130"/>
      <c r="B22" s="130"/>
      <c r="C22" s="130"/>
      <c r="D22" s="130" t="s">
        <v>333</v>
      </c>
      <c r="AD22" s="24">
        <v>200</v>
      </c>
      <c r="AE22" s="24">
        <f>AD22</f>
        <v>200</v>
      </c>
      <c r="AF22" s="24">
        <f t="shared" ref="AF22:AI22" si="88">AE22</f>
        <v>200</v>
      </c>
      <c r="AG22" s="24">
        <f t="shared" si="88"/>
        <v>200</v>
      </c>
      <c r="AH22" s="24">
        <f t="shared" si="88"/>
        <v>200</v>
      </c>
      <c r="AI22" s="24">
        <f t="shared" si="88"/>
        <v>200</v>
      </c>
      <c r="AJ22" s="24">
        <v>400</v>
      </c>
      <c r="AK22" s="24">
        <f>AJ22</f>
        <v>400</v>
      </c>
      <c r="AL22" s="24">
        <f t="shared" ref="AL22:AN22" si="89">AK22</f>
        <v>400</v>
      </c>
      <c r="AM22" s="24">
        <f>AL22+3*100</f>
        <v>700</v>
      </c>
      <c r="AN22" s="24">
        <f t="shared" si="89"/>
        <v>700</v>
      </c>
      <c r="AO22" s="24">
        <f>AN22+AO21*300</f>
        <v>1600</v>
      </c>
      <c r="AP22" s="24">
        <f t="shared" ref="AP22:AU22" si="90">AO22+AP21*300</f>
        <v>1600</v>
      </c>
      <c r="AQ22" s="24">
        <f t="shared" si="90"/>
        <v>1600</v>
      </c>
      <c r="AR22" s="24">
        <f t="shared" si="90"/>
        <v>1600</v>
      </c>
      <c r="AS22" s="24">
        <f t="shared" si="90"/>
        <v>1600</v>
      </c>
      <c r="AT22" s="24">
        <f t="shared" si="90"/>
        <v>1600</v>
      </c>
      <c r="AU22" s="24">
        <f t="shared" si="90"/>
        <v>2200</v>
      </c>
      <c r="AV22" s="24">
        <f t="shared" ref="AV22:BY22" si="91">AU22</f>
        <v>2200</v>
      </c>
      <c r="AW22" s="24">
        <f t="shared" si="91"/>
        <v>2200</v>
      </c>
      <c r="AX22" s="24">
        <f t="shared" si="91"/>
        <v>2200</v>
      </c>
      <c r="AY22" s="24">
        <f t="shared" si="91"/>
        <v>2200</v>
      </c>
      <c r="AZ22" s="24">
        <f t="shared" si="91"/>
        <v>2200</v>
      </c>
      <c r="BA22" s="24">
        <f t="shared" si="91"/>
        <v>2200</v>
      </c>
      <c r="BB22" s="24">
        <f t="shared" si="91"/>
        <v>2200</v>
      </c>
      <c r="BC22" s="24">
        <f t="shared" si="91"/>
        <v>2200</v>
      </c>
      <c r="BD22" s="24">
        <f t="shared" si="91"/>
        <v>2200</v>
      </c>
      <c r="BE22" s="24">
        <f t="shared" si="91"/>
        <v>2200</v>
      </c>
      <c r="BF22" s="24">
        <f t="shared" si="91"/>
        <v>2200</v>
      </c>
      <c r="BG22" s="24">
        <f t="shared" si="91"/>
        <v>2200</v>
      </c>
      <c r="BH22" s="24">
        <f t="shared" si="91"/>
        <v>2200</v>
      </c>
      <c r="BI22" s="24">
        <f t="shared" si="91"/>
        <v>2200</v>
      </c>
      <c r="BJ22" s="24">
        <f t="shared" si="91"/>
        <v>2200</v>
      </c>
      <c r="BK22" s="24">
        <f t="shared" si="91"/>
        <v>2200</v>
      </c>
      <c r="BL22" s="24">
        <f t="shared" si="91"/>
        <v>2200</v>
      </c>
      <c r="BM22" s="24">
        <f t="shared" si="91"/>
        <v>2200</v>
      </c>
      <c r="BN22" s="24">
        <f t="shared" si="91"/>
        <v>2200</v>
      </c>
      <c r="BO22" s="24">
        <f t="shared" si="91"/>
        <v>2200</v>
      </c>
      <c r="BP22" s="24">
        <f t="shared" si="91"/>
        <v>2200</v>
      </c>
      <c r="BQ22" s="24">
        <f t="shared" si="91"/>
        <v>2200</v>
      </c>
      <c r="BR22" s="24">
        <f t="shared" si="91"/>
        <v>2200</v>
      </c>
      <c r="BS22" s="24">
        <f t="shared" si="91"/>
        <v>2200</v>
      </c>
      <c r="BT22" s="24">
        <f t="shared" si="91"/>
        <v>2200</v>
      </c>
      <c r="BU22" s="24">
        <f t="shared" si="91"/>
        <v>2200</v>
      </c>
      <c r="BV22" s="24">
        <f t="shared" si="91"/>
        <v>2200</v>
      </c>
      <c r="BW22" s="24">
        <f t="shared" si="91"/>
        <v>2200</v>
      </c>
      <c r="BX22" s="24">
        <f t="shared" si="91"/>
        <v>2200</v>
      </c>
      <c r="BY22" s="24">
        <f t="shared" si="91"/>
        <v>2200</v>
      </c>
      <c r="BZ22" s="24">
        <f>BY22+BZ21*200</f>
        <v>2600</v>
      </c>
      <c r="CA22" s="24">
        <f>BZ22</f>
        <v>2600</v>
      </c>
      <c r="CB22" s="24">
        <f>CA22</f>
        <v>2600</v>
      </c>
      <c r="CC22" s="24">
        <f t="shared" ref="CC22:CE22" si="92">CB22</f>
        <v>2600</v>
      </c>
      <c r="CD22" s="24">
        <f t="shared" si="92"/>
        <v>2600</v>
      </c>
      <c r="CE22" s="24">
        <f t="shared" si="92"/>
        <v>2600</v>
      </c>
    </row>
    <row r="23" spans="1:83" x14ac:dyDescent="0.45">
      <c r="A23" s="130"/>
      <c r="B23" s="130" t="s">
        <v>184</v>
      </c>
      <c r="C23" s="130"/>
      <c r="D23" s="130" t="s">
        <v>330</v>
      </c>
      <c r="AD23" s="24">
        <v>-330</v>
      </c>
      <c r="AE23" s="24">
        <v>-330</v>
      </c>
      <c r="AF23" s="24">
        <v>-330</v>
      </c>
      <c r="AG23" s="24">
        <v>-330</v>
      </c>
      <c r="AH23" s="24">
        <v>-330</v>
      </c>
      <c r="AI23" s="24">
        <v>-330</v>
      </c>
      <c r="AJ23" s="24">
        <v>-330</v>
      </c>
      <c r="AK23" s="24">
        <v>-330</v>
      </c>
      <c r="AL23" s="24">
        <v>-330</v>
      </c>
      <c r="AM23" s="24">
        <v>-330</v>
      </c>
      <c r="AN23" s="24">
        <v>-330</v>
      </c>
      <c r="AO23" s="24">
        <v>-330</v>
      </c>
      <c r="AP23" s="24">
        <v>-330</v>
      </c>
      <c r="AQ23" s="24">
        <v>-330</v>
      </c>
      <c r="AR23" s="24">
        <v>-330</v>
      </c>
      <c r="AS23" s="24">
        <v>-330</v>
      </c>
      <c r="AT23" s="24">
        <v>-330</v>
      </c>
      <c r="AU23" s="24">
        <v>-330</v>
      </c>
      <c r="AV23" s="24">
        <v>-330</v>
      </c>
      <c r="AW23" s="24">
        <v>-330</v>
      </c>
      <c r="AX23" s="24">
        <v>-330</v>
      </c>
      <c r="AY23" s="24">
        <v>-330</v>
      </c>
      <c r="AZ23" s="24">
        <v>-330</v>
      </c>
      <c r="BA23" s="24">
        <v>-330</v>
      </c>
      <c r="BB23" s="24">
        <v>-330</v>
      </c>
      <c r="BC23" s="24">
        <v>-330</v>
      </c>
      <c r="BD23" s="24">
        <v>-330</v>
      </c>
      <c r="BE23" s="24">
        <v>-330</v>
      </c>
      <c r="BF23" s="24">
        <v>-330</v>
      </c>
      <c r="BG23" s="24">
        <v>-330</v>
      </c>
      <c r="BH23" s="24">
        <v>-330</v>
      </c>
      <c r="BI23" s="24">
        <v>-330</v>
      </c>
      <c r="BJ23" s="24">
        <v>-330</v>
      </c>
      <c r="BK23" s="24">
        <v>-330</v>
      </c>
      <c r="BL23" s="24">
        <v>-330</v>
      </c>
      <c r="BM23" s="24">
        <v>-330</v>
      </c>
      <c r="BN23" s="24">
        <v>-330</v>
      </c>
      <c r="BO23" s="24">
        <v>-330</v>
      </c>
      <c r="BP23" s="24">
        <v>-330</v>
      </c>
      <c r="BQ23" s="24">
        <v>-330</v>
      </c>
      <c r="BR23" s="24">
        <v>-330</v>
      </c>
      <c r="BS23" s="24">
        <v>-330</v>
      </c>
      <c r="BT23" s="24">
        <v>-330</v>
      </c>
      <c r="BU23" s="24">
        <v>-330</v>
      </c>
      <c r="BV23" s="24">
        <v>-330</v>
      </c>
      <c r="BW23" s="24">
        <v>-330</v>
      </c>
      <c r="BX23" s="24">
        <v>-330</v>
      </c>
      <c r="BY23" s="24">
        <v>-330</v>
      </c>
      <c r="BZ23" s="24">
        <v>-330</v>
      </c>
      <c r="CA23" s="24">
        <v>-330</v>
      </c>
      <c r="CB23" s="24">
        <v>-330</v>
      </c>
      <c r="CC23" s="24">
        <v>-330</v>
      </c>
      <c r="CD23" s="24">
        <v>-330</v>
      </c>
      <c r="CE23" s="24">
        <v>-330</v>
      </c>
    </row>
    <row r="24" spans="1:83" x14ac:dyDescent="0.45">
      <c r="A24" s="130"/>
      <c r="B24" s="130" t="s">
        <v>184</v>
      </c>
      <c r="C24" s="130"/>
      <c r="D24" s="130" t="s">
        <v>331</v>
      </c>
      <c r="AD24" s="24">
        <v>-330</v>
      </c>
      <c r="AE24" s="24">
        <v>-330</v>
      </c>
      <c r="AF24" s="24">
        <v>-330</v>
      </c>
      <c r="AG24" s="24">
        <v>-330</v>
      </c>
      <c r="AH24" s="24">
        <v>-330</v>
      </c>
      <c r="AI24" s="24">
        <v>-330</v>
      </c>
      <c r="AJ24" s="24">
        <v>-330</v>
      </c>
      <c r="AK24" s="24">
        <v>-330</v>
      </c>
      <c r="AL24" s="24">
        <v>-330</v>
      </c>
      <c r="AM24" s="24">
        <v>-330</v>
      </c>
      <c r="AN24" s="24">
        <v>-330</v>
      </c>
      <c r="AO24" s="24">
        <v>-330</v>
      </c>
      <c r="AP24" s="24">
        <v>-330</v>
      </c>
      <c r="AQ24" s="24">
        <v>-330</v>
      </c>
      <c r="AR24" s="24">
        <v>-330</v>
      </c>
      <c r="AS24" s="24">
        <v>-330</v>
      </c>
      <c r="AT24" s="24">
        <v>-330</v>
      </c>
      <c r="AU24" s="24">
        <v>-330</v>
      </c>
      <c r="AV24" s="24">
        <v>-330</v>
      </c>
      <c r="AW24" s="24">
        <v>-330</v>
      </c>
      <c r="AX24" s="24">
        <v>-330</v>
      </c>
      <c r="AY24" s="24">
        <v>-330</v>
      </c>
      <c r="AZ24" s="24">
        <v>-330</v>
      </c>
      <c r="BA24" s="24">
        <v>-330</v>
      </c>
      <c r="BB24" s="24">
        <v>-330</v>
      </c>
      <c r="BC24" s="24">
        <v>-330</v>
      </c>
      <c r="BD24" s="24">
        <v>-330</v>
      </c>
      <c r="BE24" s="24">
        <v>-330</v>
      </c>
      <c r="BF24" s="24">
        <v>-330</v>
      </c>
      <c r="BG24" s="24">
        <v>-330</v>
      </c>
      <c r="BH24" s="24">
        <v>-330</v>
      </c>
      <c r="BI24" s="24">
        <v>-330</v>
      </c>
      <c r="BJ24" s="24">
        <v>-330</v>
      </c>
      <c r="BK24" s="24">
        <v>-330</v>
      </c>
      <c r="BL24" s="24">
        <v>-330</v>
      </c>
      <c r="BM24" s="24">
        <v>-330</v>
      </c>
      <c r="BN24" s="24">
        <v>-330</v>
      </c>
      <c r="BO24" s="24">
        <v>-330</v>
      </c>
      <c r="BP24" s="24">
        <v>-330</v>
      </c>
      <c r="BQ24" s="24">
        <v>-330</v>
      </c>
      <c r="BR24" s="24">
        <v>-330</v>
      </c>
      <c r="BS24" s="24">
        <v>-330</v>
      </c>
      <c r="BT24" s="24">
        <v>-330</v>
      </c>
      <c r="BU24" s="24">
        <v>-330</v>
      </c>
      <c r="BV24" s="24">
        <v>-330</v>
      </c>
      <c r="BW24" s="24">
        <v>-330</v>
      </c>
      <c r="BX24" s="24">
        <v>-330</v>
      </c>
      <c r="BY24" s="24">
        <v>-330</v>
      </c>
      <c r="BZ24" s="24">
        <v>-330</v>
      </c>
      <c r="CA24" s="24">
        <v>-330</v>
      </c>
      <c r="CB24" s="24">
        <v>-330</v>
      </c>
      <c r="CC24" s="24">
        <v>-330</v>
      </c>
      <c r="CD24" s="24">
        <v>-330</v>
      </c>
      <c r="CE24" s="24">
        <v>-330</v>
      </c>
    </row>
    <row r="25" spans="1:83" x14ac:dyDescent="0.45">
      <c r="A25" s="130"/>
      <c r="B25" s="130" t="s">
        <v>184</v>
      </c>
      <c r="C25" s="130"/>
      <c r="D25" s="130" t="s">
        <v>332</v>
      </c>
      <c r="AD25" s="24">
        <v>-330</v>
      </c>
      <c r="AE25" s="24">
        <v>-330</v>
      </c>
      <c r="AF25" s="24">
        <v>-330</v>
      </c>
      <c r="AG25" s="24">
        <v>-330</v>
      </c>
      <c r="AH25" s="24">
        <v>-330</v>
      </c>
      <c r="AI25" s="24">
        <v>-330</v>
      </c>
      <c r="AJ25" s="24">
        <v>-330</v>
      </c>
      <c r="AK25" s="24">
        <v>-330</v>
      </c>
      <c r="AL25" s="24">
        <v>-330</v>
      </c>
      <c r="AM25" s="24">
        <v>-330</v>
      </c>
      <c r="AN25" s="24">
        <v>-330</v>
      </c>
      <c r="AO25" s="24">
        <v>-330</v>
      </c>
      <c r="AP25" s="24">
        <v>-330</v>
      </c>
      <c r="AQ25" s="24">
        <v>-330</v>
      </c>
      <c r="AR25" s="24">
        <v>-330</v>
      </c>
      <c r="AS25" s="24">
        <v>-330</v>
      </c>
      <c r="AT25" s="24">
        <v>-330</v>
      </c>
      <c r="AU25" s="24">
        <v>-330</v>
      </c>
      <c r="AV25" s="24">
        <v>-330</v>
      </c>
      <c r="AW25" s="24">
        <v>-330</v>
      </c>
      <c r="AX25" s="24">
        <v>-330</v>
      </c>
      <c r="AY25" s="24">
        <v>-330</v>
      </c>
      <c r="AZ25" s="24">
        <v>-330</v>
      </c>
      <c r="BA25" s="24">
        <v>-330</v>
      </c>
      <c r="BB25" s="24">
        <v>-330</v>
      </c>
      <c r="BC25" s="24">
        <v>-330</v>
      </c>
      <c r="BD25" s="24">
        <v>-330</v>
      </c>
      <c r="BE25" s="24">
        <v>-330</v>
      </c>
      <c r="BF25" s="24">
        <v>-330</v>
      </c>
      <c r="BG25" s="24">
        <v>-330</v>
      </c>
      <c r="BH25" s="24">
        <v>-330</v>
      </c>
      <c r="BI25" s="24">
        <v>-330</v>
      </c>
      <c r="BJ25" s="24">
        <v>-330</v>
      </c>
      <c r="BK25" s="24">
        <v>-330</v>
      </c>
      <c r="BL25" s="24">
        <v>-330</v>
      </c>
      <c r="BM25" s="24">
        <v>-330</v>
      </c>
      <c r="BN25" s="24">
        <v>-330</v>
      </c>
      <c r="BO25" s="24">
        <v>-330</v>
      </c>
      <c r="BP25" s="24">
        <v>-330</v>
      </c>
      <c r="BQ25" s="24">
        <v>-330</v>
      </c>
      <c r="BR25" s="24">
        <v>-330</v>
      </c>
      <c r="BS25" s="24">
        <v>-330</v>
      </c>
      <c r="BT25" s="24">
        <v>-330</v>
      </c>
      <c r="BU25" s="24">
        <v>-330</v>
      </c>
      <c r="BV25" s="24">
        <v>-330</v>
      </c>
      <c r="BW25" s="24">
        <v>-330</v>
      </c>
      <c r="BX25" s="24">
        <v>-330</v>
      </c>
      <c r="BY25" s="24">
        <v>-330</v>
      </c>
      <c r="BZ25" s="24">
        <v>-330</v>
      </c>
      <c r="CA25" s="24">
        <v>-330</v>
      </c>
      <c r="CB25" s="24">
        <v>-330</v>
      </c>
      <c r="CC25" s="24">
        <v>-330</v>
      </c>
      <c r="CD25" s="24">
        <v>-330</v>
      </c>
      <c r="CE25" s="24">
        <v>-330</v>
      </c>
    </row>
    <row r="26" spans="1:83" x14ac:dyDescent="0.45">
      <c r="A26" s="130"/>
      <c r="B26" s="130" t="s">
        <v>184</v>
      </c>
      <c r="C26" s="130"/>
      <c r="D26" s="130" t="s">
        <v>330</v>
      </c>
      <c r="AS26" s="24">
        <v>-330</v>
      </c>
      <c r="AT26" s="24">
        <v>-330</v>
      </c>
      <c r="AU26" s="24">
        <v>-330</v>
      </c>
      <c r="AV26" s="24">
        <v>-330</v>
      </c>
      <c r="AW26" s="24">
        <v>-330</v>
      </c>
      <c r="AX26" s="24">
        <v>-330</v>
      </c>
      <c r="AY26" s="24">
        <v>-330</v>
      </c>
      <c r="AZ26" s="24">
        <v>-330</v>
      </c>
      <c r="BA26" s="24">
        <v>-330</v>
      </c>
      <c r="BB26" s="24">
        <v>-330</v>
      </c>
      <c r="BC26" s="24">
        <v>-330</v>
      </c>
      <c r="BD26" s="24">
        <v>-330</v>
      </c>
      <c r="BE26" s="24">
        <v>-330</v>
      </c>
      <c r="BF26" s="24">
        <v>-330</v>
      </c>
      <c r="BG26" s="24">
        <v>-330</v>
      </c>
      <c r="BH26" s="24">
        <v>-330</v>
      </c>
      <c r="BI26" s="24">
        <v>-330</v>
      </c>
      <c r="BJ26" s="24">
        <v>-330</v>
      </c>
      <c r="BK26" s="24">
        <v>-330</v>
      </c>
      <c r="BL26" s="24">
        <v>-330</v>
      </c>
      <c r="BM26" s="24">
        <v>-330</v>
      </c>
      <c r="BN26" s="24">
        <v>-330</v>
      </c>
      <c r="BO26" s="24">
        <v>-330</v>
      </c>
      <c r="BP26" s="24">
        <v>-330</v>
      </c>
      <c r="BQ26" s="24">
        <v>-330</v>
      </c>
      <c r="BR26" s="24">
        <v>-330</v>
      </c>
      <c r="BS26" s="24">
        <v>-330</v>
      </c>
      <c r="BT26" s="24">
        <v>-330</v>
      </c>
      <c r="BU26" s="24">
        <v>-330</v>
      </c>
      <c r="BV26" s="24">
        <v>-330</v>
      </c>
      <c r="BW26" s="24">
        <v>-330</v>
      </c>
      <c r="BX26" s="24">
        <v>-330</v>
      </c>
      <c r="BY26" s="24">
        <v>-330</v>
      </c>
      <c r="BZ26" s="24">
        <v>-330</v>
      </c>
      <c r="CA26" s="24">
        <v>-330</v>
      </c>
      <c r="CB26" s="24">
        <v>-330</v>
      </c>
      <c r="CC26" s="24">
        <v>-330</v>
      </c>
      <c r="CD26" s="24">
        <v>-330</v>
      </c>
      <c r="CE26" s="24">
        <v>-330</v>
      </c>
    </row>
    <row r="27" spans="1:83" x14ac:dyDescent="0.45">
      <c r="A27" s="23"/>
      <c r="B27" s="23"/>
      <c r="C27" s="23"/>
    </row>
    <row r="28" spans="1:83" x14ac:dyDescent="0.45">
      <c r="A28" s="23"/>
      <c r="B28" s="23"/>
      <c r="C28" s="23"/>
      <c r="D28" s="57" t="s">
        <v>175</v>
      </c>
    </row>
    <row r="29" spans="1:83" x14ac:dyDescent="0.45">
      <c r="A29" s="41"/>
      <c r="B29" s="41"/>
      <c r="C29" s="41"/>
      <c r="D29" s="41" t="s">
        <v>148</v>
      </c>
    </row>
    <row r="30" spans="1:83" s="31" customFormat="1" x14ac:dyDescent="0.45">
      <c r="A30" s="53"/>
      <c r="B30" s="53"/>
      <c r="C30" s="53"/>
      <c r="D30" s="53" t="s">
        <v>97</v>
      </c>
      <c r="F30" s="31">
        <v>223</v>
      </c>
      <c r="G30" s="31">
        <v>256</v>
      </c>
      <c r="H30" s="31">
        <v>295</v>
      </c>
    </row>
    <row r="31" spans="1:83" x14ac:dyDescent="0.45">
      <c r="A31" s="23"/>
      <c r="B31" s="23"/>
      <c r="C31" s="23"/>
      <c r="CD31" s="24" t="s">
        <v>439</v>
      </c>
      <c r="CE31" s="24">
        <f>10000/4</f>
        <v>2500</v>
      </c>
    </row>
    <row r="32" spans="1:83" x14ac:dyDescent="0.45">
      <c r="A32" s="23"/>
      <c r="B32" s="23"/>
      <c r="C32" s="23"/>
      <c r="AO32" s="24" t="s">
        <v>406</v>
      </c>
    </row>
    <row r="33" spans="1:51" ht="57" x14ac:dyDescent="0.45">
      <c r="A33" s="23"/>
      <c r="B33" s="23"/>
      <c r="C33" s="23"/>
      <c r="E33" s="25" t="s">
        <v>119</v>
      </c>
      <c r="F33" s="25"/>
      <c r="G33" s="25"/>
      <c r="H33" s="25"/>
      <c r="O33" s="25" t="s">
        <v>256</v>
      </c>
      <c r="U33" s="24" t="s">
        <v>228</v>
      </c>
      <c r="AF33" s="24" t="s">
        <v>341</v>
      </c>
      <c r="AG33" s="24">
        <v>-50</v>
      </c>
      <c r="AI33" s="24" t="s">
        <v>369</v>
      </c>
      <c r="AJ33" s="24">
        <v>-30</v>
      </c>
      <c r="AL33" s="24" t="s">
        <v>369</v>
      </c>
      <c r="AM33" s="24">
        <v>-70</v>
      </c>
      <c r="AO33" s="24" t="s">
        <v>369</v>
      </c>
      <c r="AP33" s="24">
        <v>-30</v>
      </c>
      <c r="AQ33" s="24" t="s">
        <v>418</v>
      </c>
      <c r="AR33" s="24">
        <v>-20</v>
      </c>
    </row>
    <row r="34" spans="1:51" x14ac:dyDescent="0.45">
      <c r="A34" s="23"/>
      <c r="B34" s="23"/>
      <c r="C34" s="23"/>
      <c r="E34" s="24">
        <v>5000</v>
      </c>
      <c r="O34" s="24">
        <v>-350</v>
      </c>
      <c r="U34" s="24">
        <v>-600</v>
      </c>
      <c r="AI34" s="24" t="s">
        <v>369</v>
      </c>
      <c r="AJ34" s="24">
        <v>-50</v>
      </c>
    </row>
    <row r="35" spans="1:51" x14ac:dyDescent="0.45">
      <c r="A35" s="23"/>
      <c r="B35" s="23"/>
      <c r="C35" s="23"/>
      <c r="O35" s="24">
        <v>350</v>
      </c>
      <c r="AF35" s="24" t="s">
        <v>340</v>
      </c>
      <c r="AG35" s="24">
        <v>-120</v>
      </c>
      <c r="AO35" s="24" t="s">
        <v>405</v>
      </c>
      <c r="AP35" s="24">
        <v>150</v>
      </c>
    </row>
    <row r="36" spans="1:51" x14ac:dyDescent="0.45">
      <c r="A36" s="23"/>
      <c r="B36" s="23"/>
      <c r="C36" s="23"/>
      <c r="I36" s="24" t="s">
        <v>129</v>
      </c>
      <c r="Q36" s="24" t="s">
        <v>129</v>
      </c>
      <c r="U36" s="24" t="s">
        <v>229</v>
      </c>
      <c r="AL36" s="24" t="s">
        <v>201</v>
      </c>
      <c r="AM36" s="24">
        <v>5000</v>
      </c>
      <c r="AX36" s="24" t="s">
        <v>400</v>
      </c>
      <c r="AY36" s="24">
        <f>-5000*1.03</f>
        <v>-5150</v>
      </c>
    </row>
    <row r="37" spans="1:51" x14ac:dyDescent="0.45">
      <c r="A37" s="23"/>
      <c r="B37" s="23"/>
      <c r="C37" s="23"/>
      <c r="I37" s="24">
        <f>-10*3</f>
        <v>-30</v>
      </c>
      <c r="Q37" s="24">
        <v>-50</v>
      </c>
      <c r="U37" s="24">
        <v>-200</v>
      </c>
    </row>
    <row r="38" spans="1:51" x14ac:dyDescent="0.45">
      <c r="AO38" s="24" t="s">
        <v>404</v>
      </c>
    </row>
    <row r="39" spans="1:51" s="27" customFormat="1" x14ac:dyDescent="0.45">
      <c r="A39" s="58"/>
      <c r="B39" s="58"/>
      <c r="C39" s="58"/>
      <c r="D39" s="61"/>
      <c r="E39" s="62"/>
      <c r="G39" s="62"/>
    </row>
    <row r="42" spans="1:51" x14ac:dyDescent="0.45">
      <c r="C42" s="36">
        <v>280</v>
      </c>
      <c r="D42" s="23" t="s">
        <v>137</v>
      </c>
    </row>
    <row r="50" spans="1:3" x14ac:dyDescent="0.45">
      <c r="A50" s="47"/>
      <c r="B50" s="47"/>
      <c r="C50" s="4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FB8F-E952-487F-A34A-39364A7BAB85}">
  <sheetPr>
    <tabColor theme="0" tint="-0.249977111117893"/>
  </sheetPr>
  <dimension ref="A1:CT104"/>
  <sheetViews>
    <sheetView zoomScaleNormal="100" workbookViewId="0">
      <selection activeCell="C9" sqref="C9"/>
    </sheetView>
  </sheetViews>
  <sheetFormatPr defaultColWidth="13" defaultRowHeight="14.25" x14ac:dyDescent="0.45"/>
  <cols>
    <col min="1" max="1" width="3.3984375" style="36" bestFit="1" customWidth="1"/>
    <col min="2" max="2" width="3.3984375" style="36" customWidth="1"/>
    <col min="3" max="3" width="9.3984375" style="57" bestFit="1" customWidth="1"/>
    <col min="4" max="4" width="43" style="23" customWidth="1"/>
    <col min="5" max="16384" width="13" style="24"/>
  </cols>
  <sheetData>
    <row r="1" spans="1:98" s="100" customFormat="1" ht="21" x14ac:dyDescent="0.65">
      <c r="A1" s="98"/>
      <c r="B1" s="98"/>
      <c r="C1" s="99"/>
      <c r="D1" s="101" t="s">
        <v>126</v>
      </c>
      <c r="F1" s="102" t="s">
        <v>98</v>
      </c>
      <c r="G1" s="102" t="s">
        <v>99</v>
      </c>
      <c r="H1" s="102" t="s">
        <v>100</v>
      </c>
      <c r="I1" s="103" t="s">
        <v>101</v>
      </c>
      <c r="J1" s="103" t="s">
        <v>102</v>
      </c>
      <c r="K1" s="103" t="s">
        <v>103</v>
      </c>
      <c r="L1" s="104" t="s">
        <v>104</v>
      </c>
      <c r="M1" s="104" t="s">
        <v>105</v>
      </c>
      <c r="N1" s="104" t="s">
        <v>106</v>
      </c>
      <c r="O1" s="105" t="s">
        <v>107</v>
      </c>
      <c r="P1" s="105" t="s">
        <v>108</v>
      </c>
      <c r="Q1" s="105" t="s">
        <v>109</v>
      </c>
      <c r="R1" s="102" t="s">
        <v>98</v>
      </c>
      <c r="S1" s="102" t="s">
        <v>99</v>
      </c>
      <c r="T1" s="102" t="s">
        <v>100</v>
      </c>
      <c r="U1" s="103" t="s">
        <v>101</v>
      </c>
      <c r="V1" s="103" t="s">
        <v>102</v>
      </c>
      <c r="W1" s="103" t="s">
        <v>103</v>
      </c>
      <c r="X1" s="104" t="s">
        <v>104</v>
      </c>
      <c r="Y1" s="104" t="s">
        <v>105</v>
      </c>
      <c r="Z1" s="104" t="s">
        <v>106</v>
      </c>
      <c r="AA1" s="105" t="s">
        <v>107</v>
      </c>
      <c r="AB1" s="105" t="s">
        <v>108</v>
      </c>
      <c r="AC1" s="105" t="s">
        <v>109</v>
      </c>
      <c r="AD1" s="102" t="s">
        <v>98</v>
      </c>
      <c r="AE1" s="102" t="s">
        <v>99</v>
      </c>
      <c r="AF1" s="102" t="s">
        <v>100</v>
      </c>
      <c r="AG1" s="103" t="s">
        <v>101</v>
      </c>
      <c r="AH1" s="103" t="s">
        <v>102</v>
      </c>
      <c r="AI1" s="103" t="s">
        <v>103</v>
      </c>
      <c r="AJ1" s="104" t="s">
        <v>104</v>
      </c>
      <c r="AK1" s="104" t="s">
        <v>105</v>
      </c>
      <c r="AL1" s="104" t="s">
        <v>106</v>
      </c>
      <c r="AM1" s="105" t="s">
        <v>107</v>
      </c>
      <c r="AN1" s="105" t="s">
        <v>108</v>
      </c>
      <c r="AO1" s="105" t="s">
        <v>109</v>
      </c>
      <c r="AP1" s="102" t="s">
        <v>98</v>
      </c>
      <c r="AQ1" s="102" t="s">
        <v>99</v>
      </c>
      <c r="AR1" s="102" t="s">
        <v>100</v>
      </c>
      <c r="AS1" s="103" t="s">
        <v>101</v>
      </c>
      <c r="AT1" s="103" t="s">
        <v>102</v>
      </c>
      <c r="AU1" s="103" t="s">
        <v>103</v>
      </c>
      <c r="AV1" s="104" t="s">
        <v>104</v>
      </c>
      <c r="AW1" s="104" t="s">
        <v>105</v>
      </c>
      <c r="AX1" s="104" t="s">
        <v>106</v>
      </c>
      <c r="AY1" s="105" t="s">
        <v>107</v>
      </c>
      <c r="AZ1" s="105" t="s">
        <v>108</v>
      </c>
      <c r="BA1" s="105" t="s">
        <v>109</v>
      </c>
      <c r="BB1" s="102" t="s">
        <v>98</v>
      </c>
      <c r="BC1" s="102" t="s">
        <v>99</v>
      </c>
      <c r="BD1" s="102" t="s">
        <v>100</v>
      </c>
      <c r="BE1" s="103" t="s">
        <v>101</v>
      </c>
      <c r="BF1" s="103" t="s">
        <v>102</v>
      </c>
      <c r="BG1" s="103" t="s">
        <v>103</v>
      </c>
      <c r="BH1" s="104" t="s">
        <v>104</v>
      </c>
      <c r="BI1" s="104" t="s">
        <v>105</v>
      </c>
      <c r="BJ1" s="104" t="s">
        <v>106</v>
      </c>
      <c r="BK1" s="105" t="s">
        <v>107</v>
      </c>
      <c r="BL1" s="105" t="s">
        <v>108</v>
      </c>
      <c r="BM1" s="105" t="s">
        <v>109</v>
      </c>
      <c r="BN1" s="102" t="s">
        <v>98</v>
      </c>
      <c r="BO1" s="102" t="s">
        <v>99</v>
      </c>
      <c r="BP1" s="102" t="s">
        <v>100</v>
      </c>
      <c r="BQ1" s="103" t="s">
        <v>101</v>
      </c>
      <c r="BR1" s="103" t="s">
        <v>102</v>
      </c>
      <c r="BS1" s="103" t="s">
        <v>103</v>
      </c>
      <c r="BT1" s="104" t="s">
        <v>104</v>
      </c>
      <c r="BU1" s="104" t="s">
        <v>105</v>
      </c>
      <c r="BV1" s="104" t="s">
        <v>106</v>
      </c>
      <c r="BW1" s="105" t="s">
        <v>107</v>
      </c>
      <c r="BX1" s="105" t="s">
        <v>108</v>
      </c>
      <c r="BY1" s="105" t="s">
        <v>109</v>
      </c>
      <c r="BZ1" s="102" t="s">
        <v>98</v>
      </c>
      <c r="CA1" s="102" t="s">
        <v>99</v>
      </c>
      <c r="CB1" s="102" t="s">
        <v>100</v>
      </c>
      <c r="CC1" s="103" t="s">
        <v>101</v>
      </c>
      <c r="CD1" s="103" t="s">
        <v>102</v>
      </c>
      <c r="CE1" s="103" t="s">
        <v>103</v>
      </c>
      <c r="CF1" s="104" t="s">
        <v>104</v>
      </c>
      <c r="CG1" s="104" t="s">
        <v>105</v>
      </c>
      <c r="CH1" s="104" t="s">
        <v>106</v>
      </c>
      <c r="CI1" s="105" t="s">
        <v>107</v>
      </c>
      <c r="CJ1" s="105" t="s">
        <v>108</v>
      </c>
      <c r="CK1" s="105" t="s">
        <v>109</v>
      </c>
      <c r="CL1" s="102" t="s">
        <v>98</v>
      </c>
      <c r="CM1" s="102" t="s">
        <v>99</v>
      </c>
      <c r="CN1" s="102" t="s">
        <v>100</v>
      </c>
      <c r="CO1" s="103" t="s">
        <v>101</v>
      </c>
      <c r="CP1" s="103" t="s">
        <v>102</v>
      </c>
      <c r="CQ1" s="103" t="s">
        <v>103</v>
      </c>
      <c r="CR1" s="104" t="s">
        <v>104</v>
      </c>
      <c r="CS1" s="104" t="s">
        <v>105</v>
      </c>
      <c r="CT1" s="104" t="s">
        <v>106</v>
      </c>
    </row>
    <row r="2" spans="1:98" s="36" customFormat="1" x14ac:dyDescent="0.45">
      <c r="C2" s="57"/>
      <c r="D2" s="97" t="s">
        <v>1</v>
      </c>
      <c r="F2" s="36">
        <v>1532</v>
      </c>
      <c r="G2" s="36">
        <f t="shared" ref="G2:AL2" si="0">F2+IF(G1="Gennaio",1,0)</f>
        <v>1532</v>
      </c>
      <c r="H2" s="36">
        <f t="shared" si="0"/>
        <v>1532</v>
      </c>
      <c r="I2" s="36">
        <f t="shared" si="0"/>
        <v>1532</v>
      </c>
      <c r="J2" s="36">
        <f t="shared" si="0"/>
        <v>1532</v>
      </c>
      <c r="K2" s="36">
        <f t="shared" si="0"/>
        <v>1532</v>
      </c>
      <c r="L2" s="36">
        <f t="shared" si="0"/>
        <v>1532</v>
      </c>
      <c r="M2" s="36">
        <f t="shared" si="0"/>
        <v>1532</v>
      </c>
      <c r="N2" s="36">
        <f t="shared" si="0"/>
        <v>1532</v>
      </c>
      <c r="O2" s="36">
        <f t="shared" si="0"/>
        <v>1533</v>
      </c>
      <c r="P2" s="36">
        <f t="shared" si="0"/>
        <v>1533</v>
      </c>
      <c r="Q2" s="36">
        <f t="shared" si="0"/>
        <v>1533</v>
      </c>
      <c r="R2" s="36">
        <f t="shared" si="0"/>
        <v>1533</v>
      </c>
      <c r="S2" s="36">
        <f t="shared" si="0"/>
        <v>1533</v>
      </c>
      <c r="T2" s="36">
        <f t="shared" si="0"/>
        <v>1533</v>
      </c>
      <c r="U2" s="36">
        <f t="shared" si="0"/>
        <v>1533</v>
      </c>
      <c r="V2" s="36">
        <f t="shared" si="0"/>
        <v>1533</v>
      </c>
      <c r="W2" s="36">
        <f t="shared" si="0"/>
        <v>1533</v>
      </c>
      <c r="X2" s="36">
        <f t="shared" si="0"/>
        <v>1533</v>
      </c>
      <c r="Y2" s="36">
        <f t="shared" si="0"/>
        <v>1533</v>
      </c>
      <c r="Z2" s="36">
        <f t="shared" si="0"/>
        <v>1533</v>
      </c>
      <c r="AA2" s="36">
        <f t="shared" si="0"/>
        <v>1534</v>
      </c>
      <c r="AB2" s="36">
        <f t="shared" si="0"/>
        <v>1534</v>
      </c>
      <c r="AC2" s="36">
        <f t="shared" si="0"/>
        <v>1534</v>
      </c>
      <c r="AD2" s="36">
        <f t="shared" si="0"/>
        <v>1534</v>
      </c>
      <c r="AE2" s="36">
        <f t="shared" si="0"/>
        <v>1534</v>
      </c>
      <c r="AF2" s="36">
        <f t="shared" si="0"/>
        <v>1534</v>
      </c>
      <c r="AG2" s="36">
        <f t="shared" si="0"/>
        <v>1534</v>
      </c>
      <c r="AH2" s="36">
        <f t="shared" si="0"/>
        <v>1534</v>
      </c>
      <c r="AI2" s="36">
        <f t="shared" si="0"/>
        <v>1534</v>
      </c>
      <c r="AJ2" s="36">
        <f t="shared" si="0"/>
        <v>1534</v>
      </c>
      <c r="AK2" s="36">
        <f t="shared" si="0"/>
        <v>1534</v>
      </c>
      <c r="AL2" s="36">
        <f t="shared" si="0"/>
        <v>1534</v>
      </c>
      <c r="AM2" s="36">
        <f t="shared" ref="AM2:BR2" si="1">AL2+IF(AM1="Gennaio",1,0)</f>
        <v>1535</v>
      </c>
      <c r="AN2" s="36">
        <f t="shared" si="1"/>
        <v>1535</v>
      </c>
      <c r="AO2" s="36">
        <f t="shared" si="1"/>
        <v>1535</v>
      </c>
      <c r="AP2" s="36">
        <f t="shared" si="1"/>
        <v>1535</v>
      </c>
      <c r="AQ2" s="36">
        <f t="shared" si="1"/>
        <v>1535</v>
      </c>
      <c r="AR2" s="36">
        <f t="shared" si="1"/>
        <v>1535</v>
      </c>
      <c r="AS2" s="36">
        <f t="shared" si="1"/>
        <v>1535</v>
      </c>
      <c r="AT2" s="36">
        <f t="shared" si="1"/>
        <v>1535</v>
      </c>
      <c r="AU2" s="36">
        <f t="shared" si="1"/>
        <v>1535</v>
      </c>
      <c r="AV2" s="36">
        <f t="shared" si="1"/>
        <v>1535</v>
      </c>
      <c r="AW2" s="36">
        <f t="shared" si="1"/>
        <v>1535</v>
      </c>
      <c r="AX2" s="36">
        <f t="shared" si="1"/>
        <v>1535</v>
      </c>
      <c r="AY2" s="36">
        <f t="shared" si="1"/>
        <v>1536</v>
      </c>
      <c r="AZ2" s="36">
        <f t="shared" si="1"/>
        <v>1536</v>
      </c>
      <c r="BA2" s="36">
        <f t="shared" si="1"/>
        <v>1536</v>
      </c>
      <c r="BB2" s="36">
        <f t="shared" si="1"/>
        <v>1536</v>
      </c>
      <c r="BC2" s="36">
        <f t="shared" si="1"/>
        <v>1536</v>
      </c>
      <c r="BD2" s="36">
        <f t="shared" si="1"/>
        <v>1536</v>
      </c>
      <c r="BE2" s="36">
        <f t="shared" si="1"/>
        <v>1536</v>
      </c>
      <c r="BF2" s="36">
        <f t="shared" si="1"/>
        <v>1536</v>
      </c>
      <c r="BG2" s="36">
        <f t="shared" si="1"/>
        <v>1536</v>
      </c>
      <c r="BH2" s="36">
        <f t="shared" si="1"/>
        <v>1536</v>
      </c>
      <c r="BI2" s="36">
        <f t="shared" si="1"/>
        <v>1536</v>
      </c>
      <c r="BJ2" s="36">
        <f t="shared" si="1"/>
        <v>1536</v>
      </c>
      <c r="BK2" s="36">
        <f t="shared" si="1"/>
        <v>1537</v>
      </c>
      <c r="BL2" s="36">
        <f t="shared" si="1"/>
        <v>1537</v>
      </c>
      <c r="BM2" s="36">
        <f t="shared" si="1"/>
        <v>1537</v>
      </c>
      <c r="BN2" s="36">
        <f t="shared" si="1"/>
        <v>1537</v>
      </c>
      <c r="BO2" s="36">
        <f t="shared" si="1"/>
        <v>1537</v>
      </c>
      <c r="BP2" s="36">
        <f t="shared" si="1"/>
        <v>1537</v>
      </c>
      <c r="BQ2" s="36">
        <f t="shared" si="1"/>
        <v>1537</v>
      </c>
      <c r="BR2" s="36">
        <f t="shared" si="1"/>
        <v>1537</v>
      </c>
      <c r="BS2" s="36">
        <f t="shared" ref="BS2:CT2" si="2">BR2+IF(BS1="Gennaio",1,0)</f>
        <v>1537</v>
      </c>
      <c r="BT2" s="36">
        <f t="shared" si="2"/>
        <v>1537</v>
      </c>
      <c r="BU2" s="36">
        <f t="shared" si="2"/>
        <v>1537</v>
      </c>
      <c r="BV2" s="36">
        <f t="shared" si="2"/>
        <v>1537</v>
      </c>
      <c r="BW2" s="36">
        <f t="shared" si="2"/>
        <v>1538</v>
      </c>
      <c r="BX2" s="36">
        <f t="shared" si="2"/>
        <v>1538</v>
      </c>
      <c r="BY2" s="36">
        <f t="shared" si="2"/>
        <v>1538</v>
      </c>
      <c r="BZ2" s="36">
        <f t="shared" si="2"/>
        <v>1538</v>
      </c>
      <c r="CA2" s="36">
        <f t="shared" si="2"/>
        <v>1538</v>
      </c>
      <c r="CB2" s="36">
        <f t="shared" si="2"/>
        <v>1538</v>
      </c>
      <c r="CC2" s="36">
        <f t="shared" si="2"/>
        <v>1538</v>
      </c>
      <c r="CD2" s="36">
        <f t="shared" si="2"/>
        <v>1538</v>
      </c>
      <c r="CE2" s="36">
        <f t="shared" si="2"/>
        <v>1538</v>
      </c>
      <c r="CF2" s="36">
        <f t="shared" si="2"/>
        <v>1538</v>
      </c>
      <c r="CG2" s="36">
        <f t="shared" si="2"/>
        <v>1538</v>
      </c>
      <c r="CH2" s="36">
        <f t="shared" si="2"/>
        <v>1538</v>
      </c>
      <c r="CI2" s="36">
        <f t="shared" si="2"/>
        <v>1539</v>
      </c>
      <c r="CJ2" s="36">
        <f t="shared" si="2"/>
        <v>1539</v>
      </c>
      <c r="CK2" s="36">
        <f t="shared" si="2"/>
        <v>1539</v>
      </c>
      <c r="CL2" s="36">
        <f t="shared" si="2"/>
        <v>1539</v>
      </c>
      <c r="CM2" s="36">
        <f t="shared" si="2"/>
        <v>1539</v>
      </c>
      <c r="CN2" s="36">
        <f t="shared" si="2"/>
        <v>1539</v>
      </c>
      <c r="CO2" s="36">
        <f t="shared" si="2"/>
        <v>1539</v>
      </c>
      <c r="CP2" s="36">
        <f t="shared" si="2"/>
        <v>1539</v>
      </c>
      <c r="CQ2" s="36">
        <f t="shared" si="2"/>
        <v>1539</v>
      </c>
      <c r="CR2" s="36">
        <f t="shared" si="2"/>
        <v>1539</v>
      </c>
      <c r="CS2" s="36">
        <f t="shared" si="2"/>
        <v>1539</v>
      </c>
      <c r="CT2" s="36">
        <f t="shared" si="2"/>
        <v>1539</v>
      </c>
    </row>
    <row r="3" spans="1:98" s="36" customFormat="1" x14ac:dyDescent="0.45">
      <c r="C3" s="57"/>
      <c r="D3" s="23" t="s">
        <v>94</v>
      </c>
      <c r="F3" s="36">
        <f>E3+1</f>
        <v>1</v>
      </c>
      <c r="G3" s="36">
        <f t="shared" ref="G3:W3" si="3">F3+1</f>
        <v>2</v>
      </c>
      <c r="H3" s="36">
        <f t="shared" si="3"/>
        <v>3</v>
      </c>
      <c r="I3" s="36">
        <f t="shared" si="3"/>
        <v>4</v>
      </c>
      <c r="J3" s="36">
        <f t="shared" si="3"/>
        <v>5</v>
      </c>
      <c r="K3" s="36">
        <f t="shared" si="3"/>
        <v>6</v>
      </c>
      <c r="L3" s="36">
        <f t="shared" si="3"/>
        <v>7</v>
      </c>
      <c r="M3" s="36">
        <f t="shared" si="3"/>
        <v>8</v>
      </c>
      <c r="N3" s="36">
        <f t="shared" si="3"/>
        <v>9</v>
      </c>
      <c r="O3" s="36">
        <f t="shared" si="3"/>
        <v>10</v>
      </c>
      <c r="P3" s="36">
        <f t="shared" si="3"/>
        <v>11</v>
      </c>
      <c r="Q3" s="36">
        <f t="shared" si="3"/>
        <v>12</v>
      </c>
      <c r="R3" s="36">
        <f t="shared" si="3"/>
        <v>13</v>
      </c>
      <c r="S3" s="36">
        <f t="shared" si="3"/>
        <v>14</v>
      </c>
      <c r="T3" s="36">
        <f t="shared" si="3"/>
        <v>15</v>
      </c>
      <c r="U3" s="36">
        <f t="shared" si="3"/>
        <v>16</v>
      </c>
      <c r="V3" s="36">
        <f t="shared" si="3"/>
        <v>17</v>
      </c>
      <c r="W3" s="36">
        <f t="shared" si="3"/>
        <v>18</v>
      </c>
      <c r="X3" s="36">
        <f t="shared" ref="X3" si="4">W3+1</f>
        <v>19</v>
      </c>
      <c r="Y3" s="36">
        <f t="shared" ref="Y3" si="5">X3+1</f>
        <v>20</v>
      </c>
      <c r="Z3" s="36">
        <f t="shared" ref="Z3" si="6">Y3+1</f>
        <v>21</v>
      </c>
      <c r="AA3" s="36">
        <f t="shared" ref="AA3" si="7">Z3+1</f>
        <v>22</v>
      </c>
      <c r="AB3" s="36">
        <f t="shared" ref="AB3" si="8">AA3+1</f>
        <v>23</v>
      </c>
      <c r="AC3" s="36">
        <f t="shared" ref="AC3" si="9">AB3+1</f>
        <v>24</v>
      </c>
      <c r="AD3" s="36">
        <f t="shared" ref="AD3" si="10">AC3+1</f>
        <v>25</v>
      </c>
      <c r="AE3" s="36">
        <f t="shared" ref="AE3" si="11">AD3+1</f>
        <v>26</v>
      </c>
      <c r="AF3" s="36">
        <f t="shared" ref="AF3" si="12">AE3+1</f>
        <v>27</v>
      </c>
      <c r="AG3" s="36">
        <f t="shared" ref="AG3" si="13">AF3+1</f>
        <v>28</v>
      </c>
      <c r="AH3" s="36">
        <f t="shared" ref="AH3" si="14">AG3+1</f>
        <v>29</v>
      </c>
      <c r="AI3" s="36">
        <f t="shared" ref="AI3" si="15">AH3+1</f>
        <v>30</v>
      </c>
      <c r="AJ3" s="36">
        <f t="shared" ref="AJ3" si="16">AI3+1</f>
        <v>31</v>
      </c>
      <c r="AK3" s="36">
        <f t="shared" ref="AK3" si="17">AJ3+1</f>
        <v>32</v>
      </c>
      <c r="AL3" s="36">
        <f t="shared" ref="AL3" si="18">AK3+1</f>
        <v>33</v>
      </c>
      <c r="AM3" s="36">
        <f t="shared" ref="AM3" si="19">AL3+1</f>
        <v>34</v>
      </c>
      <c r="AN3" s="36">
        <f t="shared" ref="AN3" si="20">AM3+1</f>
        <v>35</v>
      </c>
      <c r="AO3" s="36">
        <f t="shared" ref="AO3" si="21">AN3+1</f>
        <v>36</v>
      </c>
      <c r="AP3" s="36">
        <f t="shared" ref="AP3" si="22">AO3+1</f>
        <v>37</v>
      </c>
      <c r="AQ3" s="36">
        <f t="shared" ref="AQ3" si="23">AP3+1</f>
        <v>38</v>
      </c>
      <c r="AR3" s="36">
        <f t="shared" ref="AR3" si="24">AQ3+1</f>
        <v>39</v>
      </c>
      <c r="AS3" s="36">
        <f t="shared" ref="AS3" si="25">AR3+1</f>
        <v>40</v>
      </c>
      <c r="AT3" s="36">
        <f t="shared" ref="AT3" si="26">AS3+1</f>
        <v>41</v>
      </c>
      <c r="AU3" s="36">
        <f t="shared" ref="AU3" si="27">AT3+1</f>
        <v>42</v>
      </c>
      <c r="AV3" s="36">
        <f t="shared" ref="AV3" si="28">AU3+1</f>
        <v>43</v>
      </c>
      <c r="AW3" s="36">
        <f t="shared" ref="AW3" si="29">AV3+1</f>
        <v>44</v>
      </c>
      <c r="AX3" s="36">
        <f t="shared" ref="AX3" si="30">AW3+1</f>
        <v>45</v>
      </c>
      <c r="AY3" s="36">
        <f t="shared" ref="AY3" si="31">AX3+1</f>
        <v>46</v>
      </c>
      <c r="AZ3" s="36">
        <f t="shared" ref="AZ3" si="32">AY3+1</f>
        <v>47</v>
      </c>
      <c r="BA3" s="36">
        <f t="shared" ref="BA3" si="33">AZ3+1</f>
        <v>48</v>
      </c>
      <c r="BB3" s="36">
        <f t="shared" ref="BB3" si="34">BA3+1</f>
        <v>49</v>
      </c>
      <c r="BC3" s="36">
        <f t="shared" ref="BC3" si="35">BB3+1</f>
        <v>50</v>
      </c>
      <c r="BD3" s="36">
        <f t="shared" ref="BD3" si="36">BC3+1</f>
        <v>51</v>
      </c>
      <c r="BE3" s="36">
        <f t="shared" ref="BE3" si="37">BD3+1</f>
        <v>52</v>
      </c>
      <c r="BF3" s="36">
        <f t="shared" ref="BF3" si="38">BE3+1</f>
        <v>53</v>
      </c>
      <c r="BG3" s="36">
        <f t="shared" ref="BG3" si="39">BF3+1</f>
        <v>54</v>
      </c>
      <c r="BH3" s="36">
        <f t="shared" ref="BH3" si="40">BG3+1</f>
        <v>55</v>
      </c>
      <c r="BI3" s="36">
        <f t="shared" ref="BI3" si="41">BH3+1</f>
        <v>56</v>
      </c>
      <c r="BJ3" s="36">
        <f t="shared" ref="BJ3" si="42">BI3+1</f>
        <v>57</v>
      </c>
      <c r="BK3" s="36">
        <f t="shared" ref="BK3" si="43">BJ3+1</f>
        <v>58</v>
      </c>
      <c r="BL3" s="36">
        <f t="shared" ref="BL3" si="44">BK3+1</f>
        <v>59</v>
      </c>
      <c r="BM3" s="36">
        <f t="shared" ref="BM3" si="45">BL3+1</f>
        <v>60</v>
      </c>
      <c r="BN3" s="36">
        <f t="shared" ref="BN3" si="46">BM3+1</f>
        <v>61</v>
      </c>
      <c r="BO3" s="36">
        <f t="shared" ref="BO3" si="47">BN3+1</f>
        <v>62</v>
      </c>
      <c r="BP3" s="36">
        <f t="shared" ref="BP3" si="48">BO3+1</f>
        <v>63</v>
      </c>
      <c r="BQ3" s="36">
        <f t="shared" ref="BQ3" si="49">BP3+1</f>
        <v>64</v>
      </c>
      <c r="BR3" s="36">
        <f t="shared" ref="BR3" si="50">BQ3+1</f>
        <v>65</v>
      </c>
      <c r="BS3" s="36">
        <f t="shared" ref="BS3" si="51">BR3+1</f>
        <v>66</v>
      </c>
      <c r="BT3" s="36">
        <f t="shared" ref="BT3" si="52">BS3+1</f>
        <v>67</v>
      </c>
      <c r="BU3" s="36">
        <f t="shared" ref="BU3" si="53">BT3+1</f>
        <v>68</v>
      </c>
      <c r="BV3" s="36">
        <f t="shared" ref="BV3" si="54">BU3+1</f>
        <v>69</v>
      </c>
      <c r="BW3" s="36">
        <f t="shared" ref="BW3" si="55">BV3+1</f>
        <v>70</v>
      </c>
      <c r="BX3" s="36">
        <f t="shared" ref="BX3" si="56">BW3+1</f>
        <v>71</v>
      </c>
      <c r="BY3" s="36">
        <f t="shared" ref="BY3" si="57">BX3+1</f>
        <v>72</v>
      </c>
      <c r="BZ3" s="36">
        <f t="shared" ref="BZ3" si="58">BY3+1</f>
        <v>73</v>
      </c>
      <c r="CA3" s="36">
        <f t="shared" ref="CA3" si="59">BZ3+1</f>
        <v>74</v>
      </c>
      <c r="CB3" s="36">
        <f t="shared" ref="CB3" si="60">CA3+1</f>
        <v>75</v>
      </c>
      <c r="CC3" s="36">
        <f t="shared" ref="CC3" si="61">CB3+1</f>
        <v>76</v>
      </c>
      <c r="CD3" s="36">
        <f t="shared" ref="CD3" si="62">CC3+1</f>
        <v>77</v>
      </c>
      <c r="CE3" s="36">
        <f t="shared" ref="CE3" si="63">CD3+1</f>
        <v>78</v>
      </c>
      <c r="CF3" s="36">
        <f t="shared" ref="CF3" si="64">CE3+1</f>
        <v>79</v>
      </c>
      <c r="CG3" s="36">
        <f t="shared" ref="CG3" si="65">CF3+1</f>
        <v>80</v>
      </c>
      <c r="CH3" s="36">
        <f t="shared" ref="CH3" si="66">CG3+1</f>
        <v>81</v>
      </c>
      <c r="CI3" s="36">
        <f t="shared" ref="CI3" si="67">CH3+1</f>
        <v>82</v>
      </c>
      <c r="CJ3" s="36">
        <f t="shared" ref="CJ3" si="68">CI3+1</f>
        <v>83</v>
      </c>
      <c r="CK3" s="36">
        <f t="shared" ref="CK3" si="69">CJ3+1</f>
        <v>84</v>
      </c>
      <c r="CL3" s="36">
        <f t="shared" ref="CL3" si="70">CK3+1</f>
        <v>85</v>
      </c>
      <c r="CM3" s="36">
        <f t="shared" ref="CM3" si="71">CL3+1</f>
        <v>86</v>
      </c>
      <c r="CN3" s="36">
        <f t="shared" ref="CN3" si="72">CM3+1</f>
        <v>87</v>
      </c>
      <c r="CO3" s="36">
        <f t="shared" ref="CO3" si="73">CN3+1</f>
        <v>88</v>
      </c>
      <c r="CP3" s="36">
        <f t="shared" ref="CP3" si="74">CO3+1</f>
        <v>89</v>
      </c>
      <c r="CQ3" s="36">
        <f t="shared" ref="CQ3" si="75">CP3+1</f>
        <v>90</v>
      </c>
      <c r="CR3" s="36">
        <f t="shared" ref="CR3" si="76">CQ3+1</f>
        <v>91</v>
      </c>
      <c r="CS3" s="36">
        <f t="shared" ref="CS3:CT3" si="77">CR3+1</f>
        <v>92</v>
      </c>
      <c r="CT3" s="36">
        <f t="shared" si="77"/>
        <v>93</v>
      </c>
    </row>
    <row r="4" spans="1:98" s="36" customFormat="1" x14ac:dyDescent="0.45">
      <c r="C4" s="57"/>
      <c r="D4" s="23"/>
      <c r="M4" s="37"/>
      <c r="AL4" s="39"/>
      <c r="AO4" s="36">
        <f>SUMIF(AO19:AO54, "&gt;=0")</f>
        <v>4218</v>
      </c>
    </row>
    <row r="5" spans="1:98" s="36" customFormat="1" x14ac:dyDescent="0.45">
      <c r="C5" s="242">
        <f>MAX(F11:CE11)</f>
        <v>1646.46</v>
      </c>
      <c r="D5" s="97" t="s">
        <v>248</v>
      </c>
      <c r="E5" s="36">
        <f>ABS(E25)</f>
        <v>400</v>
      </c>
      <c r="L5" s="106">
        <f>ABS(L36+L79)-L83</f>
        <v>3650</v>
      </c>
      <c r="X5" s="36">
        <f>ABS(X83)</f>
        <v>5300</v>
      </c>
      <c r="AA5" s="36">
        <f>ABS(AA48+AA54)</f>
        <v>8000</v>
      </c>
      <c r="AJ5" s="39">
        <f>ABS(AG76)</f>
        <v>10000</v>
      </c>
    </row>
    <row r="6" spans="1:98" s="36" customFormat="1" x14ac:dyDescent="0.45">
      <c r="C6" s="242">
        <f>MIN(F11:CE11)</f>
        <v>-9513.5400000000009</v>
      </c>
      <c r="D6" s="97" t="s">
        <v>255</v>
      </c>
      <c r="F6" s="106">
        <f>SUM($E5:F5)+F10</f>
        <v>5083.3999999999996</v>
      </c>
      <c r="G6" s="106">
        <f>SUM($E5:G5)+G10</f>
        <v>5166.7999999999993</v>
      </c>
      <c r="H6" s="106">
        <f>SUM($E5:H5)+H10</f>
        <v>5250.1999999999989</v>
      </c>
      <c r="I6" s="106">
        <f>SUM($E5:I5)+I10</f>
        <v>5475.4999999999991</v>
      </c>
      <c r="J6" s="106">
        <f>SUM($E5:J5)+J10</f>
        <v>5700.7999999999993</v>
      </c>
      <c r="K6" s="106">
        <f>SUM($E5:K5)+K10</f>
        <v>6111.0999999999995</v>
      </c>
      <c r="L6" s="106">
        <f>SUM($E5:L5)+L10</f>
        <v>6566.5999999999995</v>
      </c>
      <c r="M6" s="106">
        <f>SUM($E5:M5)+M10</f>
        <v>7022.0999999999995</v>
      </c>
      <c r="N6" s="106">
        <f>SUM($E5:N5)+N10</f>
        <v>7477.5999999999995</v>
      </c>
      <c r="O6" s="106">
        <f>SUM($E5:O5)+O10</f>
        <v>8253.2999999999993</v>
      </c>
      <c r="P6" s="106">
        <f>SUM($E5:P5)+P10</f>
        <v>9029</v>
      </c>
      <c r="Q6" s="106">
        <f>SUM($E5:Q5)+Q10</f>
        <v>9804.6999999999989</v>
      </c>
      <c r="R6" s="106">
        <f>SUM($E5:R5)+R10</f>
        <v>10380.399999999998</v>
      </c>
      <c r="S6" s="106">
        <f>SUM($E5:S5)+S10</f>
        <v>11156.099999999999</v>
      </c>
      <c r="T6" s="106">
        <f>SUM($E5:T5)+T10</f>
        <v>11931.8</v>
      </c>
      <c r="U6" s="106">
        <f>SUM($E5:U5)+U10</f>
        <v>12901.499999999998</v>
      </c>
      <c r="V6" s="106">
        <f>SUM($E5:V5)+V10</f>
        <v>13871.199999999999</v>
      </c>
      <c r="W6" s="106">
        <f>SUM($E5:W5)+W10</f>
        <v>14840.9</v>
      </c>
      <c r="X6" s="106">
        <f>SUM($E5:X5)+X10</f>
        <v>15810.599999999999</v>
      </c>
      <c r="Y6" s="106">
        <f>SUM($E5:Y5)+Y10</f>
        <v>16780.3</v>
      </c>
      <c r="Z6" s="106">
        <f>SUM($E5:Z5)+Z10</f>
        <v>17750</v>
      </c>
      <c r="AA6" s="106">
        <f>SUM($E5:AA5)+AA10</f>
        <v>19286.46</v>
      </c>
      <c r="AB6" s="106">
        <f>SUM($E5:AB5)+AB10</f>
        <v>20822.919999999998</v>
      </c>
      <c r="AC6" s="106">
        <f>SUM($E5:AC5)+AC10</f>
        <v>22359.38</v>
      </c>
      <c r="AD6" s="106">
        <f>SUM($E5:AD5)+AD10</f>
        <v>23710.84</v>
      </c>
      <c r="AE6" s="106">
        <f>SUM($E5:AE5)+AE10</f>
        <v>25147.3</v>
      </c>
      <c r="AF6" s="106">
        <f>SUM($E5:AF5)+AF10</f>
        <v>26583.760000000002</v>
      </c>
      <c r="AG6" s="106">
        <f>SUM($E5:AG5)+AG10</f>
        <v>17070.22</v>
      </c>
      <c r="AH6" s="106">
        <f>SUM($E5:AH5)+AH10</f>
        <v>18156.68</v>
      </c>
      <c r="AI6" s="106">
        <f>SUM($E5:AI5)+AI10</f>
        <v>19313.14</v>
      </c>
      <c r="AJ6" s="106">
        <f>SUM($E5:AJ5)+AJ10</f>
        <v>30129.599999999999</v>
      </c>
      <c r="AK6" s="106">
        <f>SUM($E5:AK5)+AK10</f>
        <v>30746.059999999998</v>
      </c>
      <c r="AL6" s="106">
        <f>SUM($E5:AL5)+AL10</f>
        <v>31442.52</v>
      </c>
      <c r="AM6" s="106">
        <f>SUM($E5:AM5)+AM10</f>
        <v>31288.98</v>
      </c>
      <c r="AN6" s="106">
        <f>SUM($E5:AN5)+AN10</f>
        <v>31135.439999999999</v>
      </c>
      <c r="AO6" s="106">
        <f>SUM($E5:AO5)+AO10</f>
        <v>30981.9</v>
      </c>
      <c r="AP6" s="106">
        <f>SUM($E5:AP5)+AP10</f>
        <v>30828.36</v>
      </c>
      <c r="AQ6" s="106">
        <f>SUM($E5:AQ5)+AQ10</f>
        <v>30674.82</v>
      </c>
      <c r="AR6" s="106">
        <f>SUM($E5:AR5)+AR10</f>
        <v>32321.279999999999</v>
      </c>
      <c r="AS6" s="106">
        <f>SUM($E5:AS5)+AS10</f>
        <v>33299.5</v>
      </c>
      <c r="AT6" s="106">
        <f>SUM($E5:AT5)+AT10</f>
        <v>34277.72</v>
      </c>
      <c r="AU6" s="106">
        <f>SUM($E5:AU5)+AU10</f>
        <v>35255.94</v>
      </c>
      <c r="AV6" s="106">
        <f>SUM($E5:AV5)+AV10</f>
        <v>36234.160000000003</v>
      </c>
      <c r="AW6" s="106">
        <f>SUM($E5:AW5)+AW10</f>
        <v>37212.379999999997</v>
      </c>
      <c r="AX6" s="106">
        <f>SUM($E5:AX5)+AX10</f>
        <v>38190.6</v>
      </c>
      <c r="AY6" s="106">
        <f>SUM($E5:AY5)+AY10</f>
        <v>39168.82</v>
      </c>
      <c r="AZ6" s="106">
        <f>SUM($E5:AZ5)+AZ10</f>
        <v>40147.039999999994</v>
      </c>
      <c r="BA6" s="106">
        <f>SUM($E5:BA5)+BA10</f>
        <v>41125.259999999995</v>
      </c>
      <c r="BB6" s="106">
        <f>SUM($E5:BB5)+BB10</f>
        <v>42103.479999999996</v>
      </c>
      <c r="BC6" s="106">
        <f>SUM($E5:BC5)+BC10</f>
        <v>43081.7</v>
      </c>
      <c r="BD6" s="106">
        <f>SUM($E5:BD5)+BD10</f>
        <v>44059.92</v>
      </c>
      <c r="BE6" s="106">
        <f>SUM($E5:BE5)+BE10</f>
        <v>45038.14</v>
      </c>
      <c r="BF6" s="106">
        <f>SUM($E5:BF5)+BF10</f>
        <v>46016.36</v>
      </c>
      <c r="BG6" s="106">
        <f>SUM($E5:BG5)+BG10</f>
        <v>46994.58</v>
      </c>
      <c r="BH6" s="106">
        <f>SUM($E5:BH5)+BH10</f>
        <v>47972.800000000003</v>
      </c>
      <c r="BI6" s="106">
        <f>SUM($E5:BI5)+BI10</f>
        <v>48951.020000000004</v>
      </c>
      <c r="BJ6" s="106">
        <f>SUM($E5:BJ5)+BJ10</f>
        <v>49929.240000000005</v>
      </c>
      <c r="BK6" s="106">
        <f>SUM($E5:BK5)+BK10</f>
        <v>50907.460000000006</v>
      </c>
      <c r="BL6" s="106">
        <f>SUM($E5:BL5)+BL10</f>
        <v>51885.680000000008</v>
      </c>
      <c r="BM6" s="106">
        <f>SUM($E5:BM5)+BM10</f>
        <v>52863.900000000009</v>
      </c>
      <c r="BN6" s="106">
        <f>SUM($E5:BN5)+BN10</f>
        <v>53842.12000000001</v>
      </c>
      <c r="BO6" s="106">
        <f>SUM($E5:BO5)+BO10</f>
        <v>54820.340000000011</v>
      </c>
      <c r="BP6" s="106">
        <f>SUM($E5:BP5)+BP10</f>
        <v>55798.560000000012</v>
      </c>
      <c r="BQ6" s="106">
        <f>SUM($E5:BQ5)+BQ10</f>
        <v>56776.780000000013</v>
      </c>
      <c r="BR6" s="106">
        <f>SUM($E5:BR5)+BR10</f>
        <v>57755.000000000015</v>
      </c>
      <c r="BS6" s="106">
        <f>SUM($E5:BS5)+BS10</f>
        <v>58733.220000000016</v>
      </c>
      <c r="BT6" s="106">
        <f>SUM($E5:BT5)+BT10</f>
        <v>59711.440000000017</v>
      </c>
      <c r="BU6" s="106">
        <f>SUM($E5:BU5)+BU10</f>
        <v>60689.660000000011</v>
      </c>
      <c r="BV6" s="106">
        <f>SUM($E5:BV5)+BV10</f>
        <v>61667.880000000012</v>
      </c>
      <c r="BW6" s="106">
        <f>SUM($E5:BW5)+BW10</f>
        <v>62646.100000000013</v>
      </c>
      <c r="BX6" s="106">
        <f>SUM($E5:BX5)+BX10</f>
        <v>63624.320000000014</v>
      </c>
      <c r="BY6" s="106">
        <f>SUM($E5:BY5)+BY10</f>
        <v>64602.540000000015</v>
      </c>
      <c r="BZ6" s="106">
        <f>SUM($E5:BZ5)+BZ10</f>
        <v>55382.760000000017</v>
      </c>
      <c r="CA6" s="106">
        <f>SUM($E5:CA5)+CA10</f>
        <v>55964.980000000018</v>
      </c>
      <c r="CB6" s="106">
        <f>SUM($E5:CB5)+CB10</f>
        <v>56349.200000000019</v>
      </c>
      <c r="CC6" s="106">
        <f>SUM($E5:CC5)+CC10</f>
        <v>56535.42000000002</v>
      </c>
      <c r="CD6" s="106">
        <f>SUM($E5:CD5)+CD10</f>
        <v>56523.640000000021</v>
      </c>
      <c r="CE6" s="106">
        <f>SUM($E5:CE5)+CE10</f>
        <v>56313.860000000022</v>
      </c>
    </row>
    <row r="7" spans="1:98" s="36" customFormat="1" x14ac:dyDescent="0.45">
      <c r="C7" s="57"/>
      <c r="D7" s="97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</row>
    <row r="8" spans="1:98" s="36" customFormat="1" x14ac:dyDescent="0.45">
      <c r="C8" s="57"/>
      <c r="D8" s="97" t="s">
        <v>363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33">
        <v>5</v>
      </c>
      <c r="AH8" s="133">
        <v>5</v>
      </c>
      <c r="AI8" s="133">
        <v>5</v>
      </c>
      <c r="AJ8" s="133">
        <v>5</v>
      </c>
      <c r="AK8" s="133">
        <v>5</v>
      </c>
      <c r="AL8" s="133">
        <v>5</v>
      </c>
      <c r="AM8" s="133">
        <v>5</v>
      </c>
      <c r="AN8" s="133">
        <v>5</v>
      </c>
      <c r="AO8" s="133">
        <v>5</v>
      </c>
      <c r="AP8" s="133">
        <v>5</v>
      </c>
      <c r="AQ8" s="133">
        <v>5</v>
      </c>
      <c r="AR8" s="133">
        <v>5</v>
      </c>
      <c r="AS8" s="133">
        <v>5</v>
      </c>
      <c r="AT8" s="133">
        <v>5</v>
      </c>
      <c r="AU8" s="133">
        <v>5</v>
      </c>
      <c r="AV8" s="133">
        <v>5</v>
      </c>
      <c r="AW8" s="133">
        <v>5</v>
      </c>
      <c r="AX8" s="133">
        <v>5</v>
      </c>
      <c r="AY8" s="133">
        <v>5</v>
      </c>
      <c r="AZ8" s="133">
        <v>5</v>
      </c>
      <c r="BA8" s="133">
        <v>5</v>
      </c>
      <c r="BB8" s="133">
        <v>5</v>
      </c>
      <c r="BC8" s="133">
        <v>5</v>
      </c>
      <c r="BD8" s="133">
        <v>5</v>
      </c>
      <c r="BE8" s="133">
        <v>5</v>
      </c>
      <c r="BF8" s="133">
        <v>5</v>
      </c>
      <c r="BG8" s="133">
        <v>5</v>
      </c>
      <c r="BH8" s="133">
        <v>5</v>
      </c>
      <c r="BI8" s="133">
        <v>5</v>
      </c>
      <c r="BJ8" s="133">
        <v>5</v>
      </c>
      <c r="BK8" s="133">
        <v>5</v>
      </c>
      <c r="BL8" s="133">
        <v>5</v>
      </c>
      <c r="BM8" s="133">
        <v>5</v>
      </c>
      <c r="BN8" s="133">
        <v>5</v>
      </c>
      <c r="BO8" s="133">
        <v>5</v>
      </c>
      <c r="BP8" s="133">
        <v>5</v>
      </c>
      <c r="BQ8" s="133">
        <v>5</v>
      </c>
      <c r="BR8" s="133">
        <v>5</v>
      </c>
      <c r="BS8" s="133">
        <v>5</v>
      </c>
      <c r="BT8" s="133">
        <v>5</v>
      </c>
      <c r="BU8" s="133">
        <v>5</v>
      </c>
      <c r="BV8" s="133">
        <v>5</v>
      </c>
      <c r="BW8" s="133">
        <v>5</v>
      </c>
      <c r="BX8" s="133">
        <v>5</v>
      </c>
      <c r="BY8" s="133">
        <v>5</v>
      </c>
      <c r="BZ8" s="133">
        <v>6</v>
      </c>
      <c r="CA8" s="133">
        <v>7</v>
      </c>
      <c r="CB8" s="133">
        <v>8</v>
      </c>
      <c r="CC8" s="133">
        <v>9</v>
      </c>
      <c r="CD8" s="133">
        <v>10</v>
      </c>
      <c r="CE8" s="133">
        <v>11</v>
      </c>
    </row>
    <row r="9" spans="1:98" s="48" customFormat="1" x14ac:dyDescent="0.45">
      <c r="C9" s="65"/>
      <c r="D9" s="49"/>
    </row>
    <row r="10" spans="1:98" s="37" customFormat="1" x14ac:dyDescent="0.45">
      <c r="A10" s="36"/>
      <c r="B10" s="36"/>
      <c r="C10" s="57"/>
      <c r="D10" s="32" t="s">
        <v>121</v>
      </c>
      <c r="E10" s="37">
        <f>SUM(E14:E1048576)</f>
        <v>4600</v>
      </c>
      <c r="F10" s="37">
        <f t="shared" ref="F10:AK10" si="78">E10+SUM(F14:F1048576)</f>
        <v>4683.3999999999996</v>
      </c>
      <c r="G10" s="37">
        <f t="shared" si="78"/>
        <v>4766.7999999999993</v>
      </c>
      <c r="H10" s="37">
        <f t="shared" si="78"/>
        <v>4850.1999999999989</v>
      </c>
      <c r="I10" s="37">
        <f t="shared" si="78"/>
        <v>5075.4999999999991</v>
      </c>
      <c r="J10" s="37">
        <f t="shared" si="78"/>
        <v>5300.7999999999993</v>
      </c>
      <c r="K10" s="37">
        <f t="shared" si="78"/>
        <v>5711.0999999999995</v>
      </c>
      <c r="L10" s="37">
        <f t="shared" si="78"/>
        <v>2516.5999999999995</v>
      </c>
      <c r="M10" s="37">
        <f t="shared" si="78"/>
        <v>2972.0999999999995</v>
      </c>
      <c r="N10" s="37">
        <f t="shared" si="78"/>
        <v>3427.5999999999995</v>
      </c>
      <c r="O10" s="37">
        <f t="shared" si="78"/>
        <v>4203.2999999999993</v>
      </c>
      <c r="P10" s="37">
        <f t="shared" si="78"/>
        <v>4978.9999999999991</v>
      </c>
      <c r="Q10" s="37">
        <f t="shared" si="78"/>
        <v>5754.6999999999989</v>
      </c>
      <c r="R10" s="37">
        <f t="shared" si="78"/>
        <v>6330.3999999999987</v>
      </c>
      <c r="S10" s="37">
        <f t="shared" si="78"/>
        <v>7106.0999999999985</v>
      </c>
      <c r="T10" s="37">
        <f t="shared" si="78"/>
        <v>7881.7999999999984</v>
      </c>
      <c r="U10" s="37">
        <f t="shared" si="78"/>
        <v>8851.4999999999982</v>
      </c>
      <c r="V10" s="37">
        <f t="shared" si="78"/>
        <v>9821.1999999999989</v>
      </c>
      <c r="W10" s="37">
        <f t="shared" si="78"/>
        <v>10790.9</v>
      </c>
      <c r="X10" s="37">
        <f t="shared" si="78"/>
        <v>6460.5999999999995</v>
      </c>
      <c r="Y10" s="37">
        <f t="shared" si="78"/>
        <v>7430.2999999999993</v>
      </c>
      <c r="Z10" s="37">
        <f t="shared" si="78"/>
        <v>8400</v>
      </c>
      <c r="AA10" s="37">
        <f t="shared" si="78"/>
        <v>1936.46</v>
      </c>
      <c r="AB10" s="37">
        <f t="shared" si="78"/>
        <v>3472.92</v>
      </c>
      <c r="AC10" s="37">
        <f t="shared" si="78"/>
        <v>5009.38</v>
      </c>
      <c r="AD10" s="37">
        <f t="shared" si="78"/>
        <v>6360.84</v>
      </c>
      <c r="AE10" s="37">
        <f t="shared" si="78"/>
        <v>7797.3</v>
      </c>
      <c r="AF10" s="37">
        <f t="shared" si="78"/>
        <v>9233.76</v>
      </c>
      <c r="AG10" s="37">
        <f t="shared" si="78"/>
        <v>-279.78000000000065</v>
      </c>
      <c r="AH10" s="37">
        <f t="shared" si="78"/>
        <v>806.67999999999938</v>
      </c>
      <c r="AI10" s="37">
        <f t="shared" si="78"/>
        <v>1963.1399999999994</v>
      </c>
      <c r="AJ10" s="37">
        <f t="shared" si="78"/>
        <v>2779.5999999999995</v>
      </c>
      <c r="AK10" s="37">
        <f t="shared" si="78"/>
        <v>3396.0599999999995</v>
      </c>
      <c r="AL10" s="37">
        <f t="shared" ref="AL10:BQ10" si="79">AK10+SUM(AL14:AL1048576)</f>
        <v>4092.5199999999995</v>
      </c>
      <c r="AM10" s="37">
        <f t="shared" si="79"/>
        <v>3938.9799999999996</v>
      </c>
      <c r="AN10" s="37">
        <f t="shared" si="79"/>
        <v>3785.4399999999996</v>
      </c>
      <c r="AO10" s="37">
        <f t="shared" si="79"/>
        <v>3631.8999999999996</v>
      </c>
      <c r="AP10" s="37">
        <f t="shared" si="79"/>
        <v>3478.3599999999997</v>
      </c>
      <c r="AQ10" s="37">
        <f t="shared" si="79"/>
        <v>3324.8199999999997</v>
      </c>
      <c r="AR10" s="37">
        <f t="shared" si="79"/>
        <v>4971.28</v>
      </c>
      <c r="AS10" s="37">
        <f t="shared" si="79"/>
        <v>5949.5</v>
      </c>
      <c r="AT10" s="37">
        <f t="shared" si="79"/>
        <v>6927.72</v>
      </c>
      <c r="AU10" s="37">
        <f t="shared" si="79"/>
        <v>7905.9400000000005</v>
      </c>
      <c r="AV10" s="37">
        <f t="shared" si="79"/>
        <v>8884.16</v>
      </c>
      <c r="AW10" s="37">
        <f t="shared" si="79"/>
        <v>9862.3799999999992</v>
      </c>
      <c r="AX10" s="37">
        <f t="shared" si="79"/>
        <v>10840.599999999999</v>
      </c>
      <c r="AY10" s="37">
        <f t="shared" si="79"/>
        <v>11818.819999999998</v>
      </c>
      <c r="AZ10" s="37">
        <f t="shared" si="79"/>
        <v>12797.039999999997</v>
      </c>
      <c r="BA10" s="37">
        <f t="shared" si="79"/>
        <v>13775.259999999997</v>
      </c>
      <c r="BB10" s="37">
        <f t="shared" si="79"/>
        <v>14753.479999999996</v>
      </c>
      <c r="BC10" s="37">
        <f t="shared" si="79"/>
        <v>15731.699999999995</v>
      </c>
      <c r="BD10" s="37">
        <f t="shared" si="79"/>
        <v>16709.919999999995</v>
      </c>
      <c r="BE10" s="37">
        <f t="shared" si="79"/>
        <v>17688.139999999996</v>
      </c>
      <c r="BF10" s="37">
        <f t="shared" si="79"/>
        <v>18666.359999999997</v>
      </c>
      <c r="BG10" s="37">
        <f t="shared" si="79"/>
        <v>19644.579999999998</v>
      </c>
      <c r="BH10" s="37">
        <f t="shared" si="79"/>
        <v>20622.8</v>
      </c>
      <c r="BI10" s="37">
        <f t="shared" si="79"/>
        <v>21601.02</v>
      </c>
      <c r="BJ10" s="37">
        <f t="shared" si="79"/>
        <v>22579.24</v>
      </c>
      <c r="BK10" s="37">
        <f t="shared" si="79"/>
        <v>23557.460000000003</v>
      </c>
      <c r="BL10" s="37">
        <f t="shared" si="79"/>
        <v>24535.680000000004</v>
      </c>
      <c r="BM10" s="37">
        <f t="shared" si="79"/>
        <v>25513.900000000005</v>
      </c>
      <c r="BN10" s="37">
        <f t="shared" si="79"/>
        <v>26492.120000000006</v>
      </c>
      <c r="BO10" s="37">
        <f t="shared" si="79"/>
        <v>27470.340000000007</v>
      </c>
      <c r="BP10" s="37">
        <f t="shared" si="79"/>
        <v>28448.560000000009</v>
      </c>
      <c r="BQ10" s="37">
        <f t="shared" si="79"/>
        <v>29426.78000000001</v>
      </c>
      <c r="BR10" s="37">
        <f t="shared" ref="BR10:BY10" si="80">BQ10+SUM(BR14:BR1048576)</f>
        <v>30405.000000000011</v>
      </c>
      <c r="BS10" s="37">
        <f t="shared" si="80"/>
        <v>31383.220000000012</v>
      </c>
      <c r="BT10" s="37">
        <f t="shared" si="80"/>
        <v>32361.440000000013</v>
      </c>
      <c r="BU10" s="37">
        <f t="shared" si="80"/>
        <v>33339.660000000011</v>
      </c>
      <c r="BV10" s="37">
        <f t="shared" si="80"/>
        <v>34317.880000000012</v>
      </c>
      <c r="BW10" s="37">
        <f t="shared" si="80"/>
        <v>35296.100000000013</v>
      </c>
      <c r="BX10" s="37">
        <f t="shared" si="80"/>
        <v>36274.320000000014</v>
      </c>
      <c r="BY10" s="37">
        <f t="shared" si="80"/>
        <v>37252.540000000015</v>
      </c>
      <c r="BZ10" s="37">
        <f t="shared" ref="BZ10" si="81">BY10+SUM(BZ14:BZ1048576)</f>
        <v>28032.760000000017</v>
      </c>
      <c r="CA10" s="37">
        <f>BZ10+SUM(CA14:CA1048576)</f>
        <v>28614.980000000018</v>
      </c>
      <c r="CB10" s="37">
        <f>CA10+SUM(CB14:CB1048576)</f>
        <v>28999.200000000019</v>
      </c>
      <c r="CC10" s="37">
        <f t="shared" ref="CC10" si="82">CB10+SUM(CC14:CC1048576)</f>
        <v>29185.42000000002</v>
      </c>
      <c r="CD10" s="37">
        <f t="shared" ref="CD10" si="83">CC10+SUM(CD14:CD1048576)</f>
        <v>29173.640000000021</v>
      </c>
      <c r="CE10" s="37">
        <f t="shared" ref="CE10" si="84">CD10+SUM(CE14:CE1048576)</f>
        <v>28963.860000000022</v>
      </c>
    </row>
    <row r="11" spans="1:98" s="52" customFormat="1" x14ac:dyDescent="0.45">
      <c r="A11" s="48"/>
      <c r="B11" s="48"/>
      <c r="C11" s="65"/>
      <c r="D11" s="54" t="s">
        <v>122</v>
      </c>
      <c r="E11" s="50"/>
      <c r="F11" s="51">
        <f>F10-E10</f>
        <v>83.399999999999636</v>
      </c>
      <c r="G11" s="51">
        <f t="shared" ref="G11:H11" si="85">G10-F10</f>
        <v>83.399999999999636</v>
      </c>
      <c r="H11" s="51">
        <f t="shared" si="85"/>
        <v>83.399999999999636</v>
      </c>
      <c r="I11" s="51">
        <f t="shared" ref="I11" si="86">I10-H10</f>
        <v>225.30000000000018</v>
      </c>
      <c r="J11" s="51">
        <f t="shared" ref="J11" si="87">J10-I10</f>
        <v>225.30000000000018</v>
      </c>
      <c r="K11" s="51">
        <f t="shared" ref="K11" si="88">K10-J10</f>
        <v>410.30000000000018</v>
      </c>
      <c r="L11" s="51">
        <f t="shared" ref="L11" si="89">L10-K10</f>
        <v>-3194.5</v>
      </c>
      <c r="M11" s="51">
        <f t="shared" ref="M11" si="90">M10-L10</f>
        <v>455.5</v>
      </c>
      <c r="N11" s="51">
        <f t="shared" ref="N11" si="91">N10-M10</f>
        <v>455.5</v>
      </c>
      <c r="O11" s="51">
        <f t="shared" ref="O11:T11" si="92">O10-N10</f>
        <v>775.69999999999982</v>
      </c>
      <c r="P11" s="51">
        <f t="shared" si="92"/>
        <v>775.69999999999982</v>
      </c>
      <c r="Q11" s="51">
        <f t="shared" si="92"/>
        <v>775.69999999999982</v>
      </c>
      <c r="R11" s="51">
        <f t="shared" si="92"/>
        <v>575.69999999999982</v>
      </c>
      <c r="S11" s="51">
        <f t="shared" si="92"/>
        <v>775.69999999999982</v>
      </c>
      <c r="T11" s="51">
        <f t="shared" si="92"/>
        <v>775.69999999999982</v>
      </c>
      <c r="U11" s="51">
        <f t="shared" ref="U11" si="93">U10-T10</f>
        <v>969.69999999999982</v>
      </c>
      <c r="V11" s="51">
        <f t="shared" ref="V11" si="94">V10-U10</f>
        <v>969.70000000000073</v>
      </c>
      <c r="W11" s="51">
        <f t="shared" ref="W11" si="95">W10-V10</f>
        <v>969.70000000000073</v>
      </c>
      <c r="X11" s="51">
        <f t="shared" ref="X11" si="96">X10-W10</f>
        <v>-4330.3</v>
      </c>
      <c r="Y11" s="51">
        <f t="shared" ref="Y11" si="97">Y10-X10</f>
        <v>969.69999999999982</v>
      </c>
      <c r="Z11" s="51">
        <f t="shared" ref="Z11" si="98">Z10-Y10</f>
        <v>969.70000000000073</v>
      </c>
      <c r="AA11" s="51">
        <f t="shared" ref="AA11" si="99">AA10-Z10</f>
        <v>-6463.54</v>
      </c>
      <c r="AB11" s="51">
        <f t="shared" ref="AB11" si="100">AB10-AA10</f>
        <v>1536.46</v>
      </c>
      <c r="AC11" s="51">
        <f t="shared" ref="AC11" si="101">AC10-AB10</f>
        <v>1536.46</v>
      </c>
      <c r="AD11" s="51">
        <f t="shared" ref="AD11" si="102">AD10-AC10</f>
        <v>1351.46</v>
      </c>
      <c r="AE11" s="51">
        <f t="shared" ref="AE11" si="103">AE10-AD10</f>
        <v>1436.46</v>
      </c>
      <c r="AF11" s="51">
        <f t="shared" ref="AF11" si="104">AF10-AE10</f>
        <v>1436.46</v>
      </c>
      <c r="AG11" s="51">
        <f t="shared" ref="AG11" si="105">AG10-AF10</f>
        <v>-9513.5400000000009</v>
      </c>
      <c r="AH11" s="51">
        <f t="shared" ref="AH11" si="106">AH10-AG10</f>
        <v>1086.46</v>
      </c>
      <c r="AI11" s="51">
        <f t="shared" ref="AI11" si="107">AI10-AH10</f>
        <v>1156.46</v>
      </c>
      <c r="AJ11" s="51">
        <f t="shared" ref="AJ11" si="108">AJ10-AI10</f>
        <v>816.46</v>
      </c>
      <c r="AK11" s="51">
        <f t="shared" ref="AK11" si="109">AK10-AJ10</f>
        <v>616.46</v>
      </c>
      <c r="AL11" s="51">
        <f t="shared" ref="AL11" si="110">AL10-AK10</f>
        <v>696.46</v>
      </c>
      <c r="AM11" s="51">
        <f t="shared" ref="AM11" si="111">AM10-AL10</f>
        <v>-153.53999999999996</v>
      </c>
      <c r="AN11" s="51">
        <f t="shared" ref="AN11" si="112">AN10-AM10</f>
        <v>-153.53999999999996</v>
      </c>
      <c r="AO11" s="51">
        <f t="shared" ref="AO11" si="113">AO10-AN10</f>
        <v>-153.53999999999996</v>
      </c>
      <c r="AP11" s="51">
        <f t="shared" ref="AP11:AR11" si="114">AP10-AO10</f>
        <v>-153.53999999999996</v>
      </c>
      <c r="AQ11" s="51">
        <f t="shared" ref="AQ11" si="115">AQ10-AP10</f>
        <v>-153.53999999999996</v>
      </c>
      <c r="AR11" s="51">
        <f t="shared" si="114"/>
        <v>1646.46</v>
      </c>
      <c r="AS11" s="51">
        <f t="shared" ref="AS11" si="116">AS10-AR10</f>
        <v>978.22000000000025</v>
      </c>
      <c r="AT11" s="51">
        <f t="shared" ref="AT11" si="117">AT10-AS10</f>
        <v>978.22000000000025</v>
      </c>
      <c r="AU11" s="51">
        <f t="shared" ref="AU11" si="118">AU10-AT10</f>
        <v>978.22000000000025</v>
      </c>
      <c r="AV11" s="51">
        <f t="shared" ref="AV11" si="119">AV10-AU10</f>
        <v>978.21999999999935</v>
      </c>
      <c r="AW11" s="51">
        <f t="shared" ref="AW11" si="120">AW10-AV10</f>
        <v>978.21999999999935</v>
      </c>
      <c r="AX11" s="51">
        <f t="shared" ref="AX11" si="121">AX10-AW10</f>
        <v>978.21999999999935</v>
      </c>
      <c r="AY11" s="51">
        <f t="shared" ref="AY11" si="122">AY10-AX10</f>
        <v>978.21999999999935</v>
      </c>
      <c r="AZ11" s="51">
        <f t="shared" ref="AZ11" si="123">AZ10-AY10</f>
        <v>978.21999999999935</v>
      </c>
      <c r="BA11" s="51">
        <f t="shared" ref="BA11" si="124">BA10-AZ10</f>
        <v>978.21999999999935</v>
      </c>
      <c r="BB11" s="51">
        <f t="shared" ref="BB11" si="125">BB10-BA10</f>
        <v>978.21999999999935</v>
      </c>
      <c r="BC11" s="51">
        <f t="shared" ref="BC11" si="126">BC10-BB10</f>
        <v>978.21999999999935</v>
      </c>
      <c r="BD11" s="51">
        <f t="shared" ref="BD11" si="127">BD10-BC10</f>
        <v>978.21999999999935</v>
      </c>
      <c r="BE11" s="51">
        <f t="shared" ref="BE11" si="128">BE10-BD10</f>
        <v>978.22000000000116</v>
      </c>
      <c r="BF11" s="51">
        <f t="shared" ref="BF11" si="129">BF10-BE10</f>
        <v>978.22000000000116</v>
      </c>
      <c r="BG11" s="51">
        <f t="shared" ref="BG11" si="130">BG10-BF10</f>
        <v>978.22000000000116</v>
      </c>
      <c r="BH11" s="51">
        <f t="shared" ref="BH11" si="131">BH10-BG10</f>
        <v>978.22000000000116</v>
      </c>
      <c r="BI11" s="51">
        <f t="shared" ref="BI11" si="132">BI10-BH10</f>
        <v>978.22000000000116</v>
      </c>
      <c r="BJ11" s="51">
        <f t="shared" ref="BJ11" si="133">BJ10-BI10</f>
        <v>978.22000000000116</v>
      </c>
      <c r="BK11" s="51">
        <f t="shared" ref="BK11" si="134">BK10-BJ10</f>
        <v>978.22000000000116</v>
      </c>
      <c r="BL11" s="51">
        <f t="shared" ref="BL11" si="135">BL10-BK10</f>
        <v>978.22000000000116</v>
      </c>
      <c r="BM11" s="51">
        <f t="shared" ref="BM11" si="136">BM10-BL10</f>
        <v>978.22000000000116</v>
      </c>
      <c r="BN11" s="51">
        <f t="shared" ref="BN11" si="137">BN10-BM10</f>
        <v>978.22000000000116</v>
      </c>
      <c r="BO11" s="51">
        <f t="shared" ref="BO11" si="138">BO10-BN10</f>
        <v>978.22000000000116</v>
      </c>
      <c r="BP11" s="51">
        <f t="shared" ref="BP11" si="139">BP10-BO10</f>
        <v>978.22000000000116</v>
      </c>
      <c r="BQ11" s="51">
        <f t="shared" ref="BQ11" si="140">BQ10-BP10</f>
        <v>978.22000000000116</v>
      </c>
      <c r="BR11" s="51">
        <f t="shared" ref="BR11" si="141">BR10-BQ10</f>
        <v>978.22000000000116</v>
      </c>
      <c r="BS11" s="51">
        <f t="shared" ref="BS11" si="142">BS10-BR10</f>
        <v>978.22000000000116</v>
      </c>
      <c r="BT11" s="51">
        <f t="shared" ref="BT11" si="143">BT10-BS10</f>
        <v>978.22000000000116</v>
      </c>
      <c r="BU11" s="51">
        <f t="shared" ref="BU11" si="144">BU10-BT10</f>
        <v>978.21999999999753</v>
      </c>
      <c r="BV11" s="51">
        <f t="shared" ref="BV11" si="145">BV10-BU10</f>
        <v>978.22000000000116</v>
      </c>
      <c r="BW11" s="51">
        <f t="shared" ref="BW11" si="146">BW10-BV10</f>
        <v>978.22000000000116</v>
      </c>
      <c r="BX11" s="51">
        <f t="shared" ref="BX11" si="147">BX10-BW10</f>
        <v>978.22000000000116</v>
      </c>
      <c r="BY11" s="51">
        <f t="shared" ref="BY11" si="148">BY10-BX10</f>
        <v>978.22000000000116</v>
      </c>
      <c r="BZ11" s="51">
        <f t="shared" ref="BZ11" si="149">BZ10-BY10</f>
        <v>-9219.7799999999988</v>
      </c>
      <c r="CA11" s="51">
        <f t="shared" ref="CA11" si="150">CA10-BZ10</f>
        <v>582.22000000000116</v>
      </c>
      <c r="CB11" s="51">
        <f t="shared" ref="CB11" si="151">CB10-CA10</f>
        <v>384.22000000000116</v>
      </c>
      <c r="CC11" s="51">
        <f t="shared" ref="CC11" si="152">CC10-CB10</f>
        <v>186.22000000000116</v>
      </c>
      <c r="CD11" s="51">
        <f t="shared" ref="CD11" si="153">CD10-CC10</f>
        <v>-11.779999999998836</v>
      </c>
      <c r="CE11" s="51">
        <f t="shared" ref="CE11" si="154">CE10-CD10</f>
        <v>-209.77999999999884</v>
      </c>
    </row>
    <row r="12" spans="1:98" s="37" customFormat="1" x14ac:dyDescent="0.45">
      <c r="A12" s="36"/>
      <c r="B12" s="36"/>
      <c r="C12" s="57"/>
      <c r="D12" s="32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</row>
    <row r="13" spans="1:98" ht="14.65" thickBot="1" x14ac:dyDescent="0.5">
      <c r="D13" s="32"/>
    </row>
    <row r="14" spans="1:98" s="40" customFormat="1" x14ac:dyDescent="0.45">
      <c r="A14" s="45"/>
      <c r="B14" s="45"/>
      <c r="C14" s="67"/>
      <c r="D14" s="55" t="s">
        <v>95</v>
      </c>
      <c r="F14" s="40">
        <v>-280</v>
      </c>
      <c r="G14" s="40">
        <v>-280</v>
      </c>
      <c r="H14" s="40">
        <v>-280</v>
      </c>
      <c r="I14" s="40">
        <v>-280</v>
      </c>
      <c r="J14" s="40">
        <v>-280</v>
      </c>
      <c r="K14" s="40">
        <v>-280</v>
      </c>
      <c r="L14" s="40">
        <v>-280</v>
      </c>
      <c r="M14" s="40">
        <v>-280</v>
      </c>
      <c r="N14" s="40">
        <v>-280</v>
      </c>
      <c r="O14" s="40">
        <v>-280</v>
      </c>
      <c r="P14" s="40">
        <v>-280</v>
      </c>
      <c r="Q14" s="40">
        <v>-280</v>
      </c>
      <c r="R14" s="40">
        <v>-280</v>
      </c>
      <c r="S14" s="40">
        <v>-280</v>
      </c>
      <c r="T14" s="40">
        <v>-280</v>
      </c>
      <c r="U14" s="40">
        <v>-280</v>
      </c>
      <c r="V14" s="40">
        <v>-280</v>
      </c>
      <c r="W14" s="40">
        <v>-280</v>
      </c>
      <c r="X14" s="40">
        <v>-280</v>
      </c>
      <c r="Y14" s="40">
        <v>-280</v>
      </c>
      <c r="Z14" s="40">
        <v>-280</v>
      </c>
      <c r="AA14" s="40">
        <v>-280</v>
      </c>
      <c r="AB14" s="40">
        <v>-280</v>
      </c>
      <c r="AC14" s="40">
        <v>-280</v>
      </c>
      <c r="AD14" s="40">
        <v>-280</v>
      </c>
      <c r="AE14" s="40">
        <v>-280</v>
      </c>
      <c r="AF14" s="40">
        <v>-280</v>
      </c>
      <c r="AG14" s="40">
        <v>-280</v>
      </c>
      <c r="AH14" s="40">
        <v>-280</v>
      </c>
      <c r="AI14" s="40">
        <v>-280</v>
      </c>
      <c r="AJ14" s="40">
        <v>-280</v>
      </c>
      <c r="AK14" s="40">
        <v>-280</v>
      </c>
      <c r="AL14" s="40">
        <v>-280</v>
      </c>
      <c r="AM14" s="40">
        <v>-280</v>
      </c>
      <c r="AN14" s="40">
        <v>-280</v>
      </c>
      <c r="AO14" s="40">
        <v>-280</v>
      </c>
      <c r="AP14" s="40">
        <v>-280</v>
      </c>
      <c r="AQ14" s="40">
        <v>-280</v>
      </c>
      <c r="AR14" s="40">
        <v>-280</v>
      </c>
      <c r="AS14" s="40">
        <v>-280</v>
      </c>
      <c r="AT14" s="40">
        <v>-280</v>
      </c>
      <c r="AU14" s="40">
        <v>-280</v>
      </c>
      <c r="AV14" s="40">
        <v>-280</v>
      </c>
      <c r="AW14" s="40">
        <v>-280</v>
      </c>
      <c r="AX14" s="40">
        <v>-280</v>
      </c>
      <c r="AY14" s="40">
        <v>-280</v>
      </c>
      <c r="AZ14" s="40">
        <v>-280</v>
      </c>
      <c r="BA14" s="40">
        <v>-280</v>
      </c>
      <c r="BB14" s="40">
        <v>-280</v>
      </c>
      <c r="BC14" s="40">
        <v>-280</v>
      </c>
      <c r="BD14" s="40">
        <v>-280</v>
      </c>
      <c r="BE14" s="40">
        <v>-280</v>
      </c>
      <c r="BF14" s="40">
        <v>-280</v>
      </c>
      <c r="BG14" s="40">
        <v>-280</v>
      </c>
      <c r="BH14" s="40">
        <v>-280</v>
      </c>
      <c r="BI14" s="40">
        <v>-280</v>
      </c>
      <c r="BJ14" s="40">
        <v>-280</v>
      </c>
      <c r="BK14" s="40">
        <v>-280</v>
      </c>
      <c r="BL14" s="40">
        <v>-280</v>
      </c>
      <c r="BM14" s="40">
        <v>-280</v>
      </c>
      <c r="BN14" s="40">
        <v>-280</v>
      </c>
      <c r="BO14" s="40">
        <v>-280</v>
      </c>
      <c r="BP14" s="40">
        <v>-280</v>
      </c>
      <c r="BQ14" s="40">
        <v>-280</v>
      </c>
      <c r="BR14" s="40">
        <v>-280</v>
      </c>
      <c r="BS14" s="40">
        <v>-280</v>
      </c>
      <c r="BT14" s="40">
        <v>-280</v>
      </c>
      <c r="BU14" s="40">
        <v>-280</v>
      </c>
      <c r="BV14" s="40">
        <v>-280</v>
      </c>
      <c r="BW14" s="40">
        <v>-280</v>
      </c>
      <c r="BX14" s="40">
        <v>-280</v>
      </c>
      <c r="BY14" s="40">
        <v>-280</v>
      </c>
      <c r="BZ14" s="40">
        <v>-280</v>
      </c>
      <c r="CA14" s="40">
        <v>-280</v>
      </c>
      <c r="CB14" s="40">
        <v>-280</v>
      </c>
      <c r="CC14" s="40">
        <v>-280</v>
      </c>
      <c r="CD14" s="40">
        <v>-280</v>
      </c>
      <c r="CE14" s="40">
        <v>-280</v>
      </c>
    </row>
    <row r="15" spans="1:98" s="28" customFormat="1" ht="14.65" thickBot="1" x14ac:dyDescent="0.5">
      <c r="A15" s="46"/>
      <c r="B15" s="46"/>
      <c r="C15" s="68"/>
      <c r="D15" s="56" t="s">
        <v>96</v>
      </c>
      <c r="F15" s="28">
        <v>-190</v>
      </c>
      <c r="G15" s="28">
        <v>-190</v>
      </c>
      <c r="H15" s="28">
        <v>-190</v>
      </c>
      <c r="I15" s="28">
        <v>-190</v>
      </c>
      <c r="J15" s="28">
        <v>-190</v>
      </c>
      <c r="K15" s="28">
        <v>-190</v>
      </c>
      <c r="L15" s="28">
        <v>-190</v>
      </c>
      <c r="M15" s="28">
        <v>-190</v>
      </c>
      <c r="N15" s="28">
        <v>-190</v>
      </c>
      <c r="O15" s="28">
        <v>-190</v>
      </c>
      <c r="P15" s="28">
        <v>-190</v>
      </c>
      <c r="Q15" s="28">
        <v>-190</v>
      </c>
      <c r="R15" s="28">
        <v>-190</v>
      </c>
      <c r="S15" s="28">
        <v>-190</v>
      </c>
      <c r="T15" s="28">
        <v>-190</v>
      </c>
      <c r="U15" s="28">
        <v>-190</v>
      </c>
      <c r="V15" s="28">
        <v>-190</v>
      </c>
      <c r="W15" s="28">
        <v>-190</v>
      </c>
      <c r="X15" s="28">
        <v>-190</v>
      </c>
      <c r="Y15" s="28">
        <v>-190</v>
      </c>
      <c r="Z15" s="28">
        <v>-190</v>
      </c>
      <c r="AA15" s="28">
        <v>-190</v>
      </c>
      <c r="AB15" s="28">
        <v>-190</v>
      </c>
      <c r="AC15" s="28">
        <v>-190</v>
      </c>
      <c r="AD15" s="28">
        <v>-190</v>
      </c>
      <c r="AE15" s="28">
        <v>-190</v>
      </c>
      <c r="AF15" s="28">
        <v>-190</v>
      </c>
      <c r="AG15" s="28">
        <v>-190</v>
      </c>
      <c r="AH15" s="28">
        <v>-190</v>
      </c>
      <c r="AI15" s="28">
        <v>-190</v>
      </c>
      <c r="AJ15" s="28">
        <v>-190</v>
      </c>
      <c r="AK15" s="28">
        <v>-190</v>
      </c>
      <c r="AL15" s="28">
        <v>-190</v>
      </c>
      <c r="AM15" s="28">
        <v>-190</v>
      </c>
      <c r="AN15" s="28">
        <v>-190</v>
      </c>
      <c r="AO15" s="28">
        <v>-190</v>
      </c>
      <c r="AP15" s="28">
        <v>-190</v>
      </c>
      <c r="AQ15" s="28">
        <v>-190</v>
      </c>
      <c r="AR15" s="28">
        <v>-190</v>
      </c>
      <c r="AS15" s="28">
        <v>-190</v>
      </c>
      <c r="AT15" s="28">
        <v>-190</v>
      </c>
      <c r="AU15" s="28">
        <v>-190</v>
      </c>
      <c r="AV15" s="28">
        <v>-190</v>
      </c>
      <c r="AW15" s="28">
        <v>-190</v>
      </c>
      <c r="AX15" s="28">
        <v>-190</v>
      </c>
      <c r="AY15" s="28">
        <v>-190</v>
      </c>
      <c r="AZ15" s="28">
        <v>-190</v>
      </c>
      <c r="BA15" s="28">
        <v>-190</v>
      </c>
      <c r="BB15" s="28">
        <v>-190</v>
      </c>
      <c r="BC15" s="28">
        <v>-190</v>
      </c>
      <c r="BD15" s="28">
        <v>-190</v>
      </c>
      <c r="BE15" s="28">
        <v>-190</v>
      </c>
      <c r="BF15" s="28">
        <v>-190</v>
      </c>
      <c r="BG15" s="28">
        <v>-190</v>
      </c>
      <c r="BH15" s="28">
        <v>-190</v>
      </c>
      <c r="BI15" s="28">
        <v>-190</v>
      </c>
      <c r="BJ15" s="28">
        <v>-190</v>
      </c>
      <c r="BK15" s="28">
        <v>-190</v>
      </c>
      <c r="BL15" s="28">
        <v>-190</v>
      </c>
      <c r="BM15" s="28">
        <v>-190</v>
      </c>
      <c r="BN15" s="28">
        <v>-190</v>
      </c>
      <c r="BO15" s="28">
        <v>-190</v>
      </c>
      <c r="BP15" s="28">
        <v>-190</v>
      </c>
      <c r="BQ15" s="28">
        <v>-190</v>
      </c>
      <c r="BR15" s="28">
        <v>-190</v>
      </c>
      <c r="BS15" s="28">
        <v>-190</v>
      </c>
      <c r="BT15" s="28">
        <v>-190</v>
      </c>
      <c r="BU15" s="28">
        <v>-190</v>
      </c>
      <c r="BV15" s="28">
        <v>-190</v>
      </c>
      <c r="BW15" s="28">
        <v>-190</v>
      </c>
      <c r="BX15" s="28">
        <v>-190</v>
      </c>
      <c r="BY15" s="28">
        <v>-190</v>
      </c>
      <c r="BZ15" s="28">
        <v>-190</v>
      </c>
      <c r="CA15" s="28">
        <v>-190</v>
      </c>
      <c r="CB15" s="28">
        <v>-190</v>
      </c>
      <c r="CC15" s="28">
        <v>-190</v>
      </c>
      <c r="CD15" s="28">
        <v>-190</v>
      </c>
      <c r="CE15" s="28">
        <v>-190</v>
      </c>
    </row>
    <row r="16" spans="1:98" x14ac:dyDescent="0.45">
      <c r="B16" s="32">
        <f>COUNTA(B17:B78)</f>
        <v>13</v>
      </c>
      <c r="C16" s="123" t="s">
        <v>344</v>
      </c>
      <c r="D16" s="64" t="s">
        <v>185</v>
      </c>
    </row>
    <row r="18" spans="1:83" s="119" customFormat="1" ht="18" x14ac:dyDescent="0.55000000000000004">
      <c r="A18" s="121"/>
      <c r="B18" s="121"/>
      <c r="C18" s="121"/>
      <c r="D18" s="121" t="s">
        <v>189</v>
      </c>
    </row>
    <row r="19" spans="1:83" ht="14.65" thickBot="1" x14ac:dyDescent="0.5">
      <c r="A19" s="75"/>
      <c r="B19" s="75"/>
      <c r="C19" s="75"/>
      <c r="D19" s="77" t="s">
        <v>253</v>
      </c>
      <c r="F19" s="25">
        <f t="shared" ref="F19:K19" si="155">$C$86</f>
        <v>450</v>
      </c>
      <c r="G19" s="25">
        <f t="shared" si="155"/>
        <v>450</v>
      </c>
      <c r="H19" s="25">
        <f t="shared" si="155"/>
        <v>450</v>
      </c>
      <c r="I19" s="25">
        <f t="shared" si="155"/>
        <v>450</v>
      </c>
      <c r="J19" s="25">
        <f t="shared" si="155"/>
        <v>450</v>
      </c>
      <c r="K19" s="25">
        <f t="shared" si="155"/>
        <v>450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</row>
    <row r="20" spans="1:83" ht="14.65" thickBot="1" x14ac:dyDescent="0.5">
      <c r="A20" s="75"/>
      <c r="B20" s="81" t="s">
        <v>146</v>
      </c>
      <c r="C20" s="76"/>
      <c r="D20" s="77" t="s">
        <v>249</v>
      </c>
      <c r="F20" s="24">
        <f t="shared" ref="F20:K20" si="156">$C$86*$C$91</f>
        <v>270</v>
      </c>
      <c r="G20" s="24">
        <f t="shared" si="156"/>
        <v>270</v>
      </c>
      <c r="H20" s="24">
        <f t="shared" si="156"/>
        <v>270</v>
      </c>
      <c r="I20" s="24">
        <f t="shared" si="156"/>
        <v>270</v>
      </c>
      <c r="J20" s="24">
        <f t="shared" si="156"/>
        <v>270</v>
      </c>
      <c r="K20" s="24">
        <f t="shared" si="156"/>
        <v>270</v>
      </c>
      <c r="L20" s="24">
        <v>450</v>
      </c>
      <c r="M20" s="24">
        <v>450</v>
      </c>
      <c r="N20" s="24">
        <v>450</v>
      </c>
      <c r="O20" s="24">
        <v>450</v>
      </c>
      <c r="P20" s="24">
        <v>450</v>
      </c>
      <c r="Q20" s="24">
        <v>450</v>
      </c>
      <c r="R20" s="24">
        <v>450</v>
      </c>
      <c r="S20" s="24">
        <v>450</v>
      </c>
      <c r="T20" s="24">
        <v>450</v>
      </c>
      <c r="U20" s="24">
        <v>450</v>
      </c>
      <c r="V20" s="24">
        <v>450</v>
      </c>
      <c r="W20" s="24">
        <v>450</v>
      </c>
      <c r="X20" s="24">
        <v>450</v>
      </c>
      <c r="Y20" s="24">
        <v>450</v>
      </c>
      <c r="Z20" s="24">
        <v>450</v>
      </c>
      <c r="AA20" s="24">
        <v>450</v>
      </c>
      <c r="AB20" s="24">
        <v>450</v>
      </c>
      <c r="AC20" s="24">
        <v>450</v>
      </c>
      <c r="AD20" s="24">
        <v>450</v>
      </c>
      <c r="AE20" s="24">
        <v>450</v>
      </c>
      <c r="AF20" s="24">
        <v>450</v>
      </c>
      <c r="AG20" s="24">
        <v>450</v>
      </c>
      <c r="AH20" s="24">
        <v>450</v>
      </c>
      <c r="AI20" s="24">
        <v>450</v>
      </c>
      <c r="AJ20" s="24">
        <v>450</v>
      </c>
      <c r="AK20" s="24">
        <v>450</v>
      </c>
      <c r="AL20" s="24">
        <v>450</v>
      </c>
      <c r="AM20" s="24">
        <v>450</v>
      </c>
      <c r="AN20" s="24">
        <v>450</v>
      </c>
      <c r="AO20" s="24">
        <v>450</v>
      </c>
      <c r="AP20" s="24">
        <v>450</v>
      </c>
      <c r="AQ20" s="24">
        <v>450</v>
      </c>
      <c r="AR20" s="24">
        <v>450</v>
      </c>
      <c r="AS20" s="24">
        <v>450</v>
      </c>
      <c r="AT20" s="24">
        <v>450</v>
      </c>
      <c r="AU20" s="24">
        <v>450</v>
      </c>
      <c r="AV20" s="24">
        <v>450</v>
      </c>
      <c r="AW20" s="24">
        <v>450</v>
      </c>
      <c r="AX20" s="24">
        <v>450</v>
      </c>
      <c r="AY20" s="24">
        <v>450</v>
      </c>
      <c r="AZ20" s="24">
        <v>450</v>
      </c>
      <c r="BA20" s="24">
        <v>450</v>
      </c>
      <c r="BB20" s="24">
        <v>450</v>
      </c>
      <c r="BC20" s="24">
        <v>450</v>
      </c>
      <c r="BD20" s="24">
        <v>450</v>
      </c>
      <c r="BE20" s="24">
        <v>450</v>
      </c>
      <c r="BF20" s="24">
        <v>450</v>
      </c>
      <c r="BG20" s="24">
        <v>450</v>
      </c>
      <c r="BH20" s="24">
        <v>450</v>
      </c>
      <c r="BI20" s="24">
        <v>450</v>
      </c>
      <c r="BJ20" s="24">
        <v>450</v>
      </c>
      <c r="BK20" s="24">
        <v>450</v>
      </c>
      <c r="BL20" s="24">
        <v>450</v>
      </c>
      <c r="BM20" s="24">
        <v>450</v>
      </c>
      <c r="BN20" s="24">
        <v>450</v>
      </c>
      <c r="BO20" s="24">
        <v>450</v>
      </c>
      <c r="BP20" s="24">
        <v>450</v>
      </c>
      <c r="BQ20" s="24">
        <v>450</v>
      </c>
      <c r="BR20" s="24">
        <v>450</v>
      </c>
      <c r="BS20" s="24">
        <v>450</v>
      </c>
      <c r="BT20" s="24">
        <v>450</v>
      </c>
      <c r="BU20" s="24">
        <v>450</v>
      </c>
      <c r="BV20" s="24">
        <v>450</v>
      </c>
      <c r="BW20" s="24">
        <v>450</v>
      </c>
      <c r="BX20" s="24">
        <v>450</v>
      </c>
      <c r="BY20" s="24">
        <v>450</v>
      </c>
      <c r="BZ20" s="24">
        <v>450</v>
      </c>
      <c r="CA20" s="24">
        <v>450</v>
      </c>
      <c r="CB20" s="24">
        <v>450</v>
      </c>
      <c r="CC20" s="24">
        <v>450</v>
      </c>
      <c r="CD20" s="24">
        <v>450</v>
      </c>
      <c r="CE20" s="24">
        <v>450</v>
      </c>
    </row>
    <row r="21" spans="1:83" ht="14.65" thickBot="1" x14ac:dyDescent="0.5">
      <c r="A21" s="75"/>
      <c r="B21" s="75"/>
      <c r="C21" s="76"/>
      <c r="D21" s="77" t="s">
        <v>137</v>
      </c>
      <c r="F21" s="24">
        <f t="shared" ref="F21:K21" si="157">-$C$92</f>
        <v>-120</v>
      </c>
      <c r="G21" s="24">
        <f t="shared" si="157"/>
        <v>-120</v>
      </c>
      <c r="H21" s="24">
        <f t="shared" si="157"/>
        <v>-120</v>
      </c>
      <c r="I21" s="24">
        <f t="shared" si="157"/>
        <v>-120</v>
      </c>
      <c r="J21" s="24">
        <f t="shared" si="157"/>
        <v>-120</v>
      </c>
      <c r="K21" s="24">
        <f t="shared" si="157"/>
        <v>-120</v>
      </c>
      <c r="L21" s="24">
        <f t="shared" ref="L21:AI21" si="158">-$C$93</f>
        <v>-200</v>
      </c>
      <c r="M21" s="24">
        <f t="shared" si="158"/>
        <v>-200</v>
      </c>
      <c r="N21" s="24">
        <f t="shared" si="158"/>
        <v>-200</v>
      </c>
      <c r="O21" s="24">
        <f t="shared" si="158"/>
        <v>-200</v>
      </c>
      <c r="P21" s="24">
        <f t="shared" si="158"/>
        <v>-200</v>
      </c>
      <c r="Q21" s="24">
        <f t="shared" si="158"/>
        <v>-200</v>
      </c>
      <c r="R21" s="24">
        <f t="shared" si="158"/>
        <v>-200</v>
      </c>
      <c r="S21" s="24">
        <f t="shared" si="158"/>
        <v>-200</v>
      </c>
      <c r="T21" s="24">
        <f t="shared" si="158"/>
        <v>-200</v>
      </c>
      <c r="U21" s="24">
        <f t="shared" si="158"/>
        <v>-200</v>
      </c>
      <c r="V21" s="24">
        <f t="shared" si="158"/>
        <v>-200</v>
      </c>
      <c r="W21" s="24">
        <f t="shared" si="158"/>
        <v>-200</v>
      </c>
      <c r="X21" s="24">
        <f t="shared" si="158"/>
        <v>-200</v>
      </c>
      <c r="Y21" s="24">
        <f t="shared" si="158"/>
        <v>-200</v>
      </c>
      <c r="Z21" s="24">
        <f t="shared" si="158"/>
        <v>-200</v>
      </c>
      <c r="AA21" s="24">
        <f t="shared" si="158"/>
        <v>-200</v>
      </c>
      <c r="AB21" s="24">
        <f t="shared" si="158"/>
        <v>-200</v>
      </c>
      <c r="AC21" s="24">
        <f t="shared" si="158"/>
        <v>-200</v>
      </c>
      <c r="AD21" s="24">
        <f t="shared" si="158"/>
        <v>-200</v>
      </c>
      <c r="AE21" s="24">
        <f t="shared" si="158"/>
        <v>-200</v>
      </c>
      <c r="AF21" s="24">
        <f t="shared" si="158"/>
        <v>-200</v>
      </c>
      <c r="AG21" s="24">
        <f t="shared" si="158"/>
        <v>-200</v>
      </c>
      <c r="AH21" s="24">
        <f t="shared" si="158"/>
        <v>-200</v>
      </c>
      <c r="AI21" s="24">
        <f t="shared" si="158"/>
        <v>-200</v>
      </c>
      <c r="AJ21" s="24">
        <v>-400</v>
      </c>
      <c r="AK21" s="24">
        <v>-400</v>
      </c>
      <c r="AL21" s="24">
        <v>-400</v>
      </c>
      <c r="AM21" s="24">
        <v>-400</v>
      </c>
      <c r="AN21" s="24">
        <v>-400</v>
      </c>
      <c r="AO21" s="24">
        <v>-400</v>
      </c>
      <c r="AP21" s="24">
        <v>-400</v>
      </c>
      <c r="AQ21" s="24">
        <v>-400</v>
      </c>
      <c r="AR21" s="24">
        <v>-400</v>
      </c>
      <c r="AS21" s="24">
        <v>-400</v>
      </c>
      <c r="AT21" s="24">
        <v>-400</v>
      </c>
      <c r="AU21" s="24">
        <v>-400</v>
      </c>
      <c r="AV21" s="24">
        <v>-400</v>
      </c>
      <c r="AW21" s="24">
        <v>-400</v>
      </c>
      <c r="AX21" s="24">
        <v>-400</v>
      </c>
      <c r="AY21" s="24">
        <v>-400</v>
      </c>
      <c r="AZ21" s="24">
        <v>-400</v>
      </c>
      <c r="BA21" s="24">
        <v>-400</v>
      </c>
      <c r="BB21" s="24">
        <v>-400</v>
      </c>
      <c r="BC21" s="24">
        <v>-400</v>
      </c>
      <c r="BD21" s="24">
        <v>-400</v>
      </c>
      <c r="BE21" s="24">
        <v>-400</v>
      </c>
      <c r="BF21" s="24">
        <v>-400</v>
      </c>
      <c r="BG21" s="24">
        <v>-400</v>
      </c>
      <c r="BH21" s="24">
        <v>-400</v>
      </c>
      <c r="BI21" s="24">
        <v>-400</v>
      </c>
      <c r="BJ21" s="24">
        <v>-400</v>
      </c>
      <c r="BK21" s="24">
        <v>-400</v>
      </c>
      <c r="BL21" s="24">
        <v>-400</v>
      </c>
      <c r="BM21" s="24">
        <v>-400</v>
      </c>
      <c r="BN21" s="24">
        <v>-400</v>
      </c>
      <c r="BO21" s="24">
        <v>-400</v>
      </c>
      <c r="BP21" s="24">
        <v>-400</v>
      </c>
      <c r="BQ21" s="24">
        <v>-400</v>
      </c>
      <c r="BR21" s="24">
        <v>-400</v>
      </c>
      <c r="BS21" s="24">
        <v>-400</v>
      </c>
      <c r="BT21" s="24">
        <v>-400</v>
      </c>
      <c r="BU21" s="24">
        <v>-400</v>
      </c>
      <c r="BV21" s="24">
        <v>-400</v>
      </c>
      <c r="BW21" s="24">
        <v>-400</v>
      </c>
      <c r="BX21" s="24">
        <v>-400</v>
      </c>
      <c r="BY21" s="24">
        <v>-400</v>
      </c>
      <c r="BZ21" s="24">
        <v>-400</v>
      </c>
      <c r="CA21" s="24">
        <v>-400</v>
      </c>
      <c r="CB21" s="24">
        <v>-400</v>
      </c>
      <c r="CC21" s="24">
        <v>-400</v>
      </c>
      <c r="CD21" s="24">
        <v>-400</v>
      </c>
      <c r="CE21" s="24">
        <v>-400</v>
      </c>
    </row>
    <row r="22" spans="1:83" ht="14.65" thickBot="1" x14ac:dyDescent="0.5">
      <c r="A22" s="75"/>
      <c r="B22" s="81"/>
      <c r="C22" s="76"/>
      <c r="D22" s="77" t="s">
        <v>250</v>
      </c>
      <c r="I22" s="24">
        <f>$C$86*$C$91</f>
        <v>270</v>
      </c>
      <c r="J22" s="24">
        <f>$C$86*$C$91</f>
        <v>270</v>
      </c>
      <c r="K22" s="24">
        <f>$C$86*$C$91</f>
        <v>270</v>
      </c>
    </row>
    <row r="23" spans="1:83" ht="14.65" thickBot="1" x14ac:dyDescent="0.5">
      <c r="A23" s="75"/>
      <c r="B23" s="76"/>
      <c r="C23" s="76"/>
      <c r="D23" s="77" t="s">
        <v>137</v>
      </c>
      <c r="I23" s="24">
        <f>-$C$92</f>
        <v>-120</v>
      </c>
      <c r="J23" s="24">
        <f>-$C$92</f>
        <v>-120</v>
      </c>
      <c r="K23" s="24">
        <f>-$C$92</f>
        <v>-120</v>
      </c>
    </row>
    <row r="24" spans="1:83" ht="14.65" thickBot="1" x14ac:dyDescent="0.5">
      <c r="A24" s="75"/>
      <c r="B24" s="81" t="s">
        <v>184</v>
      </c>
      <c r="C24" s="76"/>
      <c r="D24" s="77"/>
      <c r="F24" s="24">
        <f t="shared" ref="F24:BQ24" si="159">-$C$94</f>
        <v>-25</v>
      </c>
      <c r="G24" s="24">
        <f t="shared" si="159"/>
        <v>-25</v>
      </c>
      <c r="H24" s="24">
        <f t="shared" si="159"/>
        <v>-25</v>
      </c>
      <c r="I24" s="24">
        <f t="shared" si="159"/>
        <v>-25</v>
      </c>
      <c r="J24" s="24">
        <f t="shared" si="159"/>
        <v>-25</v>
      </c>
      <c r="K24" s="24">
        <f t="shared" si="159"/>
        <v>-25</v>
      </c>
      <c r="L24" s="24">
        <f t="shared" si="159"/>
        <v>-25</v>
      </c>
      <c r="M24" s="24">
        <f t="shared" si="159"/>
        <v>-25</v>
      </c>
      <c r="N24" s="24">
        <f t="shared" si="159"/>
        <v>-25</v>
      </c>
      <c r="O24" s="24">
        <f t="shared" si="159"/>
        <v>-25</v>
      </c>
      <c r="P24" s="24">
        <f t="shared" si="159"/>
        <v>-25</v>
      </c>
      <c r="Q24" s="24">
        <f t="shared" si="159"/>
        <v>-25</v>
      </c>
      <c r="R24" s="24">
        <f t="shared" si="159"/>
        <v>-25</v>
      </c>
      <c r="S24" s="24">
        <f t="shared" si="159"/>
        <v>-25</v>
      </c>
      <c r="T24" s="24">
        <f t="shared" si="159"/>
        <v>-25</v>
      </c>
      <c r="U24" s="24">
        <f t="shared" si="159"/>
        <v>-25</v>
      </c>
      <c r="V24" s="24">
        <f t="shared" si="159"/>
        <v>-25</v>
      </c>
      <c r="W24" s="24">
        <f t="shared" si="159"/>
        <v>-25</v>
      </c>
      <c r="X24" s="24">
        <f t="shared" si="159"/>
        <v>-25</v>
      </c>
      <c r="Y24" s="24">
        <f t="shared" si="159"/>
        <v>-25</v>
      </c>
      <c r="Z24" s="24">
        <f t="shared" si="159"/>
        <v>-25</v>
      </c>
      <c r="AA24" s="24">
        <f t="shared" si="159"/>
        <v>-25</v>
      </c>
      <c r="AB24" s="24">
        <f t="shared" si="159"/>
        <v>-25</v>
      </c>
      <c r="AC24" s="24">
        <f t="shared" si="159"/>
        <v>-25</v>
      </c>
      <c r="AD24" s="24">
        <f t="shared" si="159"/>
        <v>-25</v>
      </c>
      <c r="AE24" s="24">
        <f t="shared" si="159"/>
        <v>-25</v>
      </c>
      <c r="AF24" s="24">
        <f t="shared" si="159"/>
        <v>-25</v>
      </c>
      <c r="AG24" s="24">
        <f t="shared" si="159"/>
        <v>-25</v>
      </c>
      <c r="AH24" s="24">
        <f t="shared" si="159"/>
        <v>-25</v>
      </c>
      <c r="AI24" s="24">
        <f t="shared" si="159"/>
        <v>-25</v>
      </c>
      <c r="AJ24" s="24">
        <f t="shared" si="159"/>
        <v>-25</v>
      </c>
      <c r="AK24" s="24">
        <f t="shared" si="159"/>
        <v>-25</v>
      </c>
      <c r="AL24" s="24">
        <f t="shared" si="159"/>
        <v>-25</v>
      </c>
      <c r="AM24" s="24">
        <f t="shared" si="159"/>
        <v>-25</v>
      </c>
      <c r="AN24" s="24">
        <f t="shared" si="159"/>
        <v>-25</v>
      </c>
      <c r="AO24" s="24">
        <f t="shared" si="159"/>
        <v>-25</v>
      </c>
      <c r="AP24" s="24">
        <f t="shared" si="159"/>
        <v>-25</v>
      </c>
      <c r="AQ24" s="24">
        <f t="shared" si="159"/>
        <v>-25</v>
      </c>
      <c r="AR24" s="24">
        <f t="shared" si="159"/>
        <v>-25</v>
      </c>
      <c r="AS24" s="24">
        <f t="shared" si="159"/>
        <v>-25</v>
      </c>
      <c r="AT24" s="24">
        <f t="shared" si="159"/>
        <v>-25</v>
      </c>
      <c r="AU24" s="24">
        <f t="shared" si="159"/>
        <v>-25</v>
      </c>
      <c r="AV24" s="24">
        <f t="shared" si="159"/>
        <v>-25</v>
      </c>
      <c r="AW24" s="24">
        <f t="shared" si="159"/>
        <v>-25</v>
      </c>
      <c r="AX24" s="24">
        <f t="shared" si="159"/>
        <v>-25</v>
      </c>
      <c r="AY24" s="24">
        <f t="shared" si="159"/>
        <v>-25</v>
      </c>
      <c r="AZ24" s="24">
        <f t="shared" si="159"/>
        <v>-25</v>
      </c>
      <c r="BA24" s="24">
        <f t="shared" si="159"/>
        <v>-25</v>
      </c>
      <c r="BB24" s="24">
        <f t="shared" si="159"/>
        <v>-25</v>
      </c>
      <c r="BC24" s="24">
        <f t="shared" si="159"/>
        <v>-25</v>
      </c>
      <c r="BD24" s="24">
        <f t="shared" si="159"/>
        <v>-25</v>
      </c>
      <c r="BE24" s="24">
        <f t="shared" si="159"/>
        <v>-25</v>
      </c>
      <c r="BF24" s="24">
        <f t="shared" si="159"/>
        <v>-25</v>
      </c>
      <c r="BG24" s="24">
        <f t="shared" si="159"/>
        <v>-25</v>
      </c>
      <c r="BH24" s="24">
        <f t="shared" si="159"/>
        <v>-25</v>
      </c>
      <c r="BI24" s="24">
        <f t="shared" si="159"/>
        <v>-25</v>
      </c>
      <c r="BJ24" s="24">
        <f t="shared" si="159"/>
        <v>-25</v>
      </c>
      <c r="BK24" s="24">
        <f t="shared" si="159"/>
        <v>-25</v>
      </c>
      <c r="BL24" s="24">
        <f t="shared" si="159"/>
        <v>-25</v>
      </c>
      <c r="BM24" s="24">
        <f t="shared" si="159"/>
        <v>-25</v>
      </c>
      <c r="BN24" s="24">
        <f t="shared" si="159"/>
        <v>-25</v>
      </c>
      <c r="BO24" s="24">
        <f t="shared" si="159"/>
        <v>-25</v>
      </c>
      <c r="BP24" s="24">
        <f t="shared" si="159"/>
        <v>-25</v>
      </c>
      <c r="BQ24" s="24">
        <f t="shared" si="159"/>
        <v>-25</v>
      </c>
      <c r="BR24" s="24">
        <f t="shared" ref="BR24:CE24" si="160">-$C$94</f>
        <v>-25</v>
      </c>
      <c r="BS24" s="24">
        <f t="shared" si="160"/>
        <v>-25</v>
      </c>
      <c r="BT24" s="24">
        <f t="shared" si="160"/>
        <v>-25</v>
      </c>
      <c r="BU24" s="24">
        <f t="shared" si="160"/>
        <v>-25</v>
      </c>
      <c r="BV24" s="24">
        <f t="shared" si="160"/>
        <v>-25</v>
      </c>
      <c r="BW24" s="24">
        <f t="shared" si="160"/>
        <v>-25</v>
      </c>
      <c r="BX24" s="24">
        <f t="shared" si="160"/>
        <v>-25</v>
      </c>
      <c r="BY24" s="24">
        <f t="shared" si="160"/>
        <v>-25</v>
      </c>
      <c r="BZ24" s="24">
        <f t="shared" si="160"/>
        <v>-25</v>
      </c>
      <c r="CA24" s="24">
        <f t="shared" si="160"/>
        <v>-25</v>
      </c>
      <c r="CB24" s="24">
        <f t="shared" si="160"/>
        <v>-25</v>
      </c>
      <c r="CC24" s="24">
        <f t="shared" si="160"/>
        <v>-25</v>
      </c>
      <c r="CD24" s="24">
        <f t="shared" si="160"/>
        <v>-25</v>
      </c>
      <c r="CE24" s="24">
        <f t="shared" si="160"/>
        <v>-25</v>
      </c>
    </row>
    <row r="25" spans="1:83" s="27" customFormat="1" x14ac:dyDescent="0.45">
      <c r="A25" s="78"/>
      <c r="B25" s="78"/>
      <c r="C25" s="79"/>
      <c r="D25" s="80" t="s">
        <v>174</v>
      </c>
      <c r="E25" s="82">
        <v>-400</v>
      </c>
    </row>
    <row r="27" spans="1:83" x14ac:dyDescent="0.45">
      <c r="D27" s="57"/>
    </row>
    <row r="28" spans="1:83" s="119" customFormat="1" ht="18" x14ac:dyDescent="0.55000000000000004">
      <c r="A28" s="121"/>
      <c r="B28" s="121"/>
      <c r="C28" s="121"/>
      <c r="D28" s="121" t="s">
        <v>251</v>
      </c>
    </row>
    <row r="29" spans="1:83" ht="14.65" thickBot="1" x14ac:dyDescent="0.5">
      <c r="A29" s="75"/>
      <c r="B29" s="75"/>
      <c r="C29" s="76" t="s">
        <v>147</v>
      </c>
      <c r="D29" s="77" t="s">
        <v>252</v>
      </c>
      <c r="L29" s="24">
        <f t="shared" ref="L29:T29" si="161">$C88</f>
        <v>600</v>
      </c>
      <c r="M29" s="24">
        <f t="shared" si="161"/>
        <v>600</v>
      </c>
      <c r="N29" s="24">
        <f t="shared" si="161"/>
        <v>600</v>
      </c>
      <c r="O29" s="24">
        <f t="shared" si="161"/>
        <v>600</v>
      </c>
      <c r="P29" s="24">
        <f t="shared" si="161"/>
        <v>600</v>
      </c>
      <c r="Q29" s="24">
        <f t="shared" si="161"/>
        <v>600</v>
      </c>
      <c r="R29" s="24">
        <f t="shared" si="161"/>
        <v>600</v>
      </c>
      <c r="S29" s="24">
        <f t="shared" si="161"/>
        <v>600</v>
      </c>
      <c r="T29" s="24">
        <f t="shared" si="161"/>
        <v>600</v>
      </c>
      <c r="U29" s="24">
        <f>$C$89</f>
        <v>700</v>
      </c>
      <c r="V29" s="24">
        <f t="shared" ref="V29:AK31" si="162">$C$89</f>
        <v>700</v>
      </c>
      <c r="W29" s="24">
        <f t="shared" si="162"/>
        <v>700</v>
      </c>
      <c r="X29" s="24">
        <f t="shared" si="162"/>
        <v>700</v>
      </c>
      <c r="Y29" s="24">
        <f t="shared" si="162"/>
        <v>700</v>
      </c>
      <c r="Z29" s="24">
        <f t="shared" si="162"/>
        <v>700</v>
      </c>
      <c r="AA29" s="24">
        <f t="shared" si="162"/>
        <v>700</v>
      </c>
      <c r="AB29" s="24">
        <f t="shared" si="162"/>
        <v>700</v>
      </c>
      <c r="AC29" s="24">
        <f t="shared" si="162"/>
        <v>700</v>
      </c>
      <c r="AD29" s="24">
        <f t="shared" si="162"/>
        <v>700</v>
      </c>
      <c r="AE29" s="24">
        <f t="shared" si="162"/>
        <v>700</v>
      </c>
      <c r="AF29" s="24">
        <f t="shared" si="162"/>
        <v>700</v>
      </c>
      <c r="AG29" s="24">
        <f t="shared" si="162"/>
        <v>700</v>
      </c>
      <c r="AH29" s="24">
        <f t="shared" si="162"/>
        <v>700</v>
      </c>
      <c r="AI29" s="24">
        <f t="shared" si="162"/>
        <v>700</v>
      </c>
      <c r="AJ29" s="24">
        <f t="shared" si="162"/>
        <v>700</v>
      </c>
      <c r="AK29" s="24">
        <f t="shared" si="162"/>
        <v>700</v>
      </c>
      <c r="AL29" s="24">
        <f t="shared" ref="AJ29:AY31" si="163">$C$89</f>
        <v>700</v>
      </c>
      <c r="AM29" s="24">
        <f t="shared" si="163"/>
        <v>700</v>
      </c>
      <c r="AN29" s="24">
        <f t="shared" si="163"/>
        <v>700</v>
      </c>
      <c r="AO29" s="24">
        <f t="shared" si="163"/>
        <v>700</v>
      </c>
      <c r="AP29" s="24">
        <f t="shared" si="163"/>
        <v>700</v>
      </c>
      <c r="AQ29" s="24">
        <f t="shared" si="163"/>
        <v>700</v>
      </c>
      <c r="AR29" s="24">
        <f t="shared" si="163"/>
        <v>700</v>
      </c>
      <c r="AS29" s="24">
        <f t="shared" si="163"/>
        <v>700</v>
      </c>
      <c r="AT29" s="24">
        <f t="shared" si="163"/>
        <v>700</v>
      </c>
      <c r="AU29" s="24">
        <f t="shared" si="163"/>
        <v>700</v>
      </c>
      <c r="AV29" s="24">
        <f t="shared" si="163"/>
        <v>700</v>
      </c>
      <c r="AW29" s="24">
        <f t="shared" si="163"/>
        <v>700</v>
      </c>
      <c r="AX29" s="24">
        <f t="shared" si="163"/>
        <v>700</v>
      </c>
      <c r="AY29" s="24">
        <f t="shared" si="163"/>
        <v>700</v>
      </c>
      <c r="AZ29" s="24">
        <f t="shared" ref="AS29:BW31" si="164">$C$89</f>
        <v>700</v>
      </c>
      <c r="BA29" s="24">
        <f t="shared" si="164"/>
        <v>700</v>
      </c>
      <c r="BB29" s="24">
        <f t="shared" si="164"/>
        <v>700</v>
      </c>
      <c r="BC29" s="24">
        <f t="shared" si="164"/>
        <v>700</v>
      </c>
      <c r="BD29" s="24">
        <f t="shared" si="164"/>
        <v>700</v>
      </c>
      <c r="BE29" s="24">
        <f t="shared" si="164"/>
        <v>700</v>
      </c>
      <c r="BF29" s="24">
        <f t="shared" si="164"/>
        <v>700</v>
      </c>
      <c r="BG29" s="24">
        <f t="shared" si="164"/>
        <v>700</v>
      </c>
      <c r="BH29" s="24">
        <f t="shared" si="164"/>
        <v>700</v>
      </c>
      <c r="BI29" s="24">
        <f t="shared" si="164"/>
        <v>700</v>
      </c>
      <c r="BJ29" s="24">
        <f t="shared" si="164"/>
        <v>700</v>
      </c>
      <c r="BK29" s="24">
        <f t="shared" si="164"/>
        <v>700</v>
      </c>
      <c r="BL29" s="24">
        <f t="shared" si="164"/>
        <v>700</v>
      </c>
      <c r="BM29" s="24">
        <f t="shared" si="164"/>
        <v>700</v>
      </c>
      <c r="BN29" s="24">
        <f t="shared" si="164"/>
        <v>700</v>
      </c>
      <c r="BO29" s="24">
        <f t="shared" si="164"/>
        <v>700</v>
      </c>
      <c r="BP29" s="24">
        <f t="shared" si="164"/>
        <v>700</v>
      </c>
      <c r="BQ29" s="24">
        <f t="shared" si="164"/>
        <v>700</v>
      </c>
      <c r="BR29" s="24">
        <f t="shared" si="164"/>
        <v>700</v>
      </c>
      <c r="BS29" s="24">
        <f t="shared" si="164"/>
        <v>700</v>
      </c>
      <c r="BT29" s="24">
        <f t="shared" si="164"/>
        <v>700</v>
      </c>
      <c r="BU29" s="24">
        <f t="shared" si="164"/>
        <v>700</v>
      </c>
      <c r="BV29" s="24">
        <f t="shared" si="164"/>
        <v>700</v>
      </c>
      <c r="BW29" s="24">
        <f t="shared" si="164"/>
        <v>700</v>
      </c>
      <c r="BX29" s="24">
        <f t="shared" ref="BX29:CE31" si="165">$C$89</f>
        <v>700</v>
      </c>
      <c r="BY29" s="24">
        <f t="shared" si="165"/>
        <v>700</v>
      </c>
      <c r="BZ29" s="24">
        <f t="shared" si="165"/>
        <v>700</v>
      </c>
      <c r="CA29" s="24">
        <f t="shared" si="165"/>
        <v>700</v>
      </c>
      <c r="CB29" s="24">
        <f t="shared" si="165"/>
        <v>700</v>
      </c>
      <c r="CC29" s="24">
        <f t="shared" si="165"/>
        <v>700</v>
      </c>
      <c r="CD29" s="24">
        <f t="shared" si="165"/>
        <v>700</v>
      </c>
      <c r="CE29" s="24">
        <f t="shared" si="165"/>
        <v>700</v>
      </c>
    </row>
    <row r="30" spans="1:83" ht="14.65" thickBot="1" x14ac:dyDescent="0.5">
      <c r="A30" s="75"/>
      <c r="B30" s="81" t="s">
        <v>146</v>
      </c>
      <c r="C30" s="76"/>
      <c r="D30" s="77" t="s">
        <v>250</v>
      </c>
      <c r="L30" s="24">
        <f t="shared" ref="L30:T30" si="166">$C88</f>
        <v>600</v>
      </c>
      <c r="M30" s="24">
        <f t="shared" si="166"/>
        <v>600</v>
      </c>
      <c r="N30" s="24">
        <f t="shared" si="166"/>
        <v>600</v>
      </c>
      <c r="O30" s="24">
        <f t="shared" si="166"/>
        <v>600</v>
      </c>
      <c r="P30" s="24">
        <f t="shared" si="166"/>
        <v>600</v>
      </c>
      <c r="Q30" s="24">
        <f t="shared" si="166"/>
        <v>600</v>
      </c>
      <c r="R30" s="24">
        <f t="shared" si="166"/>
        <v>600</v>
      </c>
      <c r="S30" s="24">
        <f t="shared" si="166"/>
        <v>600</v>
      </c>
      <c r="T30" s="24">
        <f t="shared" si="166"/>
        <v>600</v>
      </c>
      <c r="U30" s="24">
        <f>$C$89</f>
        <v>700</v>
      </c>
      <c r="V30" s="24">
        <f t="shared" si="162"/>
        <v>700</v>
      </c>
      <c r="W30" s="24">
        <f t="shared" si="162"/>
        <v>700</v>
      </c>
      <c r="X30" s="24">
        <f t="shared" si="162"/>
        <v>700</v>
      </c>
      <c r="Y30" s="24">
        <f t="shared" si="162"/>
        <v>700</v>
      </c>
      <c r="Z30" s="24">
        <f t="shared" si="162"/>
        <v>700</v>
      </c>
      <c r="AA30" s="24">
        <f t="shared" si="162"/>
        <v>700</v>
      </c>
      <c r="AB30" s="24">
        <f t="shared" si="162"/>
        <v>700</v>
      </c>
      <c r="AC30" s="24">
        <f t="shared" si="162"/>
        <v>700</v>
      </c>
      <c r="AD30" s="24">
        <f t="shared" si="162"/>
        <v>700</v>
      </c>
      <c r="AE30" s="24">
        <f t="shared" si="162"/>
        <v>700</v>
      </c>
      <c r="AF30" s="24">
        <f t="shared" si="162"/>
        <v>700</v>
      </c>
      <c r="AG30" s="24">
        <f t="shared" si="162"/>
        <v>700</v>
      </c>
      <c r="AH30" s="24">
        <f t="shared" si="162"/>
        <v>700</v>
      </c>
      <c r="AI30" s="24">
        <f t="shared" si="162"/>
        <v>700</v>
      </c>
      <c r="AJ30" s="24">
        <f t="shared" si="163"/>
        <v>700</v>
      </c>
      <c r="AK30" s="24">
        <f t="shared" si="163"/>
        <v>700</v>
      </c>
      <c r="AL30" s="24">
        <f t="shared" si="163"/>
        <v>700</v>
      </c>
      <c r="AM30" s="24">
        <f t="shared" si="163"/>
        <v>700</v>
      </c>
      <c r="AN30" s="24">
        <f t="shared" si="163"/>
        <v>700</v>
      </c>
      <c r="AO30" s="24">
        <f t="shared" si="163"/>
        <v>700</v>
      </c>
      <c r="AP30" s="24">
        <f t="shared" si="163"/>
        <v>700</v>
      </c>
      <c r="AQ30" s="24">
        <f t="shared" si="163"/>
        <v>700</v>
      </c>
      <c r="AR30" s="24">
        <f t="shared" si="163"/>
        <v>700</v>
      </c>
      <c r="AS30" s="24">
        <f t="shared" si="164"/>
        <v>700</v>
      </c>
      <c r="AT30" s="24">
        <f t="shared" si="164"/>
        <v>700</v>
      </c>
      <c r="AU30" s="24">
        <f t="shared" si="164"/>
        <v>700</v>
      </c>
      <c r="AV30" s="24">
        <f t="shared" si="164"/>
        <v>700</v>
      </c>
      <c r="AW30" s="24">
        <f t="shared" si="164"/>
        <v>700</v>
      </c>
      <c r="AX30" s="24">
        <f t="shared" si="164"/>
        <v>700</v>
      </c>
      <c r="AY30" s="24">
        <f t="shared" si="164"/>
        <v>700</v>
      </c>
      <c r="AZ30" s="24">
        <f t="shared" si="164"/>
        <v>700</v>
      </c>
      <c r="BA30" s="24">
        <f t="shared" si="164"/>
        <v>700</v>
      </c>
      <c r="BB30" s="24">
        <f t="shared" si="164"/>
        <v>700</v>
      </c>
      <c r="BC30" s="24">
        <f t="shared" si="164"/>
        <v>700</v>
      </c>
      <c r="BD30" s="24">
        <f t="shared" si="164"/>
        <v>700</v>
      </c>
      <c r="BE30" s="24">
        <f t="shared" si="164"/>
        <v>700</v>
      </c>
      <c r="BF30" s="24">
        <f t="shared" si="164"/>
        <v>700</v>
      </c>
      <c r="BG30" s="24">
        <f t="shared" si="164"/>
        <v>700</v>
      </c>
      <c r="BH30" s="24">
        <f t="shared" si="164"/>
        <v>700</v>
      </c>
      <c r="BI30" s="24">
        <f t="shared" si="164"/>
        <v>700</v>
      </c>
      <c r="BJ30" s="24">
        <f t="shared" si="164"/>
        <v>700</v>
      </c>
      <c r="BK30" s="24">
        <f t="shared" si="164"/>
        <v>700</v>
      </c>
      <c r="BL30" s="24">
        <f t="shared" si="164"/>
        <v>700</v>
      </c>
      <c r="BM30" s="24">
        <f t="shared" si="164"/>
        <v>700</v>
      </c>
      <c r="BN30" s="24">
        <f t="shared" si="164"/>
        <v>700</v>
      </c>
      <c r="BO30" s="24">
        <f t="shared" si="164"/>
        <v>700</v>
      </c>
      <c r="BP30" s="24">
        <f t="shared" si="164"/>
        <v>700</v>
      </c>
      <c r="BQ30" s="24">
        <f t="shared" si="164"/>
        <v>700</v>
      </c>
      <c r="BR30" s="24">
        <f t="shared" si="164"/>
        <v>700</v>
      </c>
      <c r="BS30" s="24">
        <f t="shared" si="164"/>
        <v>700</v>
      </c>
      <c r="BT30" s="24">
        <f t="shared" si="164"/>
        <v>700</v>
      </c>
      <c r="BU30" s="24">
        <f t="shared" si="164"/>
        <v>700</v>
      </c>
      <c r="BV30" s="24">
        <f t="shared" si="164"/>
        <v>700</v>
      </c>
      <c r="BW30" s="24">
        <f t="shared" si="164"/>
        <v>700</v>
      </c>
      <c r="BX30" s="24">
        <f t="shared" si="165"/>
        <v>700</v>
      </c>
      <c r="BY30" s="24">
        <f t="shared" si="165"/>
        <v>700</v>
      </c>
      <c r="BZ30" s="24">
        <f t="shared" si="165"/>
        <v>700</v>
      </c>
      <c r="CA30" s="24">
        <f t="shared" si="165"/>
        <v>700</v>
      </c>
      <c r="CB30" s="24">
        <f t="shared" si="165"/>
        <v>700</v>
      </c>
      <c r="CC30" s="24">
        <f t="shared" si="165"/>
        <v>700</v>
      </c>
      <c r="CD30" s="24">
        <f t="shared" si="165"/>
        <v>700</v>
      </c>
      <c r="CE30" s="24">
        <f t="shared" si="165"/>
        <v>700</v>
      </c>
    </row>
    <row r="31" spans="1:83" ht="14.65" thickBot="1" x14ac:dyDescent="0.5">
      <c r="A31" s="75"/>
      <c r="B31" s="81" t="s">
        <v>146</v>
      </c>
      <c r="C31" s="76"/>
      <c r="D31" s="77" t="s">
        <v>293</v>
      </c>
      <c r="AA31" s="24">
        <f t="shared" si="162"/>
        <v>700</v>
      </c>
      <c r="AB31" s="24">
        <f t="shared" si="162"/>
        <v>700</v>
      </c>
      <c r="AC31" s="24">
        <f t="shared" si="162"/>
        <v>700</v>
      </c>
      <c r="AD31" s="24">
        <f t="shared" si="162"/>
        <v>700</v>
      </c>
      <c r="AE31" s="24">
        <f t="shared" si="162"/>
        <v>700</v>
      </c>
      <c r="AF31" s="24">
        <f t="shared" si="162"/>
        <v>700</v>
      </c>
      <c r="AG31" s="24">
        <f t="shared" si="162"/>
        <v>700</v>
      </c>
      <c r="AH31" s="24">
        <f t="shared" si="162"/>
        <v>700</v>
      </c>
      <c r="AI31" s="24">
        <f t="shared" si="162"/>
        <v>700</v>
      </c>
      <c r="AJ31" s="24">
        <f t="shared" si="163"/>
        <v>700</v>
      </c>
      <c r="AK31" s="24">
        <f t="shared" si="163"/>
        <v>700</v>
      </c>
      <c r="AL31" s="24">
        <f t="shared" si="163"/>
        <v>700</v>
      </c>
      <c r="AM31" s="24">
        <f t="shared" si="163"/>
        <v>700</v>
      </c>
      <c r="AN31" s="24">
        <f t="shared" si="163"/>
        <v>700</v>
      </c>
      <c r="AO31" s="24">
        <f t="shared" si="163"/>
        <v>700</v>
      </c>
      <c r="AP31" s="24">
        <f t="shared" si="163"/>
        <v>700</v>
      </c>
      <c r="AQ31" s="24">
        <f t="shared" si="163"/>
        <v>700</v>
      </c>
      <c r="AR31" s="24">
        <f t="shared" si="163"/>
        <v>700</v>
      </c>
      <c r="AS31" s="24">
        <f t="shared" si="164"/>
        <v>700</v>
      </c>
      <c r="AT31" s="24">
        <f t="shared" si="164"/>
        <v>700</v>
      </c>
      <c r="AU31" s="24">
        <f t="shared" si="164"/>
        <v>700</v>
      </c>
      <c r="AV31" s="24">
        <f t="shared" si="164"/>
        <v>700</v>
      </c>
      <c r="AW31" s="24">
        <f t="shared" si="164"/>
        <v>700</v>
      </c>
      <c r="AX31" s="24">
        <f t="shared" si="164"/>
        <v>700</v>
      </c>
      <c r="AY31" s="24">
        <f t="shared" si="164"/>
        <v>700</v>
      </c>
      <c r="AZ31" s="24">
        <f t="shared" si="164"/>
        <v>700</v>
      </c>
      <c r="BA31" s="24">
        <f t="shared" si="164"/>
        <v>700</v>
      </c>
      <c r="BB31" s="24">
        <f t="shared" si="164"/>
        <v>700</v>
      </c>
      <c r="BC31" s="24">
        <f t="shared" si="164"/>
        <v>700</v>
      </c>
      <c r="BD31" s="24">
        <f t="shared" si="164"/>
        <v>700</v>
      </c>
      <c r="BE31" s="24">
        <f t="shared" si="164"/>
        <v>700</v>
      </c>
      <c r="BF31" s="24">
        <f t="shared" si="164"/>
        <v>700</v>
      </c>
      <c r="BG31" s="24">
        <f t="shared" si="164"/>
        <v>700</v>
      </c>
      <c r="BH31" s="24">
        <f t="shared" si="164"/>
        <v>700</v>
      </c>
      <c r="BI31" s="24">
        <f t="shared" si="164"/>
        <v>700</v>
      </c>
      <c r="BJ31" s="24">
        <f t="shared" si="164"/>
        <v>700</v>
      </c>
      <c r="BK31" s="24">
        <f t="shared" si="164"/>
        <v>700</v>
      </c>
      <c r="BL31" s="24">
        <f t="shared" si="164"/>
        <v>700</v>
      </c>
      <c r="BM31" s="24">
        <f t="shared" si="164"/>
        <v>700</v>
      </c>
      <c r="BN31" s="24">
        <f t="shared" si="164"/>
        <v>700</v>
      </c>
      <c r="BO31" s="24">
        <f t="shared" si="164"/>
        <v>700</v>
      </c>
      <c r="BP31" s="24">
        <f t="shared" si="164"/>
        <v>700</v>
      </c>
      <c r="BQ31" s="24">
        <f t="shared" si="164"/>
        <v>700</v>
      </c>
      <c r="BR31" s="24">
        <f t="shared" si="164"/>
        <v>700</v>
      </c>
      <c r="BS31" s="24">
        <f t="shared" si="164"/>
        <v>700</v>
      </c>
      <c r="BT31" s="24">
        <f t="shared" si="164"/>
        <v>700</v>
      </c>
      <c r="BU31" s="24">
        <f t="shared" si="164"/>
        <v>700</v>
      </c>
      <c r="BV31" s="24">
        <f t="shared" si="164"/>
        <v>700</v>
      </c>
      <c r="BW31" s="24">
        <f t="shared" si="164"/>
        <v>700</v>
      </c>
      <c r="BX31" s="24">
        <f t="shared" si="165"/>
        <v>700</v>
      </c>
      <c r="BY31" s="24">
        <f t="shared" si="165"/>
        <v>700</v>
      </c>
      <c r="BZ31" s="24">
        <f t="shared" si="165"/>
        <v>700</v>
      </c>
      <c r="CA31" s="24">
        <f t="shared" si="165"/>
        <v>700</v>
      </c>
      <c r="CB31" s="24">
        <f t="shared" si="165"/>
        <v>700</v>
      </c>
      <c r="CC31" s="24">
        <f t="shared" si="165"/>
        <v>700</v>
      </c>
      <c r="CD31" s="24">
        <f t="shared" si="165"/>
        <v>700</v>
      </c>
      <c r="CE31" s="24">
        <f t="shared" si="165"/>
        <v>700</v>
      </c>
    </row>
    <row r="32" spans="1:83" x14ac:dyDescent="0.45">
      <c r="A32" s="75"/>
      <c r="B32" s="75"/>
      <c r="C32" s="76"/>
      <c r="D32" s="77"/>
    </row>
    <row r="33" spans="1:83" x14ac:dyDescent="0.45">
      <c r="A33" s="75"/>
      <c r="B33" s="75"/>
      <c r="C33" s="76"/>
      <c r="D33" s="77" t="s">
        <v>137</v>
      </c>
      <c r="L33" s="24">
        <f t="shared" ref="L33:AG34" si="167">-$C$96</f>
        <v>-350</v>
      </c>
      <c r="M33" s="24">
        <f t="shared" si="167"/>
        <v>-350</v>
      </c>
      <c r="N33" s="24">
        <f t="shared" si="167"/>
        <v>-350</v>
      </c>
      <c r="O33" s="24">
        <f t="shared" si="167"/>
        <v>-350</v>
      </c>
      <c r="P33" s="24">
        <f t="shared" si="167"/>
        <v>-350</v>
      </c>
      <c r="Q33" s="24">
        <f t="shared" si="167"/>
        <v>-350</v>
      </c>
      <c r="R33" s="24">
        <f t="shared" si="167"/>
        <v>-350</v>
      </c>
      <c r="S33" s="24">
        <f t="shared" si="167"/>
        <v>-350</v>
      </c>
      <c r="T33" s="24">
        <f t="shared" si="167"/>
        <v>-350</v>
      </c>
      <c r="U33" s="24">
        <f t="shared" si="167"/>
        <v>-350</v>
      </c>
      <c r="V33" s="24">
        <f t="shared" si="167"/>
        <v>-350</v>
      </c>
      <c r="W33" s="24">
        <f t="shared" si="167"/>
        <v>-350</v>
      </c>
      <c r="X33" s="24">
        <f t="shared" si="167"/>
        <v>-350</v>
      </c>
      <c r="Y33" s="24">
        <f t="shared" si="167"/>
        <v>-350</v>
      </c>
      <c r="Z33" s="24">
        <f t="shared" si="167"/>
        <v>-350</v>
      </c>
      <c r="AA33" s="24">
        <f t="shared" si="167"/>
        <v>-350</v>
      </c>
      <c r="AB33" s="24">
        <f t="shared" si="167"/>
        <v>-350</v>
      </c>
      <c r="AC33" s="24">
        <f t="shared" si="167"/>
        <v>-350</v>
      </c>
      <c r="AD33" s="24">
        <f t="shared" si="167"/>
        <v>-350</v>
      </c>
      <c r="AE33" s="24">
        <f t="shared" si="167"/>
        <v>-350</v>
      </c>
      <c r="AF33" s="24">
        <f t="shared" si="167"/>
        <v>-350</v>
      </c>
      <c r="AG33" s="24">
        <f t="shared" si="167"/>
        <v>-350</v>
      </c>
      <c r="AH33" s="24">
        <f t="shared" ref="AG33:AI34" si="168">-$C$96</f>
        <v>-350</v>
      </c>
      <c r="AI33" s="24">
        <f t="shared" si="168"/>
        <v>-350</v>
      </c>
      <c r="AJ33" s="24">
        <v>-400</v>
      </c>
      <c r="AK33" s="24">
        <v>-400</v>
      </c>
      <c r="AL33" s="24">
        <v>-400</v>
      </c>
      <c r="AM33" s="24">
        <v>-400</v>
      </c>
      <c r="AN33" s="24">
        <v>-400</v>
      </c>
      <c r="AO33" s="24">
        <v>-400</v>
      </c>
      <c r="AP33" s="24">
        <v>-400</v>
      </c>
      <c r="AQ33" s="24">
        <v>-400</v>
      </c>
      <c r="AR33" s="24">
        <v>-400</v>
      </c>
      <c r="AS33" s="24">
        <v>-400</v>
      </c>
      <c r="AT33" s="24">
        <v>-400</v>
      </c>
      <c r="AU33" s="24">
        <v>-400</v>
      </c>
      <c r="AV33" s="24">
        <v>-400</v>
      </c>
      <c r="AW33" s="24">
        <v>-400</v>
      </c>
      <c r="AX33" s="24">
        <v>-400</v>
      </c>
      <c r="AY33" s="24">
        <v>-400</v>
      </c>
      <c r="AZ33" s="24">
        <v>-400</v>
      </c>
      <c r="BA33" s="24">
        <v>-400</v>
      </c>
      <c r="BB33" s="24">
        <v>-400</v>
      </c>
      <c r="BC33" s="24">
        <v>-400</v>
      </c>
      <c r="BD33" s="24">
        <v>-400</v>
      </c>
      <c r="BE33" s="24">
        <v>-400</v>
      </c>
      <c r="BF33" s="24">
        <v>-400</v>
      </c>
      <c r="BG33" s="24">
        <v>-400</v>
      </c>
      <c r="BH33" s="24">
        <v>-400</v>
      </c>
      <c r="BI33" s="24">
        <v>-400</v>
      </c>
      <c r="BJ33" s="24">
        <v>-400</v>
      </c>
      <c r="BK33" s="24">
        <v>-400</v>
      </c>
      <c r="BL33" s="24">
        <v>-400</v>
      </c>
      <c r="BM33" s="24">
        <v>-400</v>
      </c>
      <c r="BN33" s="24">
        <v>-400</v>
      </c>
      <c r="BO33" s="24">
        <v>-400</v>
      </c>
      <c r="BP33" s="24">
        <v>-400</v>
      </c>
      <c r="BQ33" s="24">
        <v>-400</v>
      </c>
      <c r="BR33" s="24">
        <v>-400</v>
      </c>
      <c r="BS33" s="24">
        <v>-400</v>
      </c>
      <c r="BT33" s="24">
        <v>-400</v>
      </c>
      <c r="BU33" s="24">
        <v>-400</v>
      </c>
      <c r="BV33" s="24">
        <v>-400</v>
      </c>
      <c r="BW33" s="24">
        <v>-400</v>
      </c>
      <c r="BX33" s="24">
        <v>-400</v>
      </c>
      <c r="BY33" s="24">
        <v>-400</v>
      </c>
      <c r="BZ33" s="24">
        <v>-400</v>
      </c>
      <c r="CA33" s="24">
        <v>-400</v>
      </c>
      <c r="CB33" s="24">
        <v>-400</v>
      </c>
      <c r="CC33" s="24">
        <v>-400</v>
      </c>
      <c r="CD33" s="24">
        <v>-400</v>
      </c>
      <c r="CE33" s="24">
        <v>-400</v>
      </c>
    </row>
    <row r="34" spans="1:83" ht="14.65" thickBot="1" x14ac:dyDescent="0.5">
      <c r="A34" s="75"/>
      <c r="B34" s="75"/>
      <c r="C34" s="76"/>
      <c r="D34" s="77" t="s">
        <v>137</v>
      </c>
      <c r="AA34" s="24">
        <f t="shared" si="167"/>
        <v>-350</v>
      </c>
      <c r="AB34" s="24">
        <f t="shared" si="167"/>
        <v>-350</v>
      </c>
      <c r="AC34" s="24">
        <f t="shared" si="167"/>
        <v>-350</v>
      </c>
      <c r="AD34" s="24">
        <f t="shared" si="167"/>
        <v>-350</v>
      </c>
      <c r="AE34" s="24">
        <f t="shared" si="167"/>
        <v>-350</v>
      </c>
      <c r="AF34" s="24">
        <f t="shared" si="167"/>
        <v>-350</v>
      </c>
      <c r="AG34" s="24">
        <f t="shared" si="168"/>
        <v>-350</v>
      </c>
      <c r="AH34" s="24">
        <f t="shared" si="168"/>
        <v>-350</v>
      </c>
      <c r="AI34" s="24">
        <f t="shared" si="168"/>
        <v>-350</v>
      </c>
      <c r="AJ34" s="24">
        <v>-400</v>
      </c>
      <c r="AK34" s="24">
        <v>-400</v>
      </c>
      <c r="AL34" s="24">
        <v>-400</v>
      </c>
      <c r="AM34" s="24">
        <v>-400</v>
      </c>
      <c r="AN34" s="24">
        <v>-400</v>
      </c>
      <c r="AO34" s="24">
        <v>-400</v>
      </c>
      <c r="AP34" s="24">
        <v>-400</v>
      </c>
      <c r="AQ34" s="24">
        <v>-400</v>
      </c>
      <c r="AR34" s="24">
        <v>-400</v>
      </c>
      <c r="AS34" s="24">
        <v>-400</v>
      </c>
      <c r="AT34" s="24">
        <v>-400</v>
      </c>
      <c r="AU34" s="24">
        <v>-400</v>
      </c>
      <c r="AV34" s="24">
        <v>-400</v>
      </c>
      <c r="AW34" s="24">
        <v>-400</v>
      </c>
      <c r="AX34" s="24">
        <v>-400</v>
      </c>
      <c r="AY34" s="24">
        <v>-400</v>
      </c>
      <c r="AZ34" s="24">
        <v>-400</v>
      </c>
      <c r="BA34" s="24">
        <v>-400</v>
      </c>
      <c r="BB34" s="24">
        <v>-400</v>
      </c>
      <c r="BC34" s="24">
        <v>-400</v>
      </c>
      <c r="BD34" s="24">
        <v>-400</v>
      </c>
      <c r="BE34" s="24">
        <v>-400</v>
      </c>
      <c r="BF34" s="24">
        <v>-400</v>
      </c>
      <c r="BG34" s="24">
        <v>-400</v>
      </c>
      <c r="BH34" s="24">
        <v>-400</v>
      </c>
      <c r="BI34" s="24">
        <v>-400</v>
      </c>
      <c r="BJ34" s="24">
        <v>-400</v>
      </c>
      <c r="BK34" s="24">
        <v>-400</v>
      </c>
      <c r="BL34" s="24">
        <v>-400</v>
      </c>
      <c r="BM34" s="24">
        <v>-400</v>
      </c>
      <c r="BN34" s="24">
        <v>-400</v>
      </c>
      <c r="BO34" s="24">
        <v>-400</v>
      </c>
      <c r="BP34" s="24">
        <v>-400</v>
      </c>
      <c r="BQ34" s="24">
        <v>-400</v>
      </c>
      <c r="BR34" s="24">
        <v>-400</v>
      </c>
      <c r="BS34" s="24">
        <v>-400</v>
      </c>
      <c r="BT34" s="24">
        <v>-400</v>
      </c>
      <c r="BU34" s="24">
        <v>-400</v>
      </c>
      <c r="BV34" s="24">
        <v>-400</v>
      </c>
      <c r="BW34" s="24">
        <v>-400</v>
      </c>
      <c r="BX34" s="24">
        <v>-400</v>
      </c>
      <c r="BY34" s="24">
        <v>-400</v>
      </c>
      <c r="BZ34" s="24">
        <v>-400</v>
      </c>
      <c r="CA34" s="24">
        <v>-400</v>
      </c>
      <c r="CB34" s="24">
        <v>-400</v>
      </c>
      <c r="CC34" s="24">
        <v>-400</v>
      </c>
      <c r="CD34" s="24">
        <v>-400</v>
      </c>
      <c r="CE34" s="24">
        <v>-400</v>
      </c>
    </row>
    <row r="35" spans="1:83" ht="14.65" thickBot="1" x14ac:dyDescent="0.5">
      <c r="A35" s="75"/>
      <c r="B35" s="81" t="s">
        <v>184</v>
      </c>
      <c r="C35" s="76"/>
      <c r="D35" s="77" t="s">
        <v>260</v>
      </c>
      <c r="L35" s="24">
        <f t="shared" ref="L35:AC35" si="169">-$C97</f>
        <v>-100</v>
      </c>
      <c r="M35" s="24">
        <f t="shared" si="169"/>
        <v>-100</v>
      </c>
      <c r="N35" s="24">
        <f t="shared" si="169"/>
        <v>-100</v>
      </c>
      <c r="O35" s="24">
        <f t="shared" si="169"/>
        <v>-100</v>
      </c>
      <c r="P35" s="24">
        <f t="shared" si="169"/>
        <v>-100</v>
      </c>
      <c r="Q35" s="24">
        <f t="shared" si="169"/>
        <v>-100</v>
      </c>
      <c r="R35" s="24">
        <f t="shared" si="169"/>
        <v>-100</v>
      </c>
      <c r="S35" s="24">
        <f t="shared" si="169"/>
        <v>-100</v>
      </c>
      <c r="T35" s="24">
        <f t="shared" si="169"/>
        <v>-100</v>
      </c>
      <c r="U35" s="24">
        <f t="shared" si="169"/>
        <v>-100</v>
      </c>
      <c r="V35" s="24">
        <f t="shared" si="169"/>
        <v>-100</v>
      </c>
      <c r="W35" s="24">
        <f t="shared" si="169"/>
        <v>-100</v>
      </c>
      <c r="X35" s="24">
        <f t="shared" si="169"/>
        <v>-100</v>
      </c>
      <c r="Y35" s="24">
        <f t="shared" si="169"/>
        <v>-100</v>
      </c>
      <c r="Z35" s="24">
        <f t="shared" si="169"/>
        <v>-100</v>
      </c>
      <c r="AA35" s="24">
        <f t="shared" si="169"/>
        <v>-100</v>
      </c>
      <c r="AB35" s="24">
        <f t="shared" si="169"/>
        <v>-100</v>
      </c>
      <c r="AC35" s="24">
        <f t="shared" si="169"/>
        <v>-100</v>
      </c>
      <c r="AD35" s="24">
        <f t="shared" ref="AD35:AF35" si="170">-$C97</f>
        <v>-100</v>
      </c>
      <c r="AE35" s="24">
        <f t="shared" si="170"/>
        <v>-100</v>
      </c>
      <c r="AF35" s="24">
        <f t="shared" si="170"/>
        <v>-100</v>
      </c>
      <c r="AG35" s="24">
        <f t="shared" ref="AG35:AI35" si="171">-$C97</f>
        <v>-100</v>
      </c>
      <c r="AH35" s="24">
        <f t="shared" si="171"/>
        <v>-100</v>
      </c>
      <c r="AI35" s="24">
        <f t="shared" si="171"/>
        <v>-100</v>
      </c>
      <c r="AJ35" s="24">
        <f t="shared" ref="AJ35:AL35" si="172">-$C97</f>
        <v>-100</v>
      </c>
      <c r="AK35" s="24">
        <f t="shared" si="172"/>
        <v>-100</v>
      </c>
      <c r="AL35" s="24">
        <f t="shared" si="172"/>
        <v>-100</v>
      </c>
      <c r="AM35" s="24">
        <f t="shared" ref="AM35:AO35" si="173">-$C97</f>
        <v>-100</v>
      </c>
      <c r="AN35" s="24">
        <f t="shared" si="173"/>
        <v>-100</v>
      </c>
      <c r="AO35" s="24">
        <f t="shared" si="173"/>
        <v>-100</v>
      </c>
      <c r="AP35" s="24">
        <f t="shared" ref="AP35:AQ35" si="174">-$C97</f>
        <v>-100</v>
      </c>
      <c r="AQ35" s="24">
        <f t="shared" si="174"/>
        <v>-100</v>
      </c>
      <c r="AR35" s="24">
        <f t="shared" ref="AR35:AS35" si="175">-$C97</f>
        <v>-100</v>
      </c>
      <c r="AS35" s="24">
        <f t="shared" si="175"/>
        <v>-100</v>
      </c>
      <c r="AT35" s="24">
        <f t="shared" ref="AT35:BY35" si="176">-$C97</f>
        <v>-100</v>
      </c>
      <c r="AU35" s="24">
        <f t="shared" si="176"/>
        <v>-100</v>
      </c>
      <c r="AV35" s="24">
        <f t="shared" si="176"/>
        <v>-100</v>
      </c>
      <c r="AW35" s="24">
        <f t="shared" si="176"/>
        <v>-100</v>
      </c>
      <c r="AX35" s="24">
        <f t="shared" si="176"/>
        <v>-100</v>
      </c>
      <c r="AY35" s="24">
        <f t="shared" si="176"/>
        <v>-100</v>
      </c>
      <c r="AZ35" s="24">
        <f t="shared" si="176"/>
        <v>-100</v>
      </c>
      <c r="BA35" s="24">
        <f t="shared" si="176"/>
        <v>-100</v>
      </c>
      <c r="BB35" s="24">
        <f t="shared" si="176"/>
        <v>-100</v>
      </c>
      <c r="BC35" s="24">
        <f t="shared" si="176"/>
        <v>-100</v>
      </c>
      <c r="BD35" s="24">
        <f t="shared" si="176"/>
        <v>-100</v>
      </c>
      <c r="BE35" s="24">
        <f t="shared" si="176"/>
        <v>-100</v>
      </c>
      <c r="BF35" s="24">
        <f t="shared" si="176"/>
        <v>-100</v>
      </c>
      <c r="BG35" s="24">
        <f t="shared" si="176"/>
        <v>-100</v>
      </c>
      <c r="BH35" s="24">
        <f t="shared" si="176"/>
        <v>-100</v>
      </c>
      <c r="BI35" s="24">
        <f t="shared" si="176"/>
        <v>-100</v>
      </c>
      <c r="BJ35" s="24">
        <f t="shared" si="176"/>
        <v>-100</v>
      </c>
      <c r="BK35" s="24">
        <f t="shared" si="176"/>
        <v>-100</v>
      </c>
      <c r="BL35" s="24">
        <f t="shared" si="176"/>
        <v>-100</v>
      </c>
      <c r="BM35" s="24">
        <f t="shared" si="176"/>
        <v>-100</v>
      </c>
      <c r="BN35" s="24">
        <f t="shared" si="176"/>
        <v>-100</v>
      </c>
      <c r="BO35" s="24">
        <f t="shared" si="176"/>
        <v>-100</v>
      </c>
      <c r="BP35" s="24">
        <f t="shared" si="176"/>
        <v>-100</v>
      </c>
      <c r="BQ35" s="24">
        <f t="shared" si="176"/>
        <v>-100</v>
      </c>
      <c r="BR35" s="24">
        <f t="shared" si="176"/>
        <v>-100</v>
      </c>
      <c r="BS35" s="24">
        <f t="shared" si="176"/>
        <v>-100</v>
      </c>
      <c r="BT35" s="24">
        <f t="shared" si="176"/>
        <v>-100</v>
      </c>
      <c r="BU35" s="24">
        <f t="shared" si="176"/>
        <v>-100</v>
      </c>
      <c r="BV35" s="24">
        <f t="shared" si="176"/>
        <v>-100</v>
      </c>
      <c r="BW35" s="24">
        <f t="shared" si="176"/>
        <v>-100</v>
      </c>
      <c r="BX35" s="24">
        <f t="shared" si="176"/>
        <v>-100</v>
      </c>
      <c r="BY35" s="24">
        <f t="shared" si="176"/>
        <v>-100</v>
      </c>
      <c r="BZ35" s="24">
        <f t="shared" ref="BZ35:CB35" si="177">-$C97</f>
        <v>-100</v>
      </c>
      <c r="CA35" s="24">
        <f t="shared" si="177"/>
        <v>-100</v>
      </c>
      <c r="CB35" s="24">
        <f t="shared" si="177"/>
        <v>-100</v>
      </c>
      <c r="CC35" s="24">
        <f t="shared" ref="CC35:CE35" si="178">-$C97</f>
        <v>-100</v>
      </c>
      <c r="CD35" s="24">
        <f t="shared" si="178"/>
        <v>-100</v>
      </c>
      <c r="CE35" s="24">
        <f t="shared" si="178"/>
        <v>-100</v>
      </c>
    </row>
    <row r="36" spans="1:83" s="27" customFormat="1" x14ac:dyDescent="0.45">
      <c r="A36" s="78"/>
      <c r="B36" s="78"/>
      <c r="C36" s="79"/>
      <c r="D36" s="80"/>
      <c r="K36" s="122" t="s">
        <v>282</v>
      </c>
      <c r="L36" s="82">
        <v>-8400</v>
      </c>
    </row>
    <row r="37" spans="1:83" x14ac:dyDescent="0.45">
      <c r="Z37" s="24" t="s">
        <v>292</v>
      </c>
      <c r="AA37" s="24">
        <f t="shared" ref="AA37:AC37" si="179">AA33*0.2</f>
        <v>-70</v>
      </c>
      <c r="AB37" s="24">
        <f t="shared" si="179"/>
        <v>-70</v>
      </c>
      <c r="AC37" s="24">
        <f t="shared" si="179"/>
        <v>-70</v>
      </c>
      <c r="AD37" s="24">
        <f>AD33*0.2</f>
        <v>-70</v>
      </c>
      <c r="AE37" s="24">
        <f t="shared" ref="AE37:AF37" si="180">AE33*0.2</f>
        <v>-70</v>
      </c>
      <c r="AF37" s="24">
        <f t="shared" si="180"/>
        <v>-70</v>
      </c>
      <c r="AG37" s="24">
        <f>AG33*0.2</f>
        <v>-70</v>
      </c>
      <c r="AH37" s="24">
        <f t="shared" ref="AH37" si="181">AH33*0.2</f>
        <v>-70</v>
      </c>
      <c r="AJ37" s="24">
        <f>AJ33*0.2</f>
        <v>-80</v>
      </c>
      <c r="AK37" s="24">
        <f t="shared" ref="AK37" si="182">AK33*0.2</f>
        <v>-80</v>
      </c>
    </row>
    <row r="38" spans="1:83" x14ac:dyDescent="0.45">
      <c r="D38" s="57"/>
    </row>
    <row r="39" spans="1:83" s="119" customFormat="1" ht="18" x14ac:dyDescent="0.55000000000000004">
      <c r="A39" s="121"/>
      <c r="B39" s="121"/>
      <c r="C39" s="121"/>
      <c r="D39" s="121" t="s">
        <v>223</v>
      </c>
    </row>
    <row r="40" spans="1:83" ht="14.65" thickBot="1" x14ac:dyDescent="0.5">
      <c r="A40" s="75"/>
      <c r="B40" s="120"/>
      <c r="C40" s="76"/>
      <c r="D40" s="77" t="s">
        <v>226</v>
      </c>
      <c r="O40" s="24">
        <f t="shared" ref="O40:AL40" si="183">$C$87*$C$90</f>
        <v>660</v>
      </c>
      <c r="P40" s="24">
        <f t="shared" si="183"/>
        <v>660</v>
      </c>
      <c r="Q40" s="24">
        <f t="shared" si="183"/>
        <v>660</v>
      </c>
      <c r="R40" s="24">
        <f t="shared" si="183"/>
        <v>660</v>
      </c>
      <c r="S40" s="24">
        <f t="shared" si="183"/>
        <v>660</v>
      </c>
      <c r="T40" s="24">
        <f t="shared" si="183"/>
        <v>660</v>
      </c>
      <c r="U40" s="24">
        <f t="shared" si="183"/>
        <v>660</v>
      </c>
      <c r="V40" s="24">
        <f t="shared" si="183"/>
        <v>660</v>
      </c>
      <c r="W40" s="24">
        <f t="shared" si="183"/>
        <v>660</v>
      </c>
      <c r="X40" s="24">
        <f t="shared" si="183"/>
        <v>660</v>
      </c>
      <c r="Y40" s="24">
        <f t="shared" si="183"/>
        <v>660</v>
      </c>
      <c r="Z40" s="24">
        <f t="shared" si="183"/>
        <v>660</v>
      </c>
      <c r="AA40" s="24">
        <f t="shared" si="183"/>
        <v>660</v>
      </c>
      <c r="AB40" s="24">
        <f t="shared" si="183"/>
        <v>660</v>
      </c>
      <c r="AC40" s="24">
        <f t="shared" si="183"/>
        <v>660</v>
      </c>
      <c r="AD40" s="24">
        <f t="shared" si="183"/>
        <v>660</v>
      </c>
      <c r="AE40" s="24">
        <f t="shared" si="183"/>
        <v>660</v>
      </c>
      <c r="AF40" s="24">
        <f t="shared" si="183"/>
        <v>660</v>
      </c>
      <c r="AG40" s="24">
        <f t="shared" si="183"/>
        <v>660</v>
      </c>
      <c r="AH40" s="24">
        <f t="shared" si="183"/>
        <v>660</v>
      </c>
      <c r="AI40" s="24">
        <f t="shared" si="183"/>
        <v>660</v>
      </c>
      <c r="AJ40" s="24">
        <f t="shared" si="183"/>
        <v>660</v>
      </c>
      <c r="AK40" s="24">
        <f t="shared" si="183"/>
        <v>660</v>
      </c>
      <c r="AL40" s="24">
        <f t="shared" si="183"/>
        <v>660</v>
      </c>
      <c r="AM40" s="24">
        <f t="shared" ref="AM40:AR40" si="184">$C$87*$C$90</f>
        <v>660</v>
      </c>
      <c r="AN40" s="24">
        <f t="shared" si="184"/>
        <v>660</v>
      </c>
      <c r="AO40" s="24">
        <f t="shared" si="184"/>
        <v>660</v>
      </c>
      <c r="AP40" s="24">
        <f t="shared" si="184"/>
        <v>660</v>
      </c>
      <c r="AQ40" s="24">
        <f t="shared" si="184"/>
        <v>660</v>
      </c>
      <c r="AR40" s="24">
        <f t="shared" si="184"/>
        <v>660</v>
      </c>
    </row>
    <row r="41" spans="1:83" ht="14.65" thickBot="1" x14ac:dyDescent="0.5">
      <c r="A41" s="75"/>
      <c r="B41" s="81"/>
      <c r="C41" s="76"/>
      <c r="D41" s="77" t="s">
        <v>188</v>
      </c>
      <c r="O41" s="24">
        <f t="shared" ref="O41:AI41" si="185">-$C$95</f>
        <v>-320</v>
      </c>
      <c r="P41" s="24">
        <f t="shared" si="185"/>
        <v>-320</v>
      </c>
      <c r="Q41" s="24">
        <f t="shared" si="185"/>
        <v>-320</v>
      </c>
      <c r="R41" s="24">
        <f t="shared" si="185"/>
        <v>-320</v>
      </c>
      <c r="S41" s="24">
        <f t="shared" si="185"/>
        <v>-320</v>
      </c>
      <c r="T41" s="24">
        <f t="shared" si="185"/>
        <v>-320</v>
      </c>
      <c r="U41" s="24">
        <f t="shared" si="185"/>
        <v>-320</v>
      </c>
      <c r="V41" s="24">
        <f t="shared" si="185"/>
        <v>-320</v>
      </c>
      <c r="W41" s="24">
        <f t="shared" si="185"/>
        <v>-320</v>
      </c>
      <c r="X41" s="24">
        <f t="shared" si="185"/>
        <v>-320</v>
      </c>
      <c r="Y41" s="24">
        <f t="shared" si="185"/>
        <v>-320</v>
      </c>
      <c r="Z41" s="24">
        <f t="shared" si="185"/>
        <v>-320</v>
      </c>
      <c r="AA41" s="24">
        <f t="shared" si="185"/>
        <v>-320</v>
      </c>
      <c r="AB41" s="24">
        <f t="shared" si="185"/>
        <v>-320</v>
      </c>
      <c r="AC41" s="24">
        <f t="shared" si="185"/>
        <v>-320</v>
      </c>
      <c r="AD41" s="24">
        <f t="shared" si="185"/>
        <v>-320</v>
      </c>
      <c r="AE41" s="24">
        <f t="shared" si="185"/>
        <v>-320</v>
      </c>
      <c r="AF41" s="24">
        <f t="shared" si="185"/>
        <v>-320</v>
      </c>
      <c r="AG41" s="24">
        <f t="shared" si="185"/>
        <v>-320</v>
      </c>
      <c r="AH41" s="24">
        <f t="shared" si="185"/>
        <v>-320</v>
      </c>
      <c r="AI41" s="24">
        <f t="shared" si="185"/>
        <v>-320</v>
      </c>
      <c r="AJ41" s="24">
        <v>-400</v>
      </c>
      <c r="AK41" s="24">
        <v>-400</v>
      </c>
      <c r="AL41" s="24">
        <v>-400</v>
      </c>
      <c r="AM41" s="24">
        <v>-400</v>
      </c>
      <c r="AN41" s="24">
        <v>-400</v>
      </c>
      <c r="AO41" s="24">
        <v>-400</v>
      </c>
      <c r="AP41" s="24">
        <v>-400</v>
      </c>
      <c r="AQ41" s="24">
        <v>-400</v>
      </c>
      <c r="AR41" s="24">
        <v>-400</v>
      </c>
    </row>
    <row r="42" spans="1:83" s="27" customFormat="1" x14ac:dyDescent="0.45">
      <c r="A42" s="78"/>
      <c r="B42" s="78"/>
      <c r="C42" s="79"/>
      <c r="D42" s="80"/>
    </row>
    <row r="45" spans="1:83" ht="18" x14ac:dyDescent="0.55000000000000004">
      <c r="A45" s="121"/>
      <c r="B45" s="121"/>
      <c r="C45" s="121"/>
      <c r="D45" s="121" t="s">
        <v>294</v>
      </c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19"/>
      <c r="BK45" s="119"/>
      <c r="BL45" s="119"/>
      <c r="BM45" s="119"/>
      <c r="BN45" s="119"/>
      <c r="BO45" s="119"/>
      <c r="BP45" s="119"/>
      <c r="BQ45" s="119"/>
      <c r="BR45" s="119"/>
      <c r="BS45" s="119"/>
      <c r="BT45" s="119"/>
      <c r="BU45" s="119"/>
      <c r="BV45" s="119"/>
      <c r="BW45" s="119"/>
      <c r="BX45" s="119"/>
      <c r="BY45" s="119"/>
      <c r="BZ45" s="119"/>
      <c r="CA45" s="119"/>
      <c r="CB45" s="119"/>
      <c r="CC45" s="119"/>
      <c r="CD45" s="119"/>
      <c r="CE45" s="119"/>
    </row>
    <row r="46" spans="1:83" ht="14.65" thickBot="1" x14ac:dyDescent="0.5">
      <c r="A46" s="75"/>
      <c r="B46" s="120" t="s">
        <v>146</v>
      </c>
      <c r="C46" s="76"/>
      <c r="D46" s="77" t="s">
        <v>226</v>
      </c>
      <c r="AA46" s="24">
        <f t="shared" ref="AA46:CE46" si="186">$C$87*$C$90</f>
        <v>660</v>
      </c>
      <c r="AB46" s="24">
        <f t="shared" si="186"/>
        <v>660</v>
      </c>
      <c r="AC46" s="24">
        <f t="shared" si="186"/>
        <v>660</v>
      </c>
      <c r="AD46" s="24">
        <f t="shared" si="186"/>
        <v>660</v>
      </c>
      <c r="AE46" s="24">
        <f t="shared" si="186"/>
        <v>660</v>
      </c>
      <c r="AF46" s="24">
        <f t="shared" si="186"/>
        <v>660</v>
      </c>
      <c r="AG46" s="24">
        <f t="shared" si="186"/>
        <v>660</v>
      </c>
      <c r="AH46" s="24">
        <f t="shared" si="186"/>
        <v>660</v>
      </c>
      <c r="AI46" s="24">
        <f t="shared" si="186"/>
        <v>660</v>
      </c>
      <c r="AJ46" s="24">
        <f t="shared" si="186"/>
        <v>660</v>
      </c>
      <c r="AK46" s="24">
        <f t="shared" si="186"/>
        <v>660</v>
      </c>
      <c r="AL46" s="24">
        <f t="shared" si="186"/>
        <v>660</v>
      </c>
      <c r="AM46" s="24">
        <f t="shared" si="186"/>
        <v>660</v>
      </c>
      <c r="AN46" s="24">
        <f t="shared" si="186"/>
        <v>660</v>
      </c>
      <c r="AO46" s="24">
        <f t="shared" si="186"/>
        <v>660</v>
      </c>
      <c r="AP46" s="24">
        <f t="shared" si="186"/>
        <v>660</v>
      </c>
      <c r="AQ46" s="24">
        <f t="shared" si="186"/>
        <v>660</v>
      </c>
      <c r="AR46" s="24">
        <f t="shared" si="186"/>
        <v>660</v>
      </c>
      <c r="AS46" s="24">
        <f t="shared" si="186"/>
        <v>660</v>
      </c>
      <c r="AT46" s="24">
        <f t="shared" si="186"/>
        <v>660</v>
      </c>
      <c r="AU46" s="24">
        <f t="shared" si="186"/>
        <v>660</v>
      </c>
      <c r="AV46" s="24">
        <f t="shared" si="186"/>
        <v>660</v>
      </c>
      <c r="AW46" s="24">
        <f t="shared" si="186"/>
        <v>660</v>
      </c>
      <c r="AX46" s="24">
        <f t="shared" si="186"/>
        <v>660</v>
      </c>
      <c r="AY46" s="24">
        <f t="shared" si="186"/>
        <v>660</v>
      </c>
      <c r="AZ46" s="24">
        <f t="shared" si="186"/>
        <v>660</v>
      </c>
      <c r="BA46" s="24">
        <f t="shared" si="186"/>
        <v>660</v>
      </c>
      <c r="BB46" s="24">
        <f t="shared" si="186"/>
        <v>660</v>
      </c>
      <c r="BC46" s="24">
        <f t="shared" si="186"/>
        <v>660</v>
      </c>
      <c r="BD46" s="24">
        <f t="shared" si="186"/>
        <v>660</v>
      </c>
      <c r="BE46" s="24">
        <f t="shared" si="186"/>
        <v>660</v>
      </c>
      <c r="BF46" s="24">
        <f t="shared" si="186"/>
        <v>660</v>
      </c>
      <c r="BG46" s="24">
        <f t="shared" si="186"/>
        <v>660</v>
      </c>
      <c r="BH46" s="24">
        <f t="shared" si="186"/>
        <v>660</v>
      </c>
      <c r="BI46" s="24">
        <f t="shared" si="186"/>
        <v>660</v>
      </c>
      <c r="BJ46" s="24">
        <f t="shared" si="186"/>
        <v>660</v>
      </c>
      <c r="BK46" s="24">
        <f t="shared" si="186"/>
        <v>660</v>
      </c>
      <c r="BL46" s="24">
        <f t="shared" si="186"/>
        <v>660</v>
      </c>
      <c r="BM46" s="24">
        <f t="shared" si="186"/>
        <v>660</v>
      </c>
      <c r="BN46" s="24">
        <f t="shared" si="186"/>
        <v>660</v>
      </c>
      <c r="BO46" s="24">
        <f t="shared" si="186"/>
        <v>660</v>
      </c>
      <c r="BP46" s="24">
        <f t="shared" si="186"/>
        <v>660</v>
      </c>
      <c r="BQ46" s="24">
        <f t="shared" si="186"/>
        <v>660</v>
      </c>
      <c r="BR46" s="24">
        <f t="shared" si="186"/>
        <v>660</v>
      </c>
      <c r="BS46" s="24">
        <f t="shared" si="186"/>
        <v>660</v>
      </c>
      <c r="BT46" s="24">
        <f t="shared" si="186"/>
        <v>660</v>
      </c>
      <c r="BU46" s="24">
        <f t="shared" si="186"/>
        <v>660</v>
      </c>
      <c r="BV46" s="24">
        <f t="shared" si="186"/>
        <v>660</v>
      </c>
      <c r="BW46" s="24">
        <f t="shared" si="186"/>
        <v>660</v>
      </c>
      <c r="BX46" s="24">
        <f t="shared" si="186"/>
        <v>660</v>
      </c>
      <c r="BY46" s="24">
        <f t="shared" si="186"/>
        <v>660</v>
      </c>
      <c r="BZ46" s="24">
        <f t="shared" si="186"/>
        <v>660</v>
      </c>
      <c r="CA46" s="24">
        <f t="shared" si="186"/>
        <v>660</v>
      </c>
      <c r="CB46" s="24">
        <f t="shared" si="186"/>
        <v>660</v>
      </c>
      <c r="CC46" s="24">
        <f t="shared" si="186"/>
        <v>660</v>
      </c>
      <c r="CD46" s="24">
        <f t="shared" si="186"/>
        <v>660</v>
      </c>
      <c r="CE46" s="24">
        <f t="shared" si="186"/>
        <v>660</v>
      </c>
    </row>
    <row r="47" spans="1:83" ht="14.65" thickBot="1" x14ac:dyDescent="0.5">
      <c r="A47" s="75"/>
      <c r="B47" s="81" t="s">
        <v>184</v>
      </c>
      <c r="C47" s="76"/>
      <c r="D47" s="77" t="s">
        <v>188</v>
      </c>
      <c r="AA47" s="24">
        <f t="shared" ref="AA47:AI47" si="187">-$C$95</f>
        <v>-320</v>
      </c>
      <c r="AB47" s="24">
        <f t="shared" si="187"/>
        <v>-320</v>
      </c>
      <c r="AC47" s="24">
        <f t="shared" si="187"/>
        <v>-320</v>
      </c>
      <c r="AD47" s="24">
        <f t="shared" si="187"/>
        <v>-320</v>
      </c>
      <c r="AE47" s="24">
        <f t="shared" si="187"/>
        <v>-320</v>
      </c>
      <c r="AF47" s="24">
        <f t="shared" si="187"/>
        <v>-320</v>
      </c>
      <c r="AG47" s="24">
        <f t="shared" si="187"/>
        <v>-320</v>
      </c>
      <c r="AH47" s="24">
        <f t="shared" si="187"/>
        <v>-320</v>
      </c>
      <c r="AI47" s="24">
        <f t="shared" si="187"/>
        <v>-320</v>
      </c>
      <c r="AJ47" s="24">
        <v>-400</v>
      </c>
      <c r="AK47" s="24">
        <v>-400</v>
      </c>
      <c r="AL47" s="24">
        <v>-400</v>
      </c>
      <c r="AM47" s="24">
        <v>-400</v>
      </c>
      <c r="AN47" s="24">
        <v>-400</v>
      </c>
      <c r="AO47" s="24">
        <v>-400</v>
      </c>
      <c r="AP47" s="24">
        <v>-400</v>
      </c>
      <c r="AQ47" s="24">
        <v>-400</v>
      </c>
      <c r="AR47" s="24">
        <v>-400</v>
      </c>
      <c r="AS47" s="24">
        <v>-400</v>
      </c>
      <c r="AT47" s="24">
        <v>-400</v>
      </c>
      <c r="AU47" s="24">
        <v>-400</v>
      </c>
      <c r="AV47" s="24">
        <v>-400</v>
      </c>
      <c r="AW47" s="24">
        <v>-400</v>
      </c>
      <c r="AX47" s="24">
        <v>-400</v>
      </c>
      <c r="AY47" s="24">
        <v>-400</v>
      </c>
      <c r="AZ47" s="24">
        <v>-400</v>
      </c>
      <c r="BA47" s="24">
        <v>-400</v>
      </c>
      <c r="BB47" s="24">
        <v>-400</v>
      </c>
      <c r="BC47" s="24">
        <v>-400</v>
      </c>
      <c r="BD47" s="24">
        <v>-400</v>
      </c>
      <c r="BE47" s="24">
        <v>-400</v>
      </c>
      <c r="BF47" s="24">
        <v>-400</v>
      </c>
      <c r="BG47" s="24">
        <v>-400</v>
      </c>
      <c r="BH47" s="24">
        <v>-400</v>
      </c>
      <c r="BI47" s="24">
        <v>-400</v>
      </c>
      <c r="BJ47" s="24">
        <v>-400</v>
      </c>
      <c r="BK47" s="24">
        <v>-400</v>
      </c>
      <c r="BL47" s="24">
        <v>-400</v>
      </c>
      <c r="BM47" s="24">
        <v>-400</v>
      </c>
      <c r="BN47" s="24">
        <v>-400</v>
      </c>
      <c r="BO47" s="24">
        <v>-400</v>
      </c>
      <c r="BP47" s="24">
        <v>-400</v>
      </c>
      <c r="BQ47" s="24">
        <v>-400</v>
      </c>
      <c r="BR47" s="24">
        <v>-400</v>
      </c>
      <c r="BS47" s="24">
        <v>-400</v>
      </c>
      <c r="BT47" s="24">
        <v>-400</v>
      </c>
      <c r="BU47" s="24">
        <v>-400</v>
      </c>
      <c r="BV47" s="24">
        <v>-400</v>
      </c>
      <c r="BW47" s="24">
        <v>-400</v>
      </c>
      <c r="BX47" s="24">
        <v>-400</v>
      </c>
      <c r="BY47" s="24">
        <v>-400</v>
      </c>
      <c r="BZ47" s="24">
        <v>-399</v>
      </c>
      <c r="CA47" s="24">
        <v>-398</v>
      </c>
      <c r="CB47" s="24">
        <v>-397</v>
      </c>
      <c r="CC47" s="24">
        <v>-396</v>
      </c>
      <c r="CD47" s="24">
        <v>-395</v>
      </c>
      <c r="CE47" s="24">
        <v>-394</v>
      </c>
    </row>
    <row r="48" spans="1:83" x14ac:dyDescent="0.45">
      <c r="A48" s="78"/>
      <c r="B48" s="78"/>
      <c r="C48" s="79"/>
      <c r="D48" s="80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 t="s">
        <v>296</v>
      </c>
      <c r="AA48" s="82">
        <v>-3000</v>
      </c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</row>
    <row r="51" spans="1:83" ht="18" x14ac:dyDescent="0.55000000000000004">
      <c r="A51" s="121"/>
      <c r="B51" s="121"/>
      <c r="C51" s="121"/>
      <c r="D51" s="121" t="s">
        <v>297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</row>
    <row r="52" spans="1:83" ht="14.65" thickBot="1" x14ac:dyDescent="0.5">
      <c r="A52" s="75"/>
      <c r="B52" s="120" t="s">
        <v>184</v>
      </c>
      <c r="C52" s="76"/>
      <c r="D52" s="77" t="s">
        <v>164</v>
      </c>
      <c r="AA52" s="24">
        <f>(AA46+AA40)*$C$99+SUM(AA29:AA32)*$C$100</f>
        <v>348</v>
      </c>
      <c r="AB52" s="24">
        <f t="shared" ref="AB52:AI52" si="188">(AB46+AB40)*$C$99+SUM(AB29:AB32)*$C$100</f>
        <v>348</v>
      </c>
      <c r="AC52" s="24">
        <f t="shared" si="188"/>
        <v>348</v>
      </c>
      <c r="AD52" s="24">
        <f t="shared" si="188"/>
        <v>348</v>
      </c>
      <c r="AE52" s="24">
        <f t="shared" si="188"/>
        <v>348</v>
      </c>
      <c r="AF52" s="24">
        <f t="shared" si="188"/>
        <v>348</v>
      </c>
      <c r="AG52" s="24">
        <f t="shared" si="188"/>
        <v>348</v>
      </c>
      <c r="AH52" s="24">
        <f t="shared" si="188"/>
        <v>348</v>
      </c>
      <c r="AI52" s="24">
        <f t="shared" si="188"/>
        <v>348</v>
      </c>
      <c r="AJ52" s="24">
        <f t="shared" ref="AJ52:AL52" si="189">(AJ46+AJ40)*$C$99+SUM(AJ29:AJ32)*$C$100</f>
        <v>348</v>
      </c>
      <c r="AK52" s="24">
        <f t="shared" si="189"/>
        <v>348</v>
      </c>
      <c r="AL52" s="24">
        <f t="shared" si="189"/>
        <v>348</v>
      </c>
      <c r="AM52" s="24">
        <f t="shared" ref="AM52:AO52" si="190">(AM46+AM40)*$C$99+SUM(AM29:AM32)*$C$100</f>
        <v>348</v>
      </c>
      <c r="AN52" s="24">
        <f t="shared" si="190"/>
        <v>348</v>
      </c>
      <c r="AO52" s="24">
        <f t="shared" si="190"/>
        <v>348</v>
      </c>
      <c r="AP52" s="24">
        <f t="shared" ref="AP52:AQ52" si="191">(AP46+AP40)*$C$99+SUM(AP29:AP32)*$C$100</f>
        <v>348</v>
      </c>
      <c r="AQ52" s="24">
        <f t="shared" si="191"/>
        <v>348</v>
      </c>
      <c r="AR52" s="24">
        <f t="shared" ref="AR52:AS52" si="192">(AR46+AR40)*$C$99+SUM(AR29:AR32)*$C$100</f>
        <v>348</v>
      </c>
      <c r="AS52" s="24">
        <f t="shared" si="192"/>
        <v>216</v>
      </c>
      <c r="AT52" s="24">
        <f t="shared" ref="AT52:BY52" si="193">(AT46+AT40)*$C$99+SUM(AT29:AT32)*$C$100</f>
        <v>216</v>
      </c>
      <c r="AU52" s="24">
        <f t="shared" si="193"/>
        <v>216</v>
      </c>
      <c r="AV52" s="24">
        <f t="shared" si="193"/>
        <v>216</v>
      </c>
      <c r="AW52" s="24">
        <f t="shared" si="193"/>
        <v>216</v>
      </c>
      <c r="AX52" s="24">
        <f t="shared" si="193"/>
        <v>216</v>
      </c>
      <c r="AY52" s="24">
        <f t="shared" si="193"/>
        <v>216</v>
      </c>
      <c r="AZ52" s="24">
        <f t="shared" si="193"/>
        <v>216</v>
      </c>
      <c r="BA52" s="24">
        <f t="shared" si="193"/>
        <v>216</v>
      </c>
      <c r="BB52" s="24">
        <f t="shared" si="193"/>
        <v>216</v>
      </c>
      <c r="BC52" s="24">
        <f t="shared" si="193"/>
        <v>216</v>
      </c>
      <c r="BD52" s="24">
        <f t="shared" si="193"/>
        <v>216</v>
      </c>
      <c r="BE52" s="24">
        <f t="shared" si="193"/>
        <v>216</v>
      </c>
      <c r="BF52" s="24">
        <f t="shared" si="193"/>
        <v>216</v>
      </c>
      <c r="BG52" s="24">
        <f t="shared" si="193"/>
        <v>216</v>
      </c>
      <c r="BH52" s="24">
        <f t="shared" si="193"/>
        <v>216</v>
      </c>
      <c r="BI52" s="24">
        <f t="shared" si="193"/>
        <v>216</v>
      </c>
      <c r="BJ52" s="24">
        <f t="shared" si="193"/>
        <v>216</v>
      </c>
      <c r="BK52" s="24">
        <f t="shared" si="193"/>
        <v>216</v>
      </c>
      <c r="BL52" s="24">
        <f t="shared" si="193"/>
        <v>216</v>
      </c>
      <c r="BM52" s="24">
        <f t="shared" si="193"/>
        <v>216</v>
      </c>
      <c r="BN52" s="24">
        <f t="shared" si="193"/>
        <v>216</v>
      </c>
      <c r="BO52" s="24">
        <f t="shared" si="193"/>
        <v>216</v>
      </c>
      <c r="BP52" s="24">
        <f t="shared" si="193"/>
        <v>216</v>
      </c>
      <c r="BQ52" s="24">
        <f t="shared" si="193"/>
        <v>216</v>
      </c>
      <c r="BR52" s="24">
        <f t="shared" si="193"/>
        <v>216</v>
      </c>
      <c r="BS52" s="24">
        <f t="shared" si="193"/>
        <v>216</v>
      </c>
      <c r="BT52" s="24">
        <f t="shared" si="193"/>
        <v>216</v>
      </c>
      <c r="BU52" s="24">
        <f t="shared" si="193"/>
        <v>216</v>
      </c>
      <c r="BV52" s="24">
        <f t="shared" si="193"/>
        <v>216</v>
      </c>
      <c r="BW52" s="24">
        <f t="shared" si="193"/>
        <v>216</v>
      </c>
      <c r="BX52" s="24">
        <f t="shared" si="193"/>
        <v>216</v>
      </c>
      <c r="BY52" s="24">
        <f t="shared" si="193"/>
        <v>216</v>
      </c>
      <c r="BZ52" s="24">
        <f t="shared" ref="BZ52:CB52" si="194">(BZ46+BZ40)*$C$99+SUM(BZ29:BZ32)*$C$100</f>
        <v>216</v>
      </c>
      <c r="CA52" s="24">
        <f t="shared" si="194"/>
        <v>216</v>
      </c>
      <c r="CB52" s="24">
        <f t="shared" si="194"/>
        <v>216</v>
      </c>
      <c r="CC52" s="24">
        <f t="shared" ref="CC52:CE52" si="195">(CC46+CC40)*$C$99+SUM(CC29:CC32)*$C$100</f>
        <v>216</v>
      </c>
      <c r="CD52" s="24">
        <f t="shared" si="195"/>
        <v>216</v>
      </c>
      <c r="CE52" s="24">
        <f t="shared" si="195"/>
        <v>216</v>
      </c>
    </row>
    <row r="53" spans="1:83" ht="14.65" thickBot="1" x14ac:dyDescent="0.5">
      <c r="A53" s="75"/>
      <c r="B53" s="81" t="s">
        <v>146</v>
      </c>
      <c r="C53" s="76"/>
      <c r="D53" s="77" t="s">
        <v>167</v>
      </c>
      <c r="AA53" s="24">
        <v>-350</v>
      </c>
      <c r="AB53" s="24">
        <f>AA53</f>
        <v>-350</v>
      </c>
      <c r="AC53" s="24">
        <f t="shared" ref="AC53:AH53" si="196">AB53</f>
        <v>-350</v>
      </c>
      <c r="AD53" s="24">
        <f t="shared" si="196"/>
        <v>-350</v>
      </c>
      <c r="AE53" s="24">
        <f t="shared" si="196"/>
        <v>-350</v>
      </c>
      <c r="AF53" s="24">
        <f t="shared" si="196"/>
        <v>-350</v>
      </c>
      <c r="AG53" s="24">
        <f t="shared" si="196"/>
        <v>-350</v>
      </c>
      <c r="AH53" s="24">
        <f t="shared" si="196"/>
        <v>-350</v>
      </c>
      <c r="AI53" s="24">
        <f>AH53</f>
        <v>-350</v>
      </c>
      <c r="AJ53" s="24">
        <f t="shared" ref="AJ53" si="197">AI53</f>
        <v>-350</v>
      </c>
      <c r="AK53" s="24">
        <f t="shared" ref="AK53" si="198">AJ53</f>
        <v>-350</v>
      </c>
      <c r="AL53" s="24">
        <f>AK53</f>
        <v>-350</v>
      </c>
      <c r="AM53" s="24">
        <f t="shared" ref="AM53:AO53" si="199">AL53</f>
        <v>-350</v>
      </c>
      <c r="AN53" s="24">
        <f t="shared" si="199"/>
        <v>-350</v>
      </c>
      <c r="AO53" s="24">
        <f t="shared" si="199"/>
        <v>-350</v>
      </c>
      <c r="AP53" s="24">
        <f t="shared" ref="AP53:AR53" si="200">AO53</f>
        <v>-350</v>
      </c>
      <c r="AQ53" s="24">
        <f t="shared" ref="AQ53" si="201">AP53</f>
        <v>-350</v>
      </c>
      <c r="AR53" s="24">
        <f t="shared" si="200"/>
        <v>-350</v>
      </c>
      <c r="AS53" s="24">
        <f t="shared" ref="AS53" si="202">AR53</f>
        <v>-350</v>
      </c>
      <c r="AT53" s="24">
        <f t="shared" ref="AT53" si="203">AS53</f>
        <v>-350</v>
      </c>
      <c r="AU53" s="24">
        <f t="shared" ref="AU53" si="204">AT53</f>
        <v>-350</v>
      </c>
      <c r="AV53" s="24">
        <f t="shared" ref="AV53" si="205">AU53</f>
        <v>-350</v>
      </c>
      <c r="AW53" s="24">
        <f t="shared" ref="AW53" si="206">AV53</f>
        <v>-350</v>
      </c>
      <c r="AX53" s="24">
        <f t="shared" ref="AX53" si="207">AW53</f>
        <v>-350</v>
      </c>
      <c r="AY53" s="24">
        <f t="shared" ref="AY53" si="208">AX53</f>
        <v>-350</v>
      </c>
      <c r="AZ53" s="24">
        <f t="shared" ref="AZ53" si="209">AY53</f>
        <v>-350</v>
      </c>
      <c r="BA53" s="24">
        <f t="shared" ref="BA53" si="210">AZ53</f>
        <v>-350</v>
      </c>
      <c r="BB53" s="24">
        <f t="shared" ref="BB53" si="211">BA53</f>
        <v>-350</v>
      </c>
      <c r="BC53" s="24">
        <f t="shared" ref="BC53" si="212">BB53</f>
        <v>-350</v>
      </c>
      <c r="BD53" s="24">
        <f t="shared" ref="BD53" si="213">BC53</f>
        <v>-350</v>
      </c>
      <c r="BE53" s="24">
        <f t="shared" ref="BE53" si="214">BD53</f>
        <v>-350</v>
      </c>
      <c r="BF53" s="24">
        <f t="shared" ref="BF53" si="215">BE53</f>
        <v>-350</v>
      </c>
      <c r="BG53" s="24">
        <f t="shared" ref="BG53" si="216">BF53</f>
        <v>-350</v>
      </c>
      <c r="BH53" s="24">
        <f t="shared" ref="BH53" si="217">BG53</f>
        <v>-350</v>
      </c>
      <c r="BI53" s="24">
        <f t="shared" ref="BI53" si="218">BH53</f>
        <v>-350</v>
      </c>
      <c r="BJ53" s="24">
        <f t="shared" ref="BJ53" si="219">BI53</f>
        <v>-350</v>
      </c>
      <c r="BK53" s="24">
        <f t="shared" ref="BK53" si="220">BJ53</f>
        <v>-350</v>
      </c>
      <c r="BL53" s="24">
        <f t="shared" ref="BL53" si="221">BK53</f>
        <v>-350</v>
      </c>
      <c r="BM53" s="24">
        <f t="shared" ref="BM53" si="222">BL53</f>
        <v>-350</v>
      </c>
      <c r="BN53" s="24">
        <f t="shared" ref="BN53" si="223">BM53</f>
        <v>-350</v>
      </c>
      <c r="BO53" s="24">
        <f t="shared" ref="BO53" si="224">BN53</f>
        <v>-350</v>
      </c>
      <c r="BP53" s="24">
        <f t="shared" ref="BP53" si="225">BO53</f>
        <v>-350</v>
      </c>
      <c r="BQ53" s="24">
        <f t="shared" ref="BQ53" si="226">BP53</f>
        <v>-350</v>
      </c>
      <c r="BR53" s="24">
        <f t="shared" ref="BR53" si="227">BQ53</f>
        <v>-350</v>
      </c>
      <c r="BS53" s="24">
        <f t="shared" ref="BS53" si="228">BR53</f>
        <v>-350</v>
      </c>
      <c r="BT53" s="24">
        <f t="shared" ref="BT53" si="229">BS53</f>
        <v>-350</v>
      </c>
      <c r="BU53" s="24">
        <f t="shared" ref="BU53" si="230">BT53</f>
        <v>-350</v>
      </c>
      <c r="BV53" s="24">
        <f t="shared" ref="BV53" si="231">BU53</f>
        <v>-350</v>
      </c>
      <c r="BW53" s="24">
        <f t="shared" ref="BW53" si="232">BV53</f>
        <v>-350</v>
      </c>
      <c r="BX53" s="24">
        <f t="shared" ref="BX53" si="233">BW53</f>
        <v>-350</v>
      </c>
      <c r="BY53" s="24">
        <f t="shared" ref="BY53" si="234">BX53</f>
        <v>-350</v>
      </c>
      <c r="BZ53" s="24">
        <f t="shared" ref="BZ53" si="235">BY53</f>
        <v>-350</v>
      </c>
      <c r="CA53" s="24">
        <f t="shared" ref="CA53" si="236">BZ53</f>
        <v>-350</v>
      </c>
      <c r="CB53" s="24">
        <f t="shared" ref="CB53" si="237">CA53</f>
        <v>-350</v>
      </c>
      <c r="CC53" s="24">
        <f t="shared" ref="CC53" si="238">CB53</f>
        <v>-350</v>
      </c>
      <c r="CD53" s="24">
        <f t="shared" ref="CD53" si="239">CC53</f>
        <v>-350</v>
      </c>
      <c r="CE53" s="24">
        <f t="shared" ref="CE53" si="240">CD53</f>
        <v>-350</v>
      </c>
    </row>
    <row r="54" spans="1:83" x14ac:dyDescent="0.45">
      <c r="A54" s="78"/>
      <c r="B54" s="78"/>
      <c r="C54" s="79"/>
      <c r="D54" s="80" t="s">
        <v>168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 t="s">
        <v>300</v>
      </c>
      <c r="AA54" s="82">
        <v>-5000</v>
      </c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</row>
    <row r="57" spans="1:83" ht="18" x14ac:dyDescent="0.55000000000000004">
      <c r="A57" s="121"/>
      <c r="B57" s="121"/>
      <c r="C57" s="121"/>
      <c r="D57" s="132" t="s">
        <v>343</v>
      </c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</row>
    <row r="58" spans="1:83" x14ac:dyDescent="0.45">
      <c r="A58" s="75"/>
      <c r="B58" s="75"/>
      <c r="C58" s="76"/>
      <c r="D58" s="77" t="s">
        <v>295</v>
      </c>
      <c r="AC58" s="115"/>
      <c r="AD58" s="24">
        <v>-100</v>
      </c>
      <c r="AE58" s="24">
        <v>-100</v>
      </c>
      <c r="AF58" s="24">
        <v>-100</v>
      </c>
      <c r="AG58" s="24">
        <v>-100</v>
      </c>
      <c r="AH58" s="24">
        <v>-100</v>
      </c>
      <c r="AI58" s="24">
        <v>-100</v>
      </c>
      <c r="AJ58" s="24">
        <v>-100</v>
      </c>
      <c r="AK58" s="24">
        <v>-100</v>
      </c>
      <c r="AL58" s="24">
        <v>-100</v>
      </c>
      <c r="AM58" s="24">
        <v>-100</v>
      </c>
      <c r="AN58" s="24">
        <v>-100</v>
      </c>
      <c r="AO58" s="24">
        <v>-100</v>
      </c>
      <c r="AP58" s="24">
        <v>-100</v>
      </c>
      <c r="AQ58" s="24">
        <v>-100</v>
      </c>
      <c r="AR58" s="24">
        <v>-100</v>
      </c>
      <c r="AS58" s="24">
        <v>-100</v>
      </c>
      <c r="AT58" s="24">
        <v>-100</v>
      </c>
      <c r="AU58" s="24">
        <v>-100</v>
      </c>
      <c r="AV58" s="24">
        <v>-100</v>
      </c>
      <c r="AW58" s="24">
        <v>-100</v>
      </c>
      <c r="AX58" s="24">
        <v>-100</v>
      </c>
      <c r="AY58" s="24">
        <v>-100</v>
      </c>
      <c r="AZ58" s="24">
        <v>-100</v>
      </c>
      <c r="BA58" s="24">
        <v>-100</v>
      </c>
      <c r="BB58" s="24">
        <v>-100</v>
      </c>
      <c r="BC58" s="24">
        <v>-100</v>
      </c>
      <c r="BD58" s="24">
        <v>-100</v>
      </c>
      <c r="BE58" s="24">
        <v>-100</v>
      </c>
      <c r="BF58" s="24">
        <v>-100</v>
      </c>
      <c r="BG58" s="24">
        <v>-100</v>
      </c>
      <c r="BH58" s="24">
        <v>-100</v>
      </c>
      <c r="BI58" s="24">
        <v>-100</v>
      </c>
      <c r="BJ58" s="24">
        <v>-100</v>
      </c>
      <c r="BK58" s="24">
        <v>-100</v>
      </c>
      <c r="BL58" s="24">
        <v>-100</v>
      </c>
      <c r="BM58" s="24">
        <v>-100</v>
      </c>
      <c r="BN58" s="24">
        <v>-100</v>
      </c>
      <c r="BO58" s="24">
        <v>-100</v>
      </c>
      <c r="BP58" s="24">
        <v>-100</v>
      </c>
      <c r="BQ58" s="24">
        <v>-100</v>
      </c>
      <c r="BR58" s="24">
        <v>-100</v>
      </c>
      <c r="BS58" s="24">
        <v>-100</v>
      </c>
      <c r="BT58" s="24">
        <v>-100</v>
      </c>
      <c r="BU58" s="24">
        <v>-100</v>
      </c>
      <c r="BV58" s="24">
        <v>-100</v>
      </c>
      <c r="BW58" s="24">
        <v>-100</v>
      </c>
      <c r="BX58" s="24">
        <v>-100</v>
      </c>
      <c r="BY58" s="24">
        <v>-100</v>
      </c>
      <c r="BZ58" s="24">
        <v>-100</v>
      </c>
      <c r="CA58" s="24">
        <v>-100</v>
      </c>
      <c r="CB58" s="24">
        <v>-100</v>
      </c>
      <c r="CC58" s="24">
        <v>-100</v>
      </c>
      <c r="CD58" s="24">
        <v>-100</v>
      </c>
      <c r="CE58" s="24">
        <v>-100</v>
      </c>
    </row>
    <row r="59" spans="1:83" x14ac:dyDescent="0.45">
      <c r="A59" s="75"/>
      <c r="B59" s="75"/>
      <c r="C59" s="76"/>
      <c r="D59" s="77" t="s">
        <v>342</v>
      </c>
      <c r="AC59" s="115"/>
      <c r="AG59" s="24">
        <v>-100</v>
      </c>
      <c r="AH59" s="24">
        <v>-100</v>
      </c>
      <c r="AI59" s="24">
        <v>-100</v>
      </c>
      <c r="AJ59" s="24">
        <v>-100</v>
      </c>
      <c r="AK59" s="24">
        <v>-100</v>
      </c>
      <c r="AL59" s="24">
        <v>-100</v>
      </c>
      <c r="AM59" s="24">
        <v>-100</v>
      </c>
      <c r="AN59" s="24">
        <v>-100</v>
      </c>
      <c r="AO59" s="24">
        <v>-100</v>
      </c>
      <c r="AP59" s="24">
        <v>-100</v>
      </c>
      <c r="AQ59" s="24">
        <v>-100</v>
      </c>
      <c r="AR59" s="24">
        <v>-100</v>
      </c>
      <c r="AS59" s="24">
        <v>-100</v>
      </c>
      <c r="AT59" s="24">
        <v>-100</v>
      </c>
      <c r="AU59" s="24">
        <v>-100</v>
      </c>
      <c r="AV59" s="24">
        <v>-100</v>
      </c>
      <c r="AW59" s="24">
        <v>-100</v>
      </c>
      <c r="AX59" s="24">
        <v>-100</v>
      </c>
      <c r="AY59" s="24">
        <v>-100</v>
      </c>
      <c r="AZ59" s="24">
        <v>-100</v>
      </c>
      <c r="BA59" s="24">
        <v>-100</v>
      </c>
      <c r="BB59" s="24">
        <v>-100</v>
      </c>
      <c r="BC59" s="24">
        <v>-100</v>
      </c>
      <c r="BD59" s="24">
        <v>-100</v>
      </c>
      <c r="BE59" s="24">
        <v>-100</v>
      </c>
      <c r="BF59" s="24">
        <v>-100</v>
      </c>
      <c r="BG59" s="24">
        <v>-100</v>
      </c>
      <c r="BH59" s="24">
        <v>-100</v>
      </c>
      <c r="BI59" s="24">
        <v>-100</v>
      </c>
      <c r="BJ59" s="24">
        <v>-100</v>
      </c>
      <c r="BK59" s="24">
        <v>-100</v>
      </c>
      <c r="BL59" s="24">
        <v>-100</v>
      </c>
      <c r="BM59" s="24">
        <v>-100</v>
      </c>
      <c r="BN59" s="24">
        <v>-100</v>
      </c>
      <c r="BO59" s="24">
        <v>-100</v>
      </c>
      <c r="BP59" s="24">
        <v>-100</v>
      </c>
      <c r="BQ59" s="24">
        <v>-100</v>
      </c>
      <c r="BR59" s="24">
        <v>-100</v>
      </c>
      <c r="BS59" s="24">
        <v>-100</v>
      </c>
      <c r="BT59" s="24">
        <v>-100</v>
      </c>
      <c r="BU59" s="24">
        <v>-100</v>
      </c>
      <c r="BV59" s="24">
        <v>-100</v>
      </c>
      <c r="BW59" s="24">
        <v>-100</v>
      </c>
      <c r="BX59" s="24">
        <v>-100</v>
      </c>
      <c r="BY59" s="24">
        <v>-100</v>
      </c>
      <c r="BZ59" s="24">
        <v>-100</v>
      </c>
      <c r="CA59" s="24">
        <v>-100</v>
      </c>
      <c r="CB59" s="24">
        <v>-100</v>
      </c>
      <c r="CC59" s="24">
        <v>-100</v>
      </c>
      <c r="CD59" s="24">
        <v>-100</v>
      </c>
      <c r="CE59" s="24">
        <v>-100</v>
      </c>
    </row>
    <row r="60" spans="1:83" ht="14.65" thickBot="1" x14ac:dyDescent="0.5">
      <c r="A60" s="75"/>
      <c r="B60" s="75"/>
      <c r="C60" s="76"/>
      <c r="D60" s="77"/>
      <c r="AC60" s="115"/>
    </row>
    <row r="61" spans="1:83" ht="14.65" thickBot="1" x14ac:dyDescent="0.5">
      <c r="A61" s="75"/>
      <c r="B61" s="81" t="s">
        <v>146</v>
      </c>
      <c r="C61" s="76"/>
      <c r="D61" s="77" t="s">
        <v>346</v>
      </c>
      <c r="AG61" s="24">
        <v>-1000</v>
      </c>
      <c r="AH61" s="24">
        <v>-1000</v>
      </c>
      <c r="AI61" s="24">
        <v>-1000</v>
      </c>
      <c r="AJ61" s="24">
        <v>-1000</v>
      </c>
      <c r="AK61" s="24">
        <v>-1000</v>
      </c>
      <c r="AL61" s="24">
        <v>-1000</v>
      </c>
      <c r="AM61" s="24">
        <v>-500</v>
      </c>
      <c r="AN61" s="24">
        <v>-500</v>
      </c>
      <c r="AO61" s="24">
        <v>-500</v>
      </c>
      <c r="AP61" s="24">
        <v>-500</v>
      </c>
      <c r="AQ61" s="24">
        <v>-500</v>
      </c>
      <c r="AR61" s="24">
        <v>-500</v>
      </c>
      <c r="AS61" s="24">
        <v>-500</v>
      </c>
      <c r="AT61" s="24">
        <v>-500</v>
      </c>
      <c r="AU61" s="24">
        <v>-500</v>
      </c>
      <c r="AV61" s="24">
        <v>-500</v>
      </c>
      <c r="AW61" s="24">
        <v>-500</v>
      </c>
      <c r="AX61" s="24">
        <v>-500</v>
      </c>
      <c r="AY61" s="24">
        <v>-500</v>
      </c>
      <c r="AZ61" s="24">
        <v>-500</v>
      </c>
      <c r="BA61" s="24">
        <v>-500</v>
      </c>
      <c r="BB61" s="24">
        <v>-500</v>
      </c>
      <c r="BC61" s="24">
        <v>-500</v>
      </c>
      <c r="BD61" s="24">
        <v>-500</v>
      </c>
      <c r="BE61" s="24">
        <v>-500</v>
      </c>
      <c r="BF61" s="24">
        <v>-500</v>
      </c>
      <c r="BG61" s="24">
        <v>-500</v>
      </c>
      <c r="BH61" s="24">
        <v>-500</v>
      </c>
      <c r="BI61" s="24">
        <v>-500</v>
      </c>
      <c r="BJ61" s="24">
        <v>-500</v>
      </c>
      <c r="BK61" s="24">
        <v>-500</v>
      </c>
      <c r="BL61" s="24">
        <v>-500</v>
      </c>
      <c r="BM61" s="24">
        <v>-500</v>
      </c>
      <c r="BN61" s="24">
        <v>-500</v>
      </c>
      <c r="BO61" s="24">
        <v>-500</v>
      </c>
      <c r="BP61" s="24">
        <v>-500</v>
      </c>
      <c r="BQ61" s="24">
        <v>-500</v>
      </c>
      <c r="BR61" s="24">
        <v>-500</v>
      </c>
      <c r="BS61" s="24">
        <v>-500</v>
      </c>
      <c r="BT61" s="24">
        <v>-500</v>
      </c>
      <c r="BU61" s="24">
        <v>-500</v>
      </c>
      <c r="BV61" s="24">
        <v>-500</v>
      </c>
      <c r="BW61" s="24">
        <v>-500</v>
      </c>
      <c r="BX61" s="24">
        <v>-500</v>
      </c>
      <c r="BY61" s="24">
        <v>-500</v>
      </c>
      <c r="BZ61" s="24">
        <v>-500</v>
      </c>
      <c r="CA61" s="24">
        <v>-500</v>
      </c>
      <c r="CB61" s="24">
        <v>-500</v>
      </c>
      <c r="CC61" s="24">
        <v>-500</v>
      </c>
      <c r="CD61" s="24">
        <v>-500</v>
      </c>
      <c r="CE61" s="24">
        <v>-500</v>
      </c>
    </row>
    <row r="62" spans="1:83" ht="14.65" thickBot="1" x14ac:dyDescent="0.5">
      <c r="A62" s="75"/>
      <c r="B62" s="81" t="s">
        <v>146</v>
      </c>
      <c r="C62" s="76"/>
      <c r="D62" s="77" t="s">
        <v>345</v>
      </c>
      <c r="AG62" s="24">
        <v>-700</v>
      </c>
      <c r="AH62" s="24">
        <v>-700</v>
      </c>
      <c r="AI62" s="24">
        <v>-700</v>
      </c>
      <c r="AJ62" s="24">
        <v>-700</v>
      </c>
      <c r="AK62" s="24">
        <v>-700</v>
      </c>
      <c r="AL62" s="24">
        <v>-700</v>
      </c>
      <c r="AM62" s="24">
        <v>-700</v>
      </c>
      <c r="AN62" s="24">
        <v>-700</v>
      </c>
      <c r="AO62" s="24">
        <v>-700</v>
      </c>
      <c r="AP62" s="24">
        <v>-700</v>
      </c>
      <c r="AQ62" s="24">
        <v>-700</v>
      </c>
      <c r="AR62" s="24">
        <v>-700</v>
      </c>
      <c r="AS62" s="24">
        <v>-700</v>
      </c>
      <c r="AT62" s="24">
        <v>-700</v>
      </c>
      <c r="AU62" s="24">
        <v>-700</v>
      </c>
      <c r="AV62" s="24">
        <v>-700</v>
      </c>
      <c r="AW62" s="24">
        <v>-700</v>
      </c>
      <c r="AX62" s="24">
        <v>-700</v>
      </c>
      <c r="AY62" s="24">
        <v>-700</v>
      </c>
      <c r="AZ62" s="24">
        <v>-700</v>
      </c>
      <c r="BA62" s="24">
        <v>-700</v>
      </c>
      <c r="BB62" s="24">
        <v>-700</v>
      </c>
      <c r="BC62" s="24">
        <v>-700</v>
      </c>
      <c r="BD62" s="24">
        <v>-700</v>
      </c>
      <c r="BE62" s="24">
        <v>-700</v>
      </c>
      <c r="BF62" s="24">
        <v>-700</v>
      </c>
      <c r="BG62" s="24">
        <v>-700</v>
      </c>
      <c r="BH62" s="24">
        <v>-700</v>
      </c>
      <c r="BI62" s="24">
        <v>-700</v>
      </c>
      <c r="BJ62" s="24">
        <v>-700</v>
      </c>
      <c r="BK62" s="24">
        <v>-700</v>
      </c>
      <c r="BL62" s="24">
        <v>-700</v>
      </c>
      <c r="BM62" s="24">
        <v>-700</v>
      </c>
      <c r="BN62" s="24">
        <v>-700</v>
      </c>
      <c r="BO62" s="24">
        <v>-700</v>
      </c>
      <c r="BP62" s="24">
        <v>-700</v>
      </c>
      <c r="BQ62" s="24">
        <v>-700</v>
      </c>
      <c r="BR62" s="24">
        <v>-700</v>
      </c>
      <c r="BS62" s="24">
        <v>-700</v>
      </c>
      <c r="BT62" s="24">
        <v>-700</v>
      </c>
      <c r="BU62" s="24">
        <v>-700</v>
      </c>
      <c r="BV62" s="24">
        <v>-700</v>
      </c>
      <c r="BW62" s="24">
        <v>-700</v>
      </c>
      <c r="BX62" s="24">
        <v>-700</v>
      </c>
      <c r="BY62" s="24">
        <v>-700</v>
      </c>
      <c r="BZ62" s="24">
        <v>-700</v>
      </c>
      <c r="CA62" s="24">
        <v>-700</v>
      </c>
      <c r="CB62" s="24">
        <v>-700</v>
      </c>
      <c r="CC62" s="24">
        <v>-700</v>
      </c>
      <c r="CD62" s="24">
        <v>-700</v>
      </c>
      <c r="CE62" s="24">
        <v>-700</v>
      </c>
    </row>
    <row r="63" spans="1:83" ht="14.65" thickBot="1" x14ac:dyDescent="0.5">
      <c r="A63" s="75"/>
      <c r="B63" s="76"/>
      <c r="C63" s="76"/>
      <c r="D63" s="77" t="s">
        <v>351</v>
      </c>
      <c r="AG63" s="24">
        <v>100</v>
      </c>
      <c r="AH63" s="24">
        <v>100</v>
      </c>
      <c r="AI63" s="24">
        <v>100</v>
      </c>
      <c r="AJ63" s="24">
        <v>100</v>
      </c>
      <c r="AK63" s="24">
        <v>100</v>
      </c>
      <c r="AL63" s="24">
        <v>100</v>
      </c>
      <c r="AM63" s="24">
        <v>100</v>
      </c>
      <c r="AN63" s="24">
        <v>100</v>
      </c>
      <c r="AO63" s="24">
        <v>100</v>
      </c>
      <c r="AP63" s="24">
        <v>100</v>
      </c>
      <c r="AQ63" s="24">
        <v>100</v>
      </c>
      <c r="AR63" s="24">
        <v>100</v>
      </c>
      <c r="AS63" s="24">
        <v>100</v>
      </c>
      <c r="AT63" s="24">
        <v>100</v>
      </c>
      <c r="AU63" s="24">
        <v>100</v>
      </c>
      <c r="AV63" s="24">
        <v>100</v>
      </c>
      <c r="AW63" s="24">
        <v>100</v>
      </c>
      <c r="AX63" s="24">
        <v>100</v>
      </c>
      <c r="AY63" s="24">
        <v>100</v>
      </c>
      <c r="AZ63" s="24">
        <v>100</v>
      </c>
      <c r="BA63" s="24">
        <v>100</v>
      </c>
      <c r="BB63" s="24">
        <v>100</v>
      </c>
      <c r="BC63" s="24">
        <v>100</v>
      </c>
      <c r="BD63" s="24">
        <v>100</v>
      </c>
      <c r="BE63" s="24">
        <v>100</v>
      </c>
      <c r="BF63" s="24">
        <v>100</v>
      </c>
      <c r="BG63" s="24">
        <v>100</v>
      </c>
      <c r="BH63" s="24">
        <v>100</v>
      </c>
      <c r="BI63" s="24">
        <v>100</v>
      </c>
      <c r="BJ63" s="24">
        <v>100</v>
      </c>
      <c r="BK63" s="24">
        <v>100</v>
      </c>
      <c r="BL63" s="24">
        <v>100</v>
      </c>
      <c r="BM63" s="24">
        <v>100</v>
      </c>
      <c r="BN63" s="24">
        <v>100</v>
      </c>
      <c r="BO63" s="24">
        <v>100</v>
      </c>
      <c r="BP63" s="24">
        <v>100</v>
      </c>
      <c r="BQ63" s="24">
        <v>100</v>
      </c>
      <c r="BR63" s="24">
        <v>100</v>
      </c>
      <c r="BS63" s="24">
        <v>100</v>
      </c>
      <c r="BT63" s="24">
        <v>100</v>
      </c>
      <c r="BU63" s="24">
        <v>100</v>
      </c>
      <c r="BV63" s="24">
        <v>100</v>
      </c>
      <c r="BW63" s="24">
        <v>100</v>
      </c>
      <c r="BX63" s="24">
        <v>100</v>
      </c>
      <c r="BY63" s="24">
        <v>100</v>
      </c>
      <c r="BZ63" s="24">
        <v>100</v>
      </c>
      <c r="CA63" s="24">
        <v>100</v>
      </c>
      <c r="CB63" s="24">
        <v>100</v>
      </c>
      <c r="CC63" s="24">
        <v>100</v>
      </c>
      <c r="CD63" s="24">
        <v>100</v>
      </c>
      <c r="CE63" s="24">
        <v>100</v>
      </c>
    </row>
    <row r="64" spans="1:83" ht="14.65" thickBot="1" x14ac:dyDescent="0.5">
      <c r="A64" s="75"/>
      <c r="B64" s="81"/>
      <c r="C64" s="76"/>
      <c r="D64" s="77" t="s">
        <v>302</v>
      </c>
    </row>
    <row r="65" spans="1:83" ht="14.65" thickBot="1" x14ac:dyDescent="0.5">
      <c r="A65" s="75"/>
      <c r="B65" s="81" t="s">
        <v>146</v>
      </c>
      <c r="C65" s="76"/>
      <c r="D65" s="77" t="s">
        <v>413</v>
      </c>
      <c r="AR65" s="24">
        <v>-500</v>
      </c>
      <c r="AS65" s="24">
        <v>-500</v>
      </c>
      <c r="AT65" s="24">
        <v>-500</v>
      </c>
      <c r="AU65" s="24">
        <v>-500</v>
      </c>
      <c r="AV65" s="24">
        <v>-500</v>
      </c>
      <c r="AW65" s="24">
        <v>-500</v>
      </c>
      <c r="AX65" s="24">
        <v>-500</v>
      </c>
      <c r="AY65" s="24">
        <v>-500</v>
      </c>
      <c r="AZ65" s="24">
        <v>-500</v>
      </c>
      <c r="BA65" s="24">
        <v>-500</v>
      </c>
      <c r="BB65" s="24">
        <v>-500</v>
      </c>
      <c r="BC65" s="24">
        <v>-500</v>
      </c>
      <c r="BD65" s="24">
        <v>-500</v>
      </c>
      <c r="BE65" s="24">
        <v>-500</v>
      </c>
      <c r="BF65" s="24">
        <v>-500</v>
      </c>
      <c r="BG65" s="24">
        <v>-500</v>
      </c>
      <c r="BH65" s="24">
        <v>-500</v>
      </c>
      <c r="BI65" s="24">
        <v>-500</v>
      </c>
      <c r="BJ65" s="24">
        <v>-500</v>
      </c>
      <c r="BK65" s="24">
        <v>-500</v>
      </c>
      <c r="BL65" s="24">
        <v>-500</v>
      </c>
      <c r="BM65" s="24">
        <v>-500</v>
      </c>
      <c r="BN65" s="24">
        <v>-500</v>
      </c>
      <c r="BO65" s="24">
        <v>-500</v>
      </c>
      <c r="BP65" s="24">
        <v>-500</v>
      </c>
      <c r="BQ65" s="24">
        <v>-500</v>
      </c>
      <c r="BR65" s="24">
        <v>-500</v>
      </c>
      <c r="BS65" s="24">
        <v>-500</v>
      </c>
      <c r="BT65" s="24">
        <v>-500</v>
      </c>
      <c r="BU65" s="24">
        <v>-500</v>
      </c>
      <c r="BV65" s="24">
        <v>-500</v>
      </c>
      <c r="BW65" s="24">
        <v>-500</v>
      </c>
      <c r="BX65" s="24">
        <v>-500</v>
      </c>
      <c r="BY65" s="24">
        <v>-500</v>
      </c>
      <c r="BZ65" s="24">
        <v>-500</v>
      </c>
      <c r="CA65" s="24">
        <v>-500</v>
      </c>
      <c r="CB65" s="24">
        <v>-500</v>
      </c>
      <c r="CC65" s="24">
        <v>-500</v>
      </c>
      <c r="CD65" s="24">
        <v>-500</v>
      </c>
      <c r="CE65" s="24">
        <v>-500</v>
      </c>
    </row>
    <row r="66" spans="1:83" ht="14.65" thickBot="1" x14ac:dyDescent="0.5">
      <c r="A66" s="75"/>
      <c r="B66" s="81" t="s">
        <v>146</v>
      </c>
      <c r="C66" s="76"/>
      <c r="D66" s="77" t="s">
        <v>90</v>
      </c>
      <c r="AR66" s="24">
        <v>-400</v>
      </c>
      <c r="AS66" s="24">
        <v>-400</v>
      </c>
      <c r="AT66" s="24">
        <v>-400</v>
      </c>
      <c r="AU66" s="24">
        <v>-400</v>
      </c>
      <c r="AV66" s="24">
        <v>-400</v>
      </c>
      <c r="AW66" s="24">
        <v>-400</v>
      </c>
      <c r="AX66" s="24">
        <v>-400</v>
      </c>
      <c r="AY66" s="24">
        <v>-400</v>
      </c>
      <c r="AZ66" s="24">
        <v>-400</v>
      </c>
      <c r="BA66" s="24">
        <v>-400</v>
      </c>
      <c r="BB66" s="24">
        <v>-400</v>
      </c>
      <c r="BC66" s="24">
        <v>-400</v>
      </c>
      <c r="BD66" s="24">
        <v>-400</v>
      </c>
      <c r="BE66" s="24">
        <v>-400</v>
      </c>
      <c r="BF66" s="24">
        <v>-400</v>
      </c>
      <c r="BG66" s="24">
        <v>-400</v>
      </c>
      <c r="BH66" s="24">
        <v>-400</v>
      </c>
      <c r="BI66" s="24">
        <v>-400</v>
      </c>
      <c r="BJ66" s="24">
        <v>-400</v>
      </c>
      <c r="BK66" s="24">
        <v>-400</v>
      </c>
      <c r="BL66" s="24">
        <v>-400</v>
      </c>
      <c r="BM66" s="24">
        <v>-400</v>
      </c>
      <c r="BN66" s="24">
        <v>-400</v>
      </c>
      <c r="BO66" s="24">
        <v>-400</v>
      </c>
      <c r="BP66" s="24">
        <v>-400</v>
      </c>
      <c r="BQ66" s="24">
        <v>-400</v>
      </c>
      <c r="BR66" s="24">
        <v>-400</v>
      </c>
      <c r="BS66" s="24">
        <v>-400</v>
      </c>
      <c r="BT66" s="24">
        <v>-400</v>
      </c>
      <c r="BU66" s="24">
        <v>-400</v>
      </c>
      <c r="BV66" s="24">
        <v>-400</v>
      </c>
      <c r="BW66" s="24">
        <v>-400</v>
      </c>
      <c r="BX66" s="24">
        <v>-400</v>
      </c>
      <c r="BY66" s="24">
        <v>-400</v>
      </c>
      <c r="BZ66" s="24">
        <v>-400</v>
      </c>
      <c r="CA66" s="24">
        <v>-400</v>
      </c>
      <c r="CB66" s="24">
        <v>-400</v>
      </c>
      <c r="CC66" s="24">
        <v>-400</v>
      </c>
      <c r="CD66" s="24">
        <v>-400</v>
      </c>
      <c r="CE66" s="24">
        <v>-400</v>
      </c>
    </row>
    <row r="67" spans="1:83" x14ac:dyDescent="0.45">
      <c r="A67" s="75"/>
      <c r="B67" s="75"/>
      <c r="C67" s="76"/>
      <c r="D67" s="77" t="s">
        <v>362</v>
      </c>
      <c r="AG67" s="24">
        <f>-200*AG8</f>
        <v>-1000</v>
      </c>
      <c r="AH67" s="24">
        <f t="shared" ref="AH67:AO67" si="241">-200*AH8</f>
        <v>-1000</v>
      </c>
      <c r="AI67" s="24">
        <f t="shared" si="241"/>
        <v>-1000</v>
      </c>
      <c r="AJ67" s="24">
        <f t="shared" si="241"/>
        <v>-1000</v>
      </c>
      <c r="AK67" s="24">
        <f t="shared" si="241"/>
        <v>-1000</v>
      </c>
      <c r="AL67" s="24">
        <f t="shared" si="241"/>
        <v>-1000</v>
      </c>
      <c r="AM67" s="24">
        <f t="shared" si="241"/>
        <v>-1000</v>
      </c>
      <c r="AN67" s="24">
        <f t="shared" si="241"/>
        <v>-1000</v>
      </c>
      <c r="AO67" s="24">
        <f t="shared" si="241"/>
        <v>-1000</v>
      </c>
      <c r="AP67" s="24">
        <f t="shared" ref="AP67:AQ67" si="242">-200*AP8</f>
        <v>-1000</v>
      </c>
      <c r="AQ67" s="24">
        <f t="shared" si="242"/>
        <v>-1000</v>
      </c>
      <c r="AR67" s="24">
        <f t="shared" ref="AR67:AS67" si="243">-200*AR8</f>
        <v>-1000</v>
      </c>
      <c r="AS67" s="24">
        <f t="shared" si="243"/>
        <v>-1000</v>
      </c>
      <c r="AT67" s="24">
        <f t="shared" ref="AT67:BY67" si="244">-200*AT8</f>
        <v>-1000</v>
      </c>
      <c r="AU67" s="24">
        <f t="shared" si="244"/>
        <v>-1000</v>
      </c>
      <c r="AV67" s="24">
        <f t="shared" si="244"/>
        <v>-1000</v>
      </c>
      <c r="AW67" s="24">
        <f t="shared" si="244"/>
        <v>-1000</v>
      </c>
      <c r="AX67" s="24">
        <f t="shared" si="244"/>
        <v>-1000</v>
      </c>
      <c r="AY67" s="24">
        <f t="shared" si="244"/>
        <v>-1000</v>
      </c>
      <c r="AZ67" s="24">
        <f t="shared" si="244"/>
        <v>-1000</v>
      </c>
      <c r="BA67" s="24">
        <f t="shared" si="244"/>
        <v>-1000</v>
      </c>
      <c r="BB67" s="24">
        <f t="shared" si="244"/>
        <v>-1000</v>
      </c>
      <c r="BC67" s="24">
        <f t="shared" si="244"/>
        <v>-1000</v>
      </c>
      <c r="BD67" s="24">
        <f t="shared" si="244"/>
        <v>-1000</v>
      </c>
      <c r="BE67" s="24">
        <f t="shared" si="244"/>
        <v>-1000</v>
      </c>
      <c r="BF67" s="24">
        <f t="shared" si="244"/>
        <v>-1000</v>
      </c>
      <c r="BG67" s="24">
        <f t="shared" si="244"/>
        <v>-1000</v>
      </c>
      <c r="BH67" s="24">
        <f t="shared" si="244"/>
        <v>-1000</v>
      </c>
      <c r="BI67" s="24">
        <f t="shared" si="244"/>
        <v>-1000</v>
      </c>
      <c r="BJ67" s="24">
        <f t="shared" si="244"/>
        <v>-1000</v>
      </c>
      <c r="BK67" s="24">
        <f t="shared" si="244"/>
        <v>-1000</v>
      </c>
      <c r="BL67" s="24">
        <f t="shared" si="244"/>
        <v>-1000</v>
      </c>
      <c r="BM67" s="24">
        <f t="shared" si="244"/>
        <v>-1000</v>
      </c>
      <c r="BN67" s="24">
        <f t="shared" si="244"/>
        <v>-1000</v>
      </c>
      <c r="BO67" s="24">
        <f t="shared" si="244"/>
        <v>-1000</v>
      </c>
      <c r="BP67" s="24">
        <f t="shared" si="244"/>
        <v>-1000</v>
      </c>
      <c r="BQ67" s="24">
        <f t="shared" si="244"/>
        <v>-1000</v>
      </c>
      <c r="BR67" s="24">
        <f t="shared" si="244"/>
        <v>-1000</v>
      </c>
      <c r="BS67" s="24">
        <f t="shared" si="244"/>
        <v>-1000</v>
      </c>
      <c r="BT67" s="24">
        <f t="shared" si="244"/>
        <v>-1000</v>
      </c>
      <c r="BU67" s="24">
        <f t="shared" si="244"/>
        <v>-1000</v>
      </c>
      <c r="BV67" s="24">
        <f t="shared" si="244"/>
        <v>-1000</v>
      </c>
      <c r="BW67" s="24">
        <f t="shared" si="244"/>
        <v>-1000</v>
      </c>
      <c r="BX67" s="24">
        <f t="shared" si="244"/>
        <v>-1000</v>
      </c>
      <c r="BY67" s="24">
        <f t="shared" si="244"/>
        <v>-1000</v>
      </c>
      <c r="BZ67" s="24">
        <f t="shared" ref="BZ67:CB67" si="245">-200*BZ8</f>
        <v>-1200</v>
      </c>
      <c r="CA67" s="24">
        <f t="shared" si="245"/>
        <v>-1400</v>
      </c>
      <c r="CB67" s="24">
        <f t="shared" si="245"/>
        <v>-1600</v>
      </c>
      <c r="CC67" s="24">
        <f t="shared" ref="CC67:CE67" si="246">-200*CC8</f>
        <v>-1800</v>
      </c>
      <c r="CD67" s="24">
        <f t="shared" si="246"/>
        <v>-2000</v>
      </c>
      <c r="CE67" s="24">
        <f t="shared" si="246"/>
        <v>-2200</v>
      </c>
    </row>
    <row r="68" spans="1:83" x14ac:dyDescent="0.45">
      <c r="A68" s="75"/>
      <c r="B68" s="75"/>
      <c r="C68" s="76"/>
      <c r="D68" s="77" t="s">
        <v>350</v>
      </c>
      <c r="AG68" s="24">
        <f>-1.1*AG67</f>
        <v>1100</v>
      </c>
      <c r="AH68" s="24">
        <f t="shared" ref="AH68:AO68" si="247">-1.1*AH67</f>
        <v>1100</v>
      </c>
      <c r="AI68" s="24">
        <f t="shared" si="247"/>
        <v>1100</v>
      </c>
      <c r="AJ68" s="24">
        <f t="shared" si="247"/>
        <v>1100</v>
      </c>
      <c r="AK68" s="24">
        <f t="shared" si="247"/>
        <v>1100</v>
      </c>
      <c r="AL68" s="24">
        <f t="shared" si="247"/>
        <v>1100</v>
      </c>
      <c r="AM68" s="24">
        <f t="shared" si="247"/>
        <v>1100</v>
      </c>
      <c r="AN68" s="24">
        <f t="shared" si="247"/>
        <v>1100</v>
      </c>
      <c r="AO68" s="24">
        <f t="shared" si="247"/>
        <v>1100</v>
      </c>
      <c r="AP68" s="24">
        <f t="shared" ref="AP68:AQ68" si="248">-1.1*AP67</f>
        <v>1100</v>
      </c>
      <c r="AQ68" s="24">
        <f t="shared" si="248"/>
        <v>1100</v>
      </c>
      <c r="AR68" s="24">
        <v>3500</v>
      </c>
      <c r="AS68" s="24">
        <v>3500</v>
      </c>
      <c r="AT68" s="24">
        <v>3500</v>
      </c>
      <c r="AU68" s="24">
        <v>3500</v>
      </c>
      <c r="AV68" s="24">
        <v>3500</v>
      </c>
      <c r="AW68" s="24">
        <v>3500</v>
      </c>
      <c r="AX68" s="24">
        <v>3500</v>
      </c>
      <c r="AY68" s="24">
        <v>3500</v>
      </c>
      <c r="AZ68" s="24">
        <v>3500</v>
      </c>
      <c r="BA68" s="24">
        <v>3500</v>
      </c>
      <c r="BB68" s="24">
        <v>3500</v>
      </c>
      <c r="BC68" s="24">
        <v>3500</v>
      </c>
      <c r="BD68" s="24">
        <v>3500</v>
      </c>
      <c r="BE68" s="24">
        <v>3500</v>
      </c>
      <c r="BF68" s="24">
        <v>3500</v>
      </c>
      <c r="BG68" s="24">
        <v>3500</v>
      </c>
      <c r="BH68" s="24">
        <v>3500</v>
      </c>
      <c r="BI68" s="24">
        <v>3500</v>
      </c>
      <c r="BJ68" s="24">
        <v>3500</v>
      </c>
      <c r="BK68" s="24">
        <v>3500</v>
      </c>
      <c r="BL68" s="24">
        <v>3500</v>
      </c>
      <c r="BM68" s="24">
        <v>3500</v>
      </c>
      <c r="BN68" s="24">
        <v>3500</v>
      </c>
      <c r="BO68" s="24">
        <v>3500</v>
      </c>
      <c r="BP68" s="24">
        <v>3500</v>
      </c>
      <c r="BQ68" s="24">
        <v>3500</v>
      </c>
      <c r="BR68" s="24">
        <v>3500</v>
      </c>
      <c r="BS68" s="24">
        <v>3500</v>
      </c>
      <c r="BT68" s="24">
        <v>3500</v>
      </c>
      <c r="BU68" s="24">
        <v>3500</v>
      </c>
      <c r="BV68" s="24">
        <v>3500</v>
      </c>
      <c r="BW68" s="24">
        <v>3500</v>
      </c>
      <c r="BX68" s="24">
        <v>3500</v>
      </c>
      <c r="BY68" s="24">
        <v>3500</v>
      </c>
      <c r="BZ68" s="24">
        <v>3501</v>
      </c>
      <c r="CA68" s="24">
        <v>3502</v>
      </c>
      <c r="CB68" s="24">
        <v>3503</v>
      </c>
      <c r="CC68" s="24">
        <v>3504</v>
      </c>
      <c r="CD68" s="24">
        <v>3505</v>
      </c>
      <c r="CE68" s="24">
        <v>3506</v>
      </c>
    </row>
    <row r="69" spans="1:83" x14ac:dyDescent="0.45">
      <c r="AL69" s="24" t="s">
        <v>349</v>
      </c>
      <c r="AM69" s="24" t="s">
        <v>402</v>
      </c>
    </row>
    <row r="71" spans="1:83" s="116" customFormat="1" x14ac:dyDescent="0.45">
      <c r="A71" s="126"/>
      <c r="B71" s="126"/>
      <c r="C71" s="127"/>
      <c r="D71" s="128" t="s">
        <v>324</v>
      </c>
      <c r="F71" s="116">
        <f>-SUMIF(F19:F54, "&gt;=0")*$C$102</f>
        <v>-21.599999999999998</v>
      </c>
      <c r="G71" s="116">
        <f t="shared" ref="G71:AI71" si="249">-SUMIF(G19:G54, "&gt;=0")*$C$102</f>
        <v>-21.599999999999998</v>
      </c>
      <c r="H71" s="116">
        <f t="shared" si="249"/>
        <v>-21.599999999999998</v>
      </c>
      <c r="I71" s="116">
        <f t="shared" si="249"/>
        <v>-29.7</v>
      </c>
      <c r="J71" s="116">
        <f t="shared" si="249"/>
        <v>-29.7</v>
      </c>
      <c r="K71" s="116">
        <f t="shared" si="249"/>
        <v>-29.7</v>
      </c>
      <c r="L71" s="116">
        <f t="shared" si="249"/>
        <v>-49.5</v>
      </c>
      <c r="M71" s="116">
        <f t="shared" si="249"/>
        <v>-49.5</v>
      </c>
      <c r="N71" s="116">
        <f t="shared" si="249"/>
        <v>-49.5</v>
      </c>
      <c r="O71" s="116">
        <f t="shared" si="249"/>
        <v>-69.3</v>
      </c>
      <c r="P71" s="116">
        <f t="shared" si="249"/>
        <v>-69.3</v>
      </c>
      <c r="Q71" s="116">
        <f t="shared" si="249"/>
        <v>-69.3</v>
      </c>
      <c r="R71" s="116">
        <f t="shared" si="249"/>
        <v>-69.3</v>
      </c>
      <c r="S71" s="116">
        <f t="shared" si="249"/>
        <v>-69.3</v>
      </c>
      <c r="T71" s="116">
        <f t="shared" si="249"/>
        <v>-69.3</v>
      </c>
      <c r="U71" s="116">
        <f t="shared" si="249"/>
        <v>-75.3</v>
      </c>
      <c r="V71" s="116">
        <f t="shared" si="249"/>
        <v>-75.3</v>
      </c>
      <c r="W71" s="116">
        <f t="shared" si="249"/>
        <v>-75.3</v>
      </c>
      <c r="X71" s="116">
        <f t="shared" si="249"/>
        <v>-75.3</v>
      </c>
      <c r="Y71" s="116">
        <f t="shared" si="249"/>
        <v>-75.3</v>
      </c>
      <c r="Z71" s="116">
        <f t="shared" si="249"/>
        <v>-75.3</v>
      </c>
      <c r="AA71" s="116">
        <f t="shared" si="249"/>
        <v>-126.53999999999999</v>
      </c>
      <c r="AB71" s="116">
        <f t="shared" si="249"/>
        <v>-126.53999999999999</v>
      </c>
      <c r="AC71" s="116">
        <f t="shared" si="249"/>
        <v>-126.53999999999999</v>
      </c>
      <c r="AD71" s="116">
        <f t="shared" si="249"/>
        <v>-126.53999999999999</v>
      </c>
      <c r="AE71" s="116">
        <f t="shared" si="249"/>
        <v>-126.53999999999999</v>
      </c>
      <c r="AF71" s="116">
        <f t="shared" si="249"/>
        <v>-126.53999999999999</v>
      </c>
      <c r="AG71" s="116">
        <f t="shared" si="249"/>
        <v>-126.53999999999999</v>
      </c>
      <c r="AH71" s="116">
        <f t="shared" si="249"/>
        <v>-126.53999999999999</v>
      </c>
      <c r="AI71" s="116">
        <f t="shared" si="249"/>
        <v>-126.53999999999999</v>
      </c>
      <c r="AJ71" s="116">
        <f t="shared" ref="AJ71:AL71" si="250">-SUMIF(AJ19:AJ54, "&gt;=0")*$C$102</f>
        <v>-126.53999999999999</v>
      </c>
      <c r="AK71" s="116">
        <f t="shared" si="250"/>
        <v>-126.53999999999999</v>
      </c>
      <c r="AL71" s="116">
        <f t="shared" si="250"/>
        <v>-126.53999999999999</v>
      </c>
      <c r="AM71" s="116">
        <f t="shared" ref="AM71:AO71" si="251">-SUMIF(AM19:AM54, "&gt;=0")*$C$102</f>
        <v>-126.53999999999999</v>
      </c>
      <c r="AN71" s="116">
        <f t="shared" si="251"/>
        <v>-126.53999999999999</v>
      </c>
      <c r="AO71" s="116">
        <f t="shared" si="251"/>
        <v>-126.53999999999999</v>
      </c>
      <c r="AP71" s="116">
        <f t="shared" ref="AP71:AQ71" si="252">-SUMIF(AP19:AP54, "&gt;=0")*$C$102</f>
        <v>-126.53999999999999</v>
      </c>
      <c r="AQ71" s="116">
        <f t="shared" si="252"/>
        <v>-126.53999999999999</v>
      </c>
      <c r="AR71" s="116">
        <f t="shared" ref="AR71:AS71" si="253">-SUMIF(AR19:AR54, "&gt;=0")*$C$102</f>
        <v>-126.53999999999999</v>
      </c>
      <c r="AS71" s="116">
        <f t="shared" si="253"/>
        <v>-102.78</v>
      </c>
      <c r="AT71" s="116">
        <f t="shared" ref="AT71:BY71" si="254">-SUMIF(AT19:AT54, "&gt;=0")*$C$102</f>
        <v>-102.78</v>
      </c>
      <c r="AU71" s="116">
        <f t="shared" si="254"/>
        <v>-102.78</v>
      </c>
      <c r="AV71" s="116">
        <f t="shared" si="254"/>
        <v>-102.78</v>
      </c>
      <c r="AW71" s="116">
        <f t="shared" si="254"/>
        <v>-102.78</v>
      </c>
      <c r="AX71" s="116">
        <f t="shared" si="254"/>
        <v>-102.78</v>
      </c>
      <c r="AY71" s="116">
        <f t="shared" si="254"/>
        <v>-102.78</v>
      </c>
      <c r="AZ71" s="116">
        <f t="shared" si="254"/>
        <v>-102.78</v>
      </c>
      <c r="BA71" s="116">
        <f t="shared" si="254"/>
        <v>-102.78</v>
      </c>
      <c r="BB71" s="116">
        <f t="shared" si="254"/>
        <v>-102.78</v>
      </c>
      <c r="BC71" s="116">
        <f t="shared" si="254"/>
        <v>-102.78</v>
      </c>
      <c r="BD71" s="116">
        <f t="shared" si="254"/>
        <v>-102.78</v>
      </c>
      <c r="BE71" s="116">
        <f t="shared" si="254"/>
        <v>-102.78</v>
      </c>
      <c r="BF71" s="116">
        <f t="shared" si="254"/>
        <v>-102.78</v>
      </c>
      <c r="BG71" s="116">
        <f t="shared" si="254"/>
        <v>-102.78</v>
      </c>
      <c r="BH71" s="116">
        <f t="shared" si="254"/>
        <v>-102.78</v>
      </c>
      <c r="BI71" s="116">
        <f t="shared" si="254"/>
        <v>-102.78</v>
      </c>
      <c r="BJ71" s="116">
        <f t="shared" si="254"/>
        <v>-102.78</v>
      </c>
      <c r="BK71" s="116">
        <f t="shared" si="254"/>
        <v>-102.78</v>
      </c>
      <c r="BL71" s="116">
        <f t="shared" si="254"/>
        <v>-102.78</v>
      </c>
      <c r="BM71" s="116">
        <f t="shared" si="254"/>
        <v>-102.78</v>
      </c>
      <c r="BN71" s="116">
        <f t="shared" si="254"/>
        <v>-102.78</v>
      </c>
      <c r="BO71" s="116">
        <f t="shared" si="254"/>
        <v>-102.78</v>
      </c>
      <c r="BP71" s="116">
        <f t="shared" si="254"/>
        <v>-102.78</v>
      </c>
      <c r="BQ71" s="116">
        <f t="shared" si="254"/>
        <v>-102.78</v>
      </c>
      <c r="BR71" s="116">
        <f t="shared" si="254"/>
        <v>-102.78</v>
      </c>
      <c r="BS71" s="116">
        <f t="shared" si="254"/>
        <v>-102.78</v>
      </c>
      <c r="BT71" s="116">
        <f t="shared" si="254"/>
        <v>-102.78</v>
      </c>
      <c r="BU71" s="116">
        <f t="shared" si="254"/>
        <v>-102.78</v>
      </c>
      <c r="BV71" s="116">
        <f t="shared" si="254"/>
        <v>-102.78</v>
      </c>
      <c r="BW71" s="116">
        <f t="shared" si="254"/>
        <v>-102.78</v>
      </c>
      <c r="BX71" s="116">
        <f t="shared" si="254"/>
        <v>-102.78</v>
      </c>
      <c r="BY71" s="116">
        <f t="shared" si="254"/>
        <v>-102.78</v>
      </c>
      <c r="BZ71" s="116">
        <f t="shared" ref="BZ71:CB71" si="255">-SUMIF(BZ19:BZ54, "&gt;=0")*$C$102</f>
        <v>-102.78</v>
      </c>
      <c r="CA71" s="116">
        <f t="shared" si="255"/>
        <v>-102.78</v>
      </c>
      <c r="CB71" s="116">
        <f t="shared" si="255"/>
        <v>-102.78</v>
      </c>
      <c r="CC71" s="116">
        <f t="shared" ref="CC71:CE71" si="256">-SUMIF(CC19:CC54, "&gt;=0")*$C$102</f>
        <v>-102.78</v>
      </c>
      <c r="CD71" s="116">
        <f t="shared" si="256"/>
        <v>-102.78</v>
      </c>
      <c r="CE71" s="116">
        <f t="shared" si="256"/>
        <v>-102.78</v>
      </c>
    </row>
    <row r="72" spans="1:83" x14ac:dyDescent="0.45">
      <c r="D72" s="117"/>
      <c r="AG72" s="24">
        <f t="shared" ref="AG72:AI72" si="257">$AG$76*$C$102/3</f>
        <v>-100</v>
      </c>
      <c r="AH72" s="24">
        <f t="shared" si="257"/>
        <v>-100</v>
      </c>
      <c r="AI72" s="24">
        <f t="shared" si="257"/>
        <v>-100</v>
      </c>
      <c r="AJ72" s="24">
        <f t="shared" ref="AJ72:CE72" si="258">$AG$76*$C$102/3</f>
        <v>-100</v>
      </c>
      <c r="AK72" s="24">
        <f t="shared" si="258"/>
        <v>-100</v>
      </c>
      <c r="AL72" s="24">
        <f t="shared" si="258"/>
        <v>-100</v>
      </c>
      <c r="AM72" s="24">
        <f t="shared" si="258"/>
        <v>-100</v>
      </c>
      <c r="AN72" s="24">
        <f t="shared" si="258"/>
        <v>-100</v>
      </c>
      <c r="AO72" s="24">
        <f t="shared" si="258"/>
        <v>-100</v>
      </c>
      <c r="AP72" s="24">
        <f t="shared" si="258"/>
        <v>-100</v>
      </c>
      <c r="AQ72" s="24">
        <f t="shared" si="258"/>
        <v>-100</v>
      </c>
      <c r="AR72" s="24">
        <f t="shared" si="258"/>
        <v>-100</v>
      </c>
      <c r="AS72" s="24">
        <f t="shared" si="258"/>
        <v>-100</v>
      </c>
      <c r="AT72" s="24">
        <f t="shared" si="258"/>
        <v>-100</v>
      </c>
      <c r="AU72" s="24">
        <f t="shared" si="258"/>
        <v>-100</v>
      </c>
      <c r="AV72" s="24">
        <f t="shared" si="258"/>
        <v>-100</v>
      </c>
      <c r="AW72" s="24">
        <f t="shared" si="258"/>
        <v>-100</v>
      </c>
      <c r="AX72" s="24">
        <f t="shared" si="258"/>
        <v>-100</v>
      </c>
      <c r="AY72" s="24">
        <f t="shared" si="258"/>
        <v>-100</v>
      </c>
      <c r="AZ72" s="24">
        <f t="shared" si="258"/>
        <v>-100</v>
      </c>
      <c r="BA72" s="24">
        <f t="shared" si="258"/>
        <v>-100</v>
      </c>
      <c r="BB72" s="24">
        <f t="shared" si="258"/>
        <v>-100</v>
      </c>
      <c r="BC72" s="24">
        <f t="shared" si="258"/>
        <v>-100</v>
      </c>
      <c r="BD72" s="24">
        <f t="shared" si="258"/>
        <v>-100</v>
      </c>
      <c r="BE72" s="24">
        <f t="shared" si="258"/>
        <v>-100</v>
      </c>
      <c r="BF72" s="24">
        <f t="shared" si="258"/>
        <v>-100</v>
      </c>
      <c r="BG72" s="24">
        <f t="shared" si="258"/>
        <v>-100</v>
      </c>
      <c r="BH72" s="24">
        <f t="shared" si="258"/>
        <v>-100</v>
      </c>
      <c r="BI72" s="24">
        <f t="shared" si="258"/>
        <v>-100</v>
      </c>
      <c r="BJ72" s="24">
        <f t="shared" si="258"/>
        <v>-100</v>
      </c>
      <c r="BK72" s="24">
        <f t="shared" si="258"/>
        <v>-100</v>
      </c>
      <c r="BL72" s="24">
        <f t="shared" si="258"/>
        <v>-100</v>
      </c>
      <c r="BM72" s="24">
        <f t="shared" si="258"/>
        <v>-100</v>
      </c>
      <c r="BN72" s="24">
        <f t="shared" si="258"/>
        <v>-100</v>
      </c>
      <c r="BO72" s="24">
        <f t="shared" si="258"/>
        <v>-100</v>
      </c>
      <c r="BP72" s="24">
        <f t="shared" si="258"/>
        <v>-100</v>
      </c>
      <c r="BQ72" s="24">
        <f t="shared" si="258"/>
        <v>-100</v>
      </c>
      <c r="BR72" s="24">
        <f t="shared" si="258"/>
        <v>-100</v>
      </c>
      <c r="BS72" s="24">
        <f t="shared" si="258"/>
        <v>-100</v>
      </c>
      <c r="BT72" s="24">
        <f t="shared" si="258"/>
        <v>-100</v>
      </c>
      <c r="BU72" s="24">
        <f t="shared" si="258"/>
        <v>-100</v>
      </c>
      <c r="BV72" s="24">
        <f t="shared" si="258"/>
        <v>-100</v>
      </c>
      <c r="BW72" s="24">
        <f t="shared" si="258"/>
        <v>-100</v>
      </c>
      <c r="BX72" s="24">
        <f t="shared" si="258"/>
        <v>-100</v>
      </c>
      <c r="BY72" s="24">
        <f t="shared" si="258"/>
        <v>-100</v>
      </c>
      <c r="BZ72" s="24">
        <f t="shared" si="258"/>
        <v>-100</v>
      </c>
      <c r="CA72" s="24">
        <f t="shared" si="258"/>
        <v>-100</v>
      </c>
      <c r="CB72" s="24">
        <f t="shared" si="258"/>
        <v>-100</v>
      </c>
      <c r="CC72" s="24">
        <f t="shared" si="258"/>
        <v>-100</v>
      </c>
      <c r="CD72" s="24">
        <f t="shared" si="258"/>
        <v>-100</v>
      </c>
      <c r="CE72" s="24">
        <f t="shared" si="258"/>
        <v>-100</v>
      </c>
    </row>
    <row r="75" spans="1:83" x14ac:dyDescent="0.45">
      <c r="AR75" s="24" t="s">
        <v>403</v>
      </c>
      <c r="AU75" s="24" t="s">
        <v>414</v>
      </c>
    </row>
    <row r="76" spans="1:83" x14ac:dyDescent="0.45">
      <c r="AF76" s="24" t="s">
        <v>347</v>
      </c>
      <c r="AG76" s="37">
        <v>-10000</v>
      </c>
      <c r="AI76" s="24" t="s">
        <v>243</v>
      </c>
      <c r="AJ76" s="24">
        <v>200</v>
      </c>
      <c r="BY76" s="24" t="s">
        <v>435</v>
      </c>
      <c r="BZ76" s="24">
        <v>-10000</v>
      </c>
    </row>
    <row r="77" spans="1:83" ht="28.5" x14ac:dyDescent="0.45">
      <c r="E77" s="25" t="s">
        <v>119</v>
      </c>
      <c r="M77" s="24" t="s">
        <v>202</v>
      </c>
      <c r="R77" s="24" t="s">
        <v>221</v>
      </c>
      <c r="AF77" s="24" t="s">
        <v>348</v>
      </c>
      <c r="AG77" s="24">
        <v>-600</v>
      </c>
      <c r="AQ77" s="24" t="s">
        <v>411</v>
      </c>
      <c r="AR77" s="24">
        <v>300</v>
      </c>
      <c r="AU77" s="24" t="s">
        <v>412</v>
      </c>
    </row>
    <row r="78" spans="1:83" x14ac:dyDescent="0.45">
      <c r="E78" s="24">
        <v>5000</v>
      </c>
      <c r="L78" s="24" t="s">
        <v>203</v>
      </c>
      <c r="R78" s="24">
        <v>-200</v>
      </c>
      <c r="AC78" s="24" t="s">
        <v>301</v>
      </c>
      <c r="AD78" s="24">
        <v>-5</v>
      </c>
    </row>
    <row r="79" spans="1:83" x14ac:dyDescent="0.45">
      <c r="L79" s="82">
        <v>-250</v>
      </c>
      <c r="AF79" s="115" t="s">
        <v>361</v>
      </c>
      <c r="AG79" s="24">
        <f>-(AG62+AG61+AG67)/2</f>
        <v>1350</v>
      </c>
      <c r="AH79" s="24">
        <f t="shared" ref="AH79:AL79" si="259">-(AH62+AH61+AH67)/2</f>
        <v>1350</v>
      </c>
      <c r="AI79" s="24">
        <f t="shared" si="259"/>
        <v>1350</v>
      </c>
      <c r="AJ79" s="24">
        <f t="shared" si="259"/>
        <v>1350</v>
      </c>
      <c r="AK79" s="24">
        <f t="shared" si="259"/>
        <v>1350</v>
      </c>
      <c r="AL79" s="24">
        <f t="shared" si="259"/>
        <v>1350</v>
      </c>
    </row>
    <row r="80" spans="1:83" x14ac:dyDescent="0.45">
      <c r="AC80" s="24" t="s">
        <v>337</v>
      </c>
      <c r="AD80" s="24">
        <f>-1200/30*2</f>
        <v>-80</v>
      </c>
    </row>
    <row r="82" spans="1:24" x14ac:dyDescent="0.45">
      <c r="K82" s="24" t="s">
        <v>197</v>
      </c>
      <c r="L82" s="24" t="s">
        <v>201</v>
      </c>
      <c r="X82" s="24" t="s">
        <v>201</v>
      </c>
    </row>
    <row r="83" spans="1:24" x14ac:dyDescent="0.45">
      <c r="K83" s="24">
        <v>185</v>
      </c>
      <c r="L83" s="24">
        <v>5000</v>
      </c>
      <c r="X83" s="24">
        <v>-5300</v>
      </c>
    </row>
    <row r="84" spans="1:24" s="27" customFormat="1" x14ac:dyDescent="0.45">
      <c r="A84" s="58"/>
      <c r="B84" s="58"/>
      <c r="C84" s="66"/>
      <c r="D84" s="61"/>
    </row>
    <row r="86" spans="1:24" x14ac:dyDescent="0.45">
      <c r="C86" s="23">
        <v>450</v>
      </c>
      <c r="D86" s="23" t="s">
        <v>254</v>
      </c>
    </row>
    <row r="87" spans="1:24" x14ac:dyDescent="0.45">
      <c r="C87" s="23">
        <v>1100</v>
      </c>
      <c r="D87" s="23" t="s">
        <v>259</v>
      </c>
    </row>
    <row r="88" spans="1:24" x14ac:dyDescent="0.45">
      <c r="C88" s="23">
        <v>600</v>
      </c>
      <c r="D88" s="23" t="s">
        <v>261</v>
      </c>
    </row>
    <row r="89" spans="1:24" x14ac:dyDescent="0.45">
      <c r="C89" s="23">
        <v>700</v>
      </c>
    </row>
    <row r="90" spans="1:24" x14ac:dyDescent="0.45">
      <c r="C90" s="35">
        <v>0.6</v>
      </c>
      <c r="D90" s="23" t="s">
        <v>257</v>
      </c>
    </row>
    <row r="91" spans="1:24" x14ac:dyDescent="0.45">
      <c r="C91" s="35">
        <v>0.6</v>
      </c>
      <c r="D91" s="23" t="s">
        <v>224</v>
      </c>
    </row>
    <row r="92" spans="1:24" x14ac:dyDescent="0.45">
      <c r="C92" s="23">
        <v>120</v>
      </c>
      <c r="D92" s="23" t="s">
        <v>141</v>
      </c>
    </row>
    <row r="93" spans="1:24" x14ac:dyDescent="0.45">
      <c r="C93" s="23">
        <v>200</v>
      </c>
      <c r="D93" s="23" t="s">
        <v>222</v>
      </c>
    </row>
    <row r="94" spans="1:24" x14ac:dyDescent="0.45">
      <c r="C94" s="23">
        <v>25</v>
      </c>
      <c r="D94" s="23" t="s">
        <v>157</v>
      </c>
    </row>
    <row r="95" spans="1:24" x14ac:dyDescent="0.45">
      <c r="C95" s="23">
        <v>320</v>
      </c>
      <c r="D95" s="23" t="s">
        <v>225</v>
      </c>
    </row>
    <row r="96" spans="1:24" x14ac:dyDescent="0.45">
      <c r="C96" s="23">
        <v>350</v>
      </c>
      <c r="D96" s="23" t="s">
        <v>258</v>
      </c>
    </row>
    <row r="97" spans="3:4" x14ac:dyDescent="0.45">
      <c r="C97" s="23">
        <v>100</v>
      </c>
      <c r="D97" s="23" t="s">
        <v>260</v>
      </c>
    </row>
    <row r="99" spans="3:4" x14ac:dyDescent="0.45">
      <c r="C99" s="35">
        <v>0.2</v>
      </c>
      <c r="D99" s="23" t="s">
        <v>298</v>
      </c>
    </row>
    <row r="100" spans="3:4" x14ac:dyDescent="0.45">
      <c r="C100" s="35">
        <v>0.04</v>
      </c>
      <c r="D100" s="23" t="s">
        <v>299</v>
      </c>
    </row>
    <row r="102" spans="3:4" x14ac:dyDescent="0.45">
      <c r="C102" s="35">
        <v>0.03</v>
      </c>
      <c r="D102" s="23" t="s">
        <v>287</v>
      </c>
    </row>
    <row r="104" spans="3:4" x14ac:dyDescent="0.45">
      <c r="D104" s="125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677-6511-4D3E-B7CE-86D18F0ED0F5}">
  <dimension ref="A1:CC87"/>
  <sheetViews>
    <sheetView tabSelected="1" workbookViewId="0">
      <selection activeCell="C8" sqref="C8"/>
    </sheetView>
  </sheetViews>
  <sheetFormatPr defaultColWidth="8.46484375" defaultRowHeight="14.25" x14ac:dyDescent="0.45"/>
  <cols>
    <col min="1" max="6" width="8.46484375" style="6"/>
    <col min="7" max="7" width="8.46484375" style="83"/>
    <col min="8" max="16384" width="8.46484375" style="6"/>
  </cols>
  <sheetData>
    <row r="1" spans="1:81" s="114" customFormat="1" x14ac:dyDescent="0.45">
      <c r="B1" s="114">
        <v>1</v>
      </c>
      <c r="C1" s="114">
        <f>B1+1</f>
        <v>2</v>
      </c>
      <c r="D1" s="114">
        <f t="shared" ref="D1:E1" si="0">C1+1</f>
        <v>3</v>
      </c>
      <c r="E1" s="114">
        <f t="shared" si="0"/>
        <v>4</v>
      </c>
      <c r="F1" s="114">
        <f t="shared" ref="F1:K1" si="1">E1+1</f>
        <v>5</v>
      </c>
      <c r="G1" s="114">
        <f>F1+1</f>
        <v>6</v>
      </c>
      <c r="H1" s="114">
        <f t="shared" si="1"/>
        <v>7</v>
      </c>
      <c r="I1" s="114">
        <f t="shared" si="1"/>
        <v>8</v>
      </c>
      <c r="J1" s="114">
        <f t="shared" si="1"/>
        <v>9</v>
      </c>
      <c r="K1" s="114">
        <f t="shared" si="1"/>
        <v>10</v>
      </c>
      <c r="L1" s="114">
        <f t="shared" ref="L1" si="2">K1+1</f>
        <v>11</v>
      </c>
      <c r="M1" s="114">
        <f t="shared" ref="M1" si="3">L1+1</f>
        <v>12</v>
      </c>
      <c r="N1" s="114">
        <f t="shared" ref="N1" si="4">M1+1</f>
        <v>13</v>
      </c>
      <c r="O1" s="114">
        <f t="shared" ref="O1" si="5">N1+1</f>
        <v>14</v>
      </c>
      <c r="P1" s="114">
        <f t="shared" ref="P1" si="6">O1+1</f>
        <v>15</v>
      </c>
      <c r="Q1" s="114">
        <f t="shared" ref="Q1" si="7">P1+1</f>
        <v>16</v>
      </c>
      <c r="R1" s="114">
        <f t="shared" ref="R1" si="8">Q1+1</f>
        <v>17</v>
      </c>
      <c r="S1" s="114">
        <f t="shared" ref="S1" si="9">R1+1</f>
        <v>18</v>
      </c>
      <c r="T1" s="114">
        <f t="shared" ref="T1" si="10">S1+1</f>
        <v>19</v>
      </c>
      <c r="U1" s="114">
        <f t="shared" ref="U1" si="11">T1+1</f>
        <v>20</v>
      </c>
      <c r="V1" s="114">
        <f t="shared" ref="V1" si="12">U1+1</f>
        <v>21</v>
      </c>
      <c r="W1" s="114">
        <f t="shared" ref="W1" si="13">V1+1</f>
        <v>22</v>
      </c>
      <c r="X1" s="114">
        <f t="shared" ref="X1" si="14">W1+1</f>
        <v>23</v>
      </c>
      <c r="Y1" s="114">
        <f t="shared" ref="Y1" si="15">X1+1</f>
        <v>24</v>
      </c>
      <c r="Z1" s="114">
        <f t="shared" ref="Z1" si="16">Y1+1</f>
        <v>25</v>
      </c>
      <c r="AA1" s="114">
        <f t="shared" ref="AA1" si="17">Z1+1</f>
        <v>26</v>
      </c>
      <c r="AB1" s="114">
        <f t="shared" ref="AB1:AC1" si="18">AA1+1</f>
        <v>27</v>
      </c>
      <c r="AC1" s="114">
        <f t="shared" si="18"/>
        <v>28</v>
      </c>
      <c r="AD1" s="114">
        <f t="shared" ref="AD1" si="19">AC1+1</f>
        <v>29</v>
      </c>
      <c r="AE1" s="114">
        <f t="shared" ref="AE1" si="20">AD1+1</f>
        <v>30</v>
      </c>
      <c r="AF1" s="114">
        <f t="shared" ref="AF1" si="21">AE1+1</f>
        <v>31</v>
      </c>
      <c r="AG1" s="114">
        <f t="shared" ref="AG1" si="22">AF1+1</f>
        <v>32</v>
      </c>
      <c r="AH1" s="114">
        <f t="shared" ref="AH1" si="23">AG1+1</f>
        <v>33</v>
      </c>
      <c r="AI1" s="114">
        <f t="shared" ref="AI1" si="24">AH1+1</f>
        <v>34</v>
      </c>
      <c r="AJ1" s="114">
        <f t="shared" ref="AJ1" si="25">AI1+1</f>
        <v>35</v>
      </c>
      <c r="AK1" s="114">
        <f t="shared" ref="AK1" si="26">AJ1+1</f>
        <v>36</v>
      </c>
      <c r="AL1" s="114">
        <f t="shared" ref="AL1" si="27">AK1+1</f>
        <v>37</v>
      </c>
      <c r="AM1" s="114">
        <f t="shared" ref="AM1" si="28">AL1+1</f>
        <v>38</v>
      </c>
      <c r="AN1" s="114">
        <f t="shared" ref="AN1" si="29">AM1+1</f>
        <v>39</v>
      </c>
      <c r="AO1" s="114">
        <f t="shared" ref="AO1" si="30">AN1+1</f>
        <v>40</v>
      </c>
      <c r="AP1" s="114">
        <f t="shared" ref="AP1" si="31">AO1+1</f>
        <v>41</v>
      </c>
      <c r="AQ1" s="114">
        <f t="shared" ref="AQ1" si="32">AP1+1</f>
        <v>42</v>
      </c>
      <c r="AR1" s="114">
        <f t="shared" ref="AR1" si="33">AQ1+1</f>
        <v>43</v>
      </c>
      <c r="AS1" s="114">
        <f t="shared" ref="AS1" si="34">AR1+1</f>
        <v>44</v>
      </c>
      <c r="AT1" s="114">
        <f t="shared" ref="AT1" si="35">AS1+1</f>
        <v>45</v>
      </c>
      <c r="AU1" s="114">
        <f t="shared" ref="AU1" si="36">AT1+1</f>
        <v>46</v>
      </c>
      <c r="AV1" s="114">
        <f t="shared" ref="AV1" si="37">AU1+1</f>
        <v>47</v>
      </c>
      <c r="AW1" s="114">
        <f t="shared" ref="AW1" si="38">AV1+1</f>
        <v>48</v>
      </c>
      <c r="AX1" s="114">
        <f t="shared" ref="AX1" si="39">AW1+1</f>
        <v>49</v>
      </c>
      <c r="AY1" s="114">
        <f t="shared" ref="AY1" si="40">AX1+1</f>
        <v>50</v>
      </c>
      <c r="AZ1" s="114">
        <f t="shared" ref="AZ1" si="41">AY1+1</f>
        <v>51</v>
      </c>
      <c r="BA1" s="114">
        <f t="shared" ref="BA1" si="42">AZ1+1</f>
        <v>52</v>
      </c>
      <c r="BB1" s="114">
        <f t="shared" ref="BB1" si="43">BA1+1</f>
        <v>53</v>
      </c>
      <c r="BC1" s="114">
        <f t="shared" ref="BC1" si="44">BB1+1</f>
        <v>54</v>
      </c>
      <c r="BD1" s="114">
        <f t="shared" ref="BD1" si="45">BC1+1</f>
        <v>55</v>
      </c>
      <c r="BE1" s="114">
        <f t="shared" ref="BE1" si="46">BD1+1</f>
        <v>56</v>
      </c>
      <c r="BF1" s="114">
        <f t="shared" ref="BF1" si="47">BE1+1</f>
        <v>57</v>
      </c>
      <c r="BG1" s="114">
        <f t="shared" ref="BG1" si="48">BF1+1</f>
        <v>58</v>
      </c>
      <c r="BH1" s="114">
        <f t="shared" ref="BH1" si="49">BG1+1</f>
        <v>59</v>
      </c>
      <c r="BI1" s="114">
        <f t="shared" ref="BI1" si="50">BH1+1</f>
        <v>60</v>
      </c>
      <c r="BJ1" s="114">
        <f t="shared" ref="BJ1" si="51">BI1+1</f>
        <v>61</v>
      </c>
      <c r="BK1" s="114">
        <f t="shared" ref="BK1" si="52">BJ1+1</f>
        <v>62</v>
      </c>
      <c r="BL1" s="114">
        <f t="shared" ref="BL1" si="53">BK1+1</f>
        <v>63</v>
      </c>
      <c r="BM1" s="114">
        <f t="shared" ref="BM1" si="54">BL1+1</f>
        <v>64</v>
      </c>
      <c r="BN1" s="114">
        <f t="shared" ref="BN1" si="55">BM1+1</f>
        <v>65</v>
      </c>
      <c r="BO1" s="114">
        <f t="shared" ref="BO1" si="56">BN1+1</f>
        <v>66</v>
      </c>
      <c r="BP1" s="114">
        <f t="shared" ref="BP1" si="57">BO1+1</f>
        <v>67</v>
      </c>
      <c r="BQ1" s="114">
        <f t="shared" ref="BQ1" si="58">BP1+1</f>
        <v>68</v>
      </c>
      <c r="BR1" s="114">
        <f t="shared" ref="BR1" si="59">BQ1+1</f>
        <v>69</v>
      </c>
      <c r="BS1" s="114">
        <f t="shared" ref="BS1" si="60">BR1+1</f>
        <v>70</v>
      </c>
      <c r="BT1" s="114">
        <f t="shared" ref="BT1" si="61">BS1+1</f>
        <v>71</v>
      </c>
      <c r="BU1" s="114">
        <f t="shared" ref="BU1" si="62">BT1+1</f>
        <v>72</v>
      </c>
      <c r="BV1" s="114">
        <f t="shared" ref="BV1" si="63">BU1+1</f>
        <v>73</v>
      </c>
      <c r="BW1" s="114">
        <f t="shared" ref="BW1" si="64">BV1+1</f>
        <v>74</v>
      </c>
      <c r="BX1" s="114">
        <f t="shared" ref="BX1" si="65">BW1+1</f>
        <v>75</v>
      </c>
      <c r="BY1" s="114">
        <f t="shared" ref="BY1" si="66">BX1+1</f>
        <v>76</v>
      </c>
      <c r="BZ1" s="114">
        <f t="shared" ref="BZ1" si="67">BY1+1</f>
        <v>77</v>
      </c>
      <c r="CA1" s="114">
        <f t="shared" ref="CA1" si="68">BZ1+1</f>
        <v>78</v>
      </c>
    </row>
    <row r="2" spans="1:81" x14ac:dyDescent="0.45">
      <c r="A2" s="6" t="s">
        <v>123</v>
      </c>
      <c r="B2" s="9">
        <f>Nic!D6/100</f>
        <v>51.8</v>
      </c>
      <c r="C2" s="9">
        <f>Nic!E6/100</f>
        <v>54.5</v>
      </c>
      <c r="D2" s="9">
        <f>Nic!F6/100</f>
        <v>57.2</v>
      </c>
      <c r="E2" s="9">
        <f>Nic!G6/100</f>
        <v>59.9</v>
      </c>
      <c r="F2" s="9">
        <f>Nic!H6/100</f>
        <v>62.6</v>
      </c>
      <c r="G2" s="9">
        <f>Nic!I6/100</f>
        <v>65.3</v>
      </c>
      <c r="H2" s="9">
        <f>Nic!J6/100</f>
        <v>68</v>
      </c>
      <c r="I2" s="9">
        <f>Nic!K6/100</f>
        <v>70.7</v>
      </c>
      <c r="J2" s="9">
        <f>Nic!L6/100</f>
        <v>73.400000000000006</v>
      </c>
      <c r="K2" s="9">
        <f>Nic!M6/100</f>
        <v>76.099999999999994</v>
      </c>
      <c r="L2" s="9">
        <f>Nic!N6/100</f>
        <v>78.8</v>
      </c>
      <c r="M2" s="9">
        <f>Nic!O6/100</f>
        <v>81.5</v>
      </c>
      <c r="N2" s="9">
        <f>Nic!P6/100</f>
        <v>84.2</v>
      </c>
      <c r="O2" s="9">
        <f>Nic!Q6/100</f>
        <v>86.9</v>
      </c>
      <c r="P2" s="9">
        <f>Nic!R6/100</f>
        <v>89.6</v>
      </c>
      <c r="Q2" s="9">
        <f>Nic!S6/100</f>
        <v>96.8</v>
      </c>
      <c r="R2" s="9">
        <f>Nic!T6/100</f>
        <v>99.5</v>
      </c>
      <c r="S2" s="9">
        <f>Nic!U6/100</f>
        <v>102.2</v>
      </c>
      <c r="T2" s="9">
        <f>Nic!V6/100</f>
        <v>105.4</v>
      </c>
      <c r="U2" s="9">
        <f>Nic!W6/100</f>
        <v>108.1</v>
      </c>
      <c r="V2" s="9">
        <f>Nic!X6/100</f>
        <v>110.8</v>
      </c>
      <c r="W2" s="9">
        <f>Nic!Y6/100</f>
        <v>113.4</v>
      </c>
      <c r="X2" s="9">
        <f>Nic!Z6/100</f>
        <v>116.1</v>
      </c>
      <c r="Y2" s="9">
        <f>Nic!AA6/100</f>
        <v>118.8</v>
      </c>
      <c r="Z2" s="9">
        <f>Nic!AB6/100</f>
        <v>121.5</v>
      </c>
      <c r="AA2" s="9">
        <f>Nic!AC6/100</f>
        <v>124.2</v>
      </c>
      <c r="AB2" s="9">
        <f>Nic!AD6/100</f>
        <v>126.9</v>
      </c>
      <c r="AC2" s="9">
        <f>Nic!AE6/100</f>
        <v>133.6</v>
      </c>
      <c r="AD2" s="9">
        <f>Nic!AF6/100</f>
        <v>136.30000000000001</v>
      </c>
      <c r="AE2" s="9">
        <f>Nic!AG6/100</f>
        <v>139</v>
      </c>
      <c r="AF2" s="9">
        <f>Nic!AH6/100</f>
        <v>180.8</v>
      </c>
      <c r="AG2" s="9">
        <f>Nic!AI6/100</f>
        <v>182.6</v>
      </c>
      <c r="AH2" s="9">
        <f>Nic!AJ6/100</f>
        <v>184.4</v>
      </c>
      <c r="AI2" s="9">
        <f>Nic!AK6/100</f>
        <v>180.6</v>
      </c>
      <c r="AJ2" s="9">
        <f>Nic!AL6/100</f>
        <v>216.8</v>
      </c>
      <c r="AK2" s="9">
        <f>Nic!AM6/100</f>
        <v>228</v>
      </c>
      <c r="AL2" s="9">
        <f>Nic!AN6/100</f>
        <v>239.2</v>
      </c>
      <c r="AM2" s="9">
        <f>Nic!AO6/100</f>
        <v>249.5</v>
      </c>
      <c r="AN2" s="9">
        <f>Nic!AP6/100</f>
        <v>259.58999999999997</v>
      </c>
      <c r="AO2" s="9">
        <f>Nic!AQ6/100</f>
        <v>270.3</v>
      </c>
      <c r="AP2" s="9">
        <f>Nic!AR6/100</f>
        <v>280.8</v>
      </c>
      <c r="AQ2" s="9">
        <f>Nic!AS6/100</f>
        <v>291.3</v>
      </c>
      <c r="AR2" s="9">
        <f>Nic!AT6/100</f>
        <v>301.8</v>
      </c>
      <c r="AS2" s="9">
        <f>Nic!AU6/100</f>
        <v>312.3</v>
      </c>
      <c r="AT2" s="9">
        <f>Nic!AV6/100</f>
        <v>322.8</v>
      </c>
      <c r="AU2" s="9">
        <f>Nic!AW6/100</f>
        <v>333.3</v>
      </c>
      <c r="AV2" s="9">
        <f>Nic!AX6/100</f>
        <v>343.8</v>
      </c>
      <c r="AW2" s="9">
        <f>Nic!AY6/100</f>
        <v>354.3</v>
      </c>
      <c r="AX2" s="9">
        <f>Nic!AZ6/100</f>
        <v>364.8</v>
      </c>
      <c r="AY2" s="9">
        <f>Nic!BA6/100</f>
        <v>375.3</v>
      </c>
      <c r="AZ2" s="9">
        <f>Nic!BB6/100</f>
        <v>385.8</v>
      </c>
      <c r="BA2" s="9">
        <f>Nic!BC6/100</f>
        <v>396.3</v>
      </c>
      <c r="BB2" s="9">
        <f>Nic!BD6/100</f>
        <v>406.8</v>
      </c>
      <c r="BC2" s="9">
        <f>Nic!BE6/100</f>
        <v>417.3</v>
      </c>
      <c r="BD2" s="9">
        <f>Nic!BF6/100</f>
        <v>427.8</v>
      </c>
      <c r="BE2" s="9">
        <f>Nic!BG6/100</f>
        <v>438.3</v>
      </c>
      <c r="BF2" s="9">
        <f>Nic!BH6/100</f>
        <v>448.8</v>
      </c>
      <c r="BG2" s="9">
        <f>Nic!BI6/100</f>
        <v>459.3</v>
      </c>
      <c r="BH2" s="9">
        <f>Nic!BJ6/100</f>
        <v>469.8</v>
      </c>
      <c r="BI2" s="9">
        <f>Nic!BK6/100</f>
        <v>480.3</v>
      </c>
      <c r="BJ2" s="9">
        <f>Nic!BL6/100</f>
        <v>490.8</v>
      </c>
      <c r="BK2" s="9">
        <f>Nic!BM6/100</f>
        <v>501.3</v>
      </c>
      <c r="BL2" s="9">
        <f>Nic!BN6/100</f>
        <v>511.8</v>
      </c>
      <c r="BM2" s="9">
        <f>Nic!BO6/100</f>
        <v>522.29999999999995</v>
      </c>
      <c r="BN2" s="9">
        <f>Nic!BP6/100</f>
        <v>532.79999999999995</v>
      </c>
      <c r="BO2" s="9">
        <f>Nic!BQ6/100</f>
        <v>543.29999999999995</v>
      </c>
      <c r="BP2" s="9">
        <f>Nic!BR6/100</f>
        <v>553.79999999999995</v>
      </c>
      <c r="BQ2" s="9">
        <f>Nic!BS6/100</f>
        <v>564.29999999999995</v>
      </c>
      <c r="BR2" s="9">
        <f>Nic!BT6/100</f>
        <v>574.79999999999995</v>
      </c>
      <c r="BS2" s="9">
        <f>Nic!BU6/100</f>
        <v>585.29999999999995</v>
      </c>
      <c r="BT2" s="9">
        <f>Nic!BV6/100</f>
        <v>595.79999999999995</v>
      </c>
      <c r="BU2" s="9">
        <f>Nic!BW6/100</f>
        <v>606.29999999999995</v>
      </c>
      <c r="BV2" s="9">
        <f>Nic!BX6/100</f>
        <v>624.79999999999995</v>
      </c>
      <c r="BW2" s="9">
        <f>Nic!BY6/100</f>
        <v>632.29999999999995</v>
      </c>
      <c r="BX2" s="9">
        <f>Nic!BZ6/100</f>
        <v>600.79999999999995</v>
      </c>
      <c r="BY2" s="9">
        <f>Nic!CA6/100</f>
        <v>619.29999999999995</v>
      </c>
      <c r="BZ2" s="9">
        <f>Nic!CB6/100</f>
        <v>637.79999999999995</v>
      </c>
      <c r="CA2" s="9">
        <f>Nic!CC6/100</f>
        <v>648.21</v>
      </c>
      <c r="CB2" s="9"/>
      <c r="CC2" s="9"/>
    </row>
    <row r="3" spans="1:81" x14ac:dyDescent="0.45">
      <c r="A3" s="6" t="s">
        <v>124</v>
      </c>
      <c r="B3" s="9">
        <f>Cris!D6/100</f>
        <v>42.35</v>
      </c>
      <c r="C3" s="9">
        <f>Cris!E6/100</f>
        <v>45.14</v>
      </c>
      <c r="D3" s="9">
        <f>Cris!F6/100</f>
        <v>48.03</v>
      </c>
      <c r="E3" s="9">
        <f>Cris!G6/100</f>
        <v>51.56</v>
      </c>
      <c r="F3" s="9">
        <f>Cris!H6/100</f>
        <v>54.92</v>
      </c>
      <c r="G3" s="9">
        <f>Cris!I6/100</f>
        <v>58.33</v>
      </c>
      <c r="H3" s="9">
        <f>Cris!J6/100</f>
        <v>61.47</v>
      </c>
      <c r="I3" s="9">
        <f>Cris!K6/100</f>
        <v>64.650000000000006</v>
      </c>
      <c r="J3" s="9">
        <f>Cris!L6/100</f>
        <v>67.819999999999993</v>
      </c>
      <c r="K3" s="9">
        <f>Cris!M6/100</f>
        <v>70.12</v>
      </c>
      <c r="L3" s="9">
        <f>Cris!N6/100</f>
        <v>72.42</v>
      </c>
      <c r="M3" s="9">
        <f>Cris!O6/100</f>
        <v>107.72</v>
      </c>
      <c r="N3" s="9">
        <f>Cris!P6/100</f>
        <v>110.02</v>
      </c>
      <c r="O3" s="9">
        <f>Cris!Q6/100</f>
        <v>112.32</v>
      </c>
      <c r="P3" s="9">
        <f>Cris!R6/100</f>
        <v>114.62</v>
      </c>
      <c r="Q3" s="9">
        <f>Cris!S6/100</f>
        <v>116.92</v>
      </c>
      <c r="R3" s="9">
        <f>Cris!T6/100</f>
        <v>119.22</v>
      </c>
      <c r="S3" s="9">
        <f>Cris!U6/100</f>
        <v>121.52</v>
      </c>
      <c r="T3" s="9">
        <f>Cris!V6/100</f>
        <v>123.82</v>
      </c>
      <c r="U3" s="9">
        <f>Cris!W6/100</f>
        <v>126.12</v>
      </c>
      <c r="V3" s="9">
        <f>Cris!X6/100</f>
        <v>128.41999999999999</v>
      </c>
      <c r="W3" s="9">
        <f>Cris!Y6/100</f>
        <v>134.22</v>
      </c>
      <c r="X3" s="9">
        <f>Cris!Z6/100</f>
        <v>140.02000000000001</v>
      </c>
      <c r="Y3" s="9">
        <f>Cris!AA6/100</f>
        <v>145.82</v>
      </c>
      <c r="Z3" s="9">
        <f>Cris!AB6/100</f>
        <v>151.62</v>
      </c>
      <c r="AA3" s="9">
        <f>Cris!AC6/100</f>
        <v>157.41999999999999</v>
      </c>
      <c r="AB3" s="9">
        <f>Cris!AD6/100</f>
        <v>163.22</v>
      </c>
      <c r="AC3" s="9">
        <f>Cris!AE6/100</f>
        <v>209.32</v>
      </c>
      <c r="AD3" s="9">
        <f>Cris!AF6/100</f>
        <v>217.12</v>
      </c>
      <c r="AE3" s="9">
        <f>Cris!AG6/100</f>
        <v>224.92</v>
      </c>
      <c r="AF3" s="9">
        <f>Cris!AH6/100</f>
        <v>232.72</v>
      </c>
      <c r="AG3" s="9">
        <f>Cris!AI6/100</f>
        <v>240.52</v>
      </c>
      <c r="AH3" s="9">
        <f>Cris!AJ6/100</f>
        <v>248.32</v>
      </c>
      <c r="AI3" s="9">
        <f>Cris!AK6/100</f>
        <v>257.62</v>
      </c>
      <c r="AJ3" s="9">
        <f>Cris!AL6/100</f>
        <v>265.42</v>
      </c>
      <c r="AK3" s="9">
        <f>Cris!AM6/100</f>
        <v>273.22000000000003</v>
      </c>
      <c r="AL3" s="9">
        <f>Cris!AN6/100</f>
        <v>281.02</v>
      </c>
      <c r="AM3" s="9">
        <f>Cris!AO6/100</f>
        <v>288.82</v>
      </c>
      <c r="AN3" s="9">
        <f>Cris!AP6/100</f>
        <v>296.62</v>
      </c>
      <c r="AO3" s="9">
        <f>Cris!AQ6/100</f>
        <v>304.42</v>
      </c>
      <c r="AP3" s="9">
        <f>Cris!AR6/100</f>
        <v>312.22000000000003</v>
      </c>
      <c r="AQ3" s="9">
        <f>Cris!AS6/100</f>
        <v>320.02</v>
      </c>
      <c r="AR3" s="9">
        <f>Cris!AT6/100</f>
        <v>327.82</v>
      </c>
      <c r="AS3" s="9">
        <f>Cris!AU6/100</f>
        <v>335.62</v>
      </c>
      <c r="AT3" s="9">
        <f>Cris!AV6/100</f>
        <v>343.42</v>
      </c>
      <c r="AU3" s="9">
        <f>Cris!AW6/100</f>
        <v>351.22</v>
      </c>
      <c r="AV3" s="9">
        <f>Cris!AX6/100</f>
        <v>359.02</v>
      </c>
      <c r="AW3" s="9">
        <f>Cris!AY6/100</f>
        <v>366.82</v>
      </c>
      <c r="AX3" s="9">
        <f>Cris!AZ6/100</f>
        <v>374.62</v>
      </c>
      <c r="AY3" s="9">
        <f>Cris!BA6/100</f>
        <v>382.42</v>
      </c>
      <c r="AZ3" s="9">
        <f>Cris!BB6/100</f>
        <v>390.22</v>
      </c>
      <c r="BA3" s="9">
        <f>Cris!BC6/100</f>
        <v>398.02</v>
      </c>
      <c r="BB3" s="9">
        <f>Cris!BD6/100</f>
        <v>405.82</v>
      </c>
      <c r="BC3" s="9">
        <f>Cris!BE6/100</f>
        <v>413.62</v>
      </c>
      <c r="BD3" s="9">
        <f>Cris!BF6/100</f>
        <v>421.42</v>
      </c>
      <c r="BE3" s="9">
        <f>Cris!BG6/100</f>
        <v>429.22</v>
      </c>
      <c r="BF3" s="9">
        <f>Cris!BH6/100</f>
        <v>437.02</v>
      </c>
      <c r="BG3" s="9">
        <f>Cris!BI6/100</f>
        <v>446.82</v>
      </c>
      <c r="BH3" s="9">
        <f>Cris!BJ6/100</f>
        <v>456.62</v>
      </c>
      <c r="BI3" s="9">
        <f>Cris!BK6/100</f>
        <v>466.42</v>
      </c>
      <c r="BJ3" s="9">
        <f>Cris!BL6/100</f>
        <v>476.22</v>
      </c>
      <c r="BK3" s="9">
        <f>Cris!BM6/100</f>
        <v>486.02</v>
      </c>
      <c r="BL3" s="9">
        <f>Cris!BN6/100</f>
        <v>495.82</v>
      </c>
      <c r="BM3" s="9">
        <f>Cris!BO6/100</f>
        <v>505.62</v>
      </c>
      <c r="BN3" s="9">
        <f>Cris!BP6/100</f>
        <v>515.41999999999996</v>
      </c>
      <c r="BO3" s="9">
        <f>Cris!BQ6/100</f>
        <v>525.22</v>
      </c>
      <c r="BP3" s="9">
        <f>Cris!BR6/100</f>
        <v>535.02</v>
      </c>
      <c r="BQ3" s="9">
        <f>Cris!BS6/100</f>
        <v>544.82000000000005</v>
      </c>
      <c r="BR3" s="9">
        <f>Cris!BT6/100</f>
        <v>554.62</v>
      </c>
      <c r="BS3" s="9">
        <f>Cris!BU6/100</f>
        <v>564.41999999999996</v>
      </c>
      <c r="BT3" s="9">
        <f>Cris!BV6/100</f>
        <v>577.22</v>
      </c>
      <c r="BU3" s="9">
        <f>Cris!BW6/100</f>
        <v>587.02</v>
      </c>
      <c r="BV3" s="9">
        <f>Cris!BX6/100</f>
        <v>596.82000000000005</v>
      </c>
      <c r="BW3" s="9">
        <f>Cris!BY6/100</f>
        <v>606.62</v>
      </c>
      <c r="BX3" s="9">
        <f>Cris!BZ6/100</f>
        <v>616.41999999999996</v>
      </c>
      <c r="BY3" s="9">
        <f>Cris!CA6/100</f>
        <v>626.23</v>
      </c>
      <c r="BZ3" s="9">
        <f>Cris!CB6/100</f>
        <v>636.04999999999995</v>
      </c>
      <c r="CA3" s="9">
        <f>Cris!CC6/100</f>
        <v>670.88</v>
      </c>
      <c r="CB3" s="9"/>
      <c r="CC3" s="9"/>
    </row>
    <row r="4" spans="1:81" x14ac:dyDescent="0.45">
      <c r="A4" s="6" t="s">
        <v>125</v>
      </c>
      <c r="B4" s="9">
        <f>Peter!D6/100</f>
        <v>54.27</v>
      </c>
      <c r="C4" s="9">
        <f>Peter!E6/100</f>
        <v>59.14</v>
      </c>
      <c r="D4" s="9">
        <f>Peter!F6/100</f>
        <v>64.010000000000005</v>
      </c>
      <c r="E4" s="9">
        <f>Peter!G6/100</f>
        <v>71.331999999999994</v>
      </c>
      <c r="F4" s="9">
        <f>Peter!H6/100</f>
        <v>78.653999999999996</v>
      </c>
      <c r="G4" s="9">
        <f>Peter!I6/100</f>
        <v>85.975999999999985</v>
      </c>
      <c r="H4" s="9">
        <f>Peter!J6/100</f>
        <v>96</v>
      </c>
      <c r="I4" s="9">
        <f>Peter!K6/100</f>
        <v>116.024</v>
      </c>
      <c r="J4" s="9">
        <f>Peter!L6/100</f>
        <v>122.04799999999999</v>
      </c>
      <c r="K4" s="9">
        <f>Peter!M6/100</f>
        <v>136.26679999999999</v>
      </c>
      <c r="L4" s="9">
        <f>Peter!N6/100</f>
        <v>147.48560000000001</v>
      </c>
      <c r="M4" s="9">
        <f>Peter!O6/100</f>
        <v>158.70439999999999</v>
      </c>
      <c r="N4" s="9">
        <f>Peter!P6/100</f>
        <v>168.92320000000001</v>
      </c>
      <c r="O4" s="9">
        <f>Peter!Q6/100</f>
        <v>180.142</v>
      </c>
      <c r="P4" s="9">
        <f>Peter!R6/100</f>
        <v>191.36080000000001</v>
      </c>
      <c r="Q4" s="9">
        <f>Peter!S6/100</f>
        <v>201.28160000000003</v>
      </c>
      <c r="R4" s="9">
        <f>Peter!T6/100</f>
        <v>216.20240000000001</v>
      </c>
      <c r="S4" s="9">
        <f>Peter!U6/100</f>
        <v>231.1232</v>
      </c>
      <c r="T4" s="9">
        <f>Peter!V6/100</f>
        <v>241.04400000000001</v>
      </c>
      <c r="U4" s="9">
        <f>Peter!W6/100</f>
        <v>255.96480000000003</v>
      </c>
      <c r="V4" s="9">
        <f>Peter!X6/100</f>
        <v>270.88560000000007</v>
      </c>
      <c r="W4" s="9">
        <f>Peter!Y6/100</f>
        <v>249.39884444444448</v>
      </c>
      <c r="X4" s="9">
        <f>Peter!Z6/100</f>
        <v>229.91208888888895</v>
      </c>
      <c r="Y4" s="9">
        <f>Peter!AA6/100</f>
        <v>210.42533333333341</v>
      </c>
      <c r="Z4" s="9">
        <f>Peter!AB6/100</f>
        <v>198.23857777777783</v>
      </c>
      <c r="AA4" s="9">
        <f>Peter!AC6/100</f>
        <v>187.05182222222226</v>
      </c>
      <c r="AB4" s="9">
        <f>Peter!AD6/100</f>
        <v>175.86506666666671</v>
      </c>
      <c r="AC4" s="9">
        <f>Peter!AE6/100</f>
        <v>160.79311111111116</v>
      </c>
      <c r="AD4" s="9">
        <f>Peter!AF6/100</f>
        <v>142.72115555555558</v>
      </c>
      <c r="AE4" s="9">
        <f>Peter!AG6/100</f>
        <v>401.31320000000005</v>
      </c>
      <c r="AF4" s="9">
        <f>Peter!AH6/100</f>
        <v>413.21080000000001</v>
      </c>
      <c r="AG4" s="9">
        <f>Peter!AI6/100</f>
        <v>419.25840000000005</v>
      </c>
      <c r="AH4" s="9">
        <f>Peter!AJ6/100</f>
        <v>428.00600000000009</v>
      </c>
      <c r="AI4" s="9">
        <f>Peter!AK6/100</f>
        <v>437.25360000000006</v>
      </c>
      <c r="AJ4" s="9">
        <f>Peter!AL6/100</f>
        <v>446.50120000000004</v>
      </c>
      <c r="AK4" s="9">
        <f>Peter!AM6/100</f>
        <v>456.24880000000007</v>
      </c>
      <c r="AL4" s="9">
        <f>Peter!AN6/100</f>
        <v>465.99640000000005</v>
      </c>
      <c r="AM4" s="9">
        <f>Peter!AO6/100</f>
        <v>476.24400000000009</v>
      </c>
      <c r="AN4" s="9">
        <f>Peter!AP6/100</f>
        <v>486.49160000000006</v>
      </c>
      <c r="AO4" s="9">
        <f>Peter!AQ6/100</f>
        <v>446.73920000000004</v>
      </c>
      <c r="AP4" s="9">
        <f>Peter!AR6/100</f>
        <v>456.98680000000007</v>
      </c>
      <c r="AQ4" s="9">
        <f>Peter!AS6/100</f>
        <v>467.23440000000005</v>
      </c>
      <c r="AR4" s="9">
        <f>Peter!AT6/100</f>
        <v>477.48200000000003</v>
      </c>
      <c r="AS4" s="9">
        <f>Peter!AU6/100</f>
        <v>487.72960000000006</v>
      </c>
      <c r="AT4" s="9">
        <f>Peter!AV6/100</f>
        <v>497.9772000000001</v>
      </c>
      <c r="AU4" s="9">
        <f>Peter!AW6/100</f>
        <v>508.22480000000013</v>
      </c>
      <c r="AV4" s="9">
        <f>Peter!AX6/100</f>
        <v>518.47240000000011</v>
      </c>
      <c r="AW4" s="9">
        <f>Peter!AY6/100</f>
        <v>528.72</v>
      </c>
      <c r="AX4" s="9">
        <f>Peter!AZ6/100</f>
        <v>538.96760000000006</v>
      </c>
      <c r="AY4" s="9">
        <f>Peter!BA6/100</f>
        <v>549.2152000000001</v>
      </c>
      <c r="AZ4" s="9">
        <f>Peter!BB6/100</f>
        <v>559.46280000000002</v>
      </c>
      <c r="BA4" s="9">
        <f>Peter!BC6/100</f>
        <v>569.71040000000005</v>
      </c>
      <c r="BB4" s="9">
        <f>Peter!BD6/100</f>
        <v>579.95800000000008</v>
      </c>
      <c r="BC4" s="9">
        <f>Peter!BE6/100</f>
        <v>590.2056</v>
      </c>
      <c r="BD4" s="9">
        <f>Peter!BF6/100</f>
        <v>600.45320000000004</v>
      </c>
      <c r="BE4" s="9">
        <f>Peter!BG6/100</f>
        <v>610.70080000000007</v>
      </c>
      <c r="BF4" s="9">
        <f>Peter!BH6/100</f>
        <v>620.94839999999999</v>
      </c>
      <c r="BG4" s="9">
        <f>Peter!BI6/100</f>
        <v>631.19599999999991</v>
      </c>
      <c r="BH4" s="9">
        <f>Peter!BJ6/100</f>
        <v>641.44359999999995</v>
      </c>
      <c r="BI4" s="9">
        <f>Peter!BK6/100</f>
        <v>651.69119999999998</v>
      </c>
      <c r="BJ4" s="9">
        <f>Peter!BL6/100</f>
        <v>661.9387999999999</v>
      </c>
      <c r="BK4" s="9">
        <f>Peter!BM6/100</f>
        <v>672.18639999999982</v>
      </c>
      <c r="BL4" s="9">
        <f>Peter!BN6/100</f>
        <v>682.43399999999997</v>
      </c>
      <c r="BM4" s="9">
        <f>Peter!BO6/100</f>
        <v>692.68159999999989</v>
      </c>
      <c r="BN4" s="9">
        <f>Peter!BP6/100</f>
        <v>702.92919999999981</v>
      </c>
      <c r="BO4" s="9">
        <f>Peter!BQ6/100</f>
        <v>713.17679999999973</v>
      </c>
      <c r="BP4" s="9">
        <f>Peter!BR6/100</f>
        <v>723.42439999999976</v>
      </c>
      <c r="BQ4" s="9">
        <f>Peter!BS6/100</f>
        <v>733.6719999999998</v>
      </c>
      <c r="BR4" s="9">
        <f>Peter!BT6/100</f>
        <v>743.91959999999995</v>
      </c>
      <c r="BS4" s="9">
        <f>Peter!BU6/100</f>
        <v>754.16719999999987</v>
      </c>
      <c r="BT4" s="9">
        <f>Peter!BV6/100</f>
        <v>764.41479999999979</v>
      </c>
      <c r="BU4" s="9">
        <f>Peter!BW6/100</f>
        <v>774.66239999999993</v>
      </c>
      <c r="BV4" s="9">
        <f>Peter!BX6/100</f>
        <v>746.91</v>
      </c>
      <c r="BW4" s="9">
        <f>Peter!BY6/100</f>
        <v>757.1576</v>
      </c>
      <c r="BX4" s="9">
        <f>Peter!BZ6/100</f>
        <v>773.90519999999992</v>
      </c>
      <c r="BY4" s="9">
        <f>Peter!CA6/100</f>
        <v>802.33339999999998</v>
      </c>
      <c r="BZ4" s="9">
        <f>Peter!CB6/100</f>
        <v>824.37899999999991</v>
      </c>
      <c r="CA4" s="9">
        <f>Peter!CC6/100</f>
        <v>846.42459999999994</v>
      </c>
      <c r="CB4" s="9"/>
      <c r="CC4" s="9"/>
    </row>
    <row r="5" spans="1:81" x14ac:dyDescent="0.45">
      <c r="A5" s="6" t="s">
        <v>126</v>
      </c>
      <c r="B5" s="9">
        <f>Kleit!F6/100</f>
        <v>50.833999999999996</v>
      </c>
      <c r="C5" s="9">
        <f>Kleit!G6/100</f>
        <v>51.667999999999992</v>
      </c>
      <c r="D5" s="9">
        <f>Kleit!H6/100</f>
        <v>52.501999999999988</v>
      </c>
      <c r="E5" s="9">
        <f>Kleit!I6/100</f>
        <v>54.754999999999988</v>
      </c>
      <c r="F5" s="9">
        <f>Kleit!J6/100</f>
        <v>57.007999999999996</v>
      </c>
      <c r="G5" s="9">
        <f>Kleit!K6/100</f>
        <v>61.110999999999997</v>
      </c>
      <c r="H5" s="9">
        <f>Kleit!L6/100</f>
        <v>65.665999999999997</v>
      </c>
      <c r="I5" s="9">
        <f>Kleit!M6/100</f>
        <v>70.220999999999989</v>
      </c>
      <c r="J5" s="9">
        <f>Kleit!N6/100</f>
        <v>74.775999999999996</v>
      </c>
      <c r="K5" s="9">
        <f>Kleit!O6/100</f>
        <v>82.532999999999987</v>
      </c>
      <c r="L5" s="9">
        <f>Kleit!P6/100</f>
        <v>90.29</v>
      </c>
      <c r="M5" s="9">
        <f>Kleit!Q6/100</f>
        <v>98.046999999999983</v>
      </c>
      <c r="N5" s="9">
        <f>Kleit!R6/100</f>
        <v>103.80399999999997</v>
      </c>
      <c r="O5" s="9">
        <f>Kleit!S6/100</f>
        <v>111.56099999999998</v>
      </c>
      <c r="P5" s="9">
        <f>Kleit!T6/100</f>
        <v>119.318</v>
      </c>
      <c r="Q5" s="9">
        <f>Kleit!U6/100</f>
        <v>129.01499999999999</v>
      </c>
      <c r="R5" s="9">
        <f>Kleit!V6/100</f>
        <v>138.71199999999999</v>
      </c>
      <c r="S5" s="9">
        <f>Kleit!W6/100</f>
        <v>148.40899999999999</v>
      </c>
      <c r="T5" s="9">
        <f>Kleit!X6/100</f>
        <v>158.10599999999999</v>
      </c>
      <c r="U5" s="9">
        <f>Kleit!Y6/100</f>
        <v>167.803</v>
      </c>
      <c r="V5" s="9">
        <f>Kleit!Z6/100</f>
        <v>177.5</v>
      </c>
      <c r="W5" s="9">
        <f>Kleit!AA6/100</f>
        <v>192.8646</v>
      </c>
      <c r="X5" s="9">
        <f>Kleit!AB6/100</f>
        <v>208.22919999999999</v>
      </c>
      <c r="Y5" s="9">
        <f>Kleit!AC6/100</f>
        <v>223.59380000000002</v>
      </c>
      <c r="Z5" s="9">
        <f>Kleit!AD6/100</f>
        <v>237.10839999999999</v>
      </c>
      <c r="AA5" s="9">
        <f>Kleit!AE6/100</f>
        <v>251.47299999999998</v>
      </c>
      <c r="AB5" s="9">
        <f>Kleit!AF6/100</f>
        <v>265.83760000000001</v>
      </c>
      <c r="AC5" s="9">
        <f>Kleit!AG6/100</f>
        <v>170.7022</v>
      </c>
      <c r="AD5" s="9">
        <f>Kleit!AH6/100</f>
        <v>181.5668</v>
      </c>
      <c r="AE5" s="9">
        <f>Kleit!AI6/100</f>
        <v>193.13139999999999</v>
      </c>
      <c r="AF5" s="9">
        <f>Kleit!AJ6/100</f>
        <v>301.29599999999999</v>
      </c>
      <c r="AG5" s="9">
        <f>Kleit!AK6/100</f>
        <v>307.4606</v>
      </c>
      <c r="AH5" s="9">
        <f>Kleit!AL6/100</f>
        <v>314.42520000000002</v>
      </c>
      <c r="AI5" s="9">
        <f>Kleit!AM6/100</f>
        <v>312.88979999999998</v>
      </c>
      <c r="AJ5" s="9">
        <f>Kleit!AN6/100</f>
        <v>311.3544</v>
      </c>
      <c r="AK5" s="9">
        <f>Kleit!AO6/100</f>
        <v>309.81900000000002</v>
      </c>
      <c r="AL5" s="9">
        <f>Kleit!AP6/100</f>
        <v>308.28359999999998</v>
      </c>
      <c r="AM5" s="9">
        <f>Kleit!AQ6/100</f>
        <v>306.7482</v>
      </c>
      <c r="AN5" s="9">
        <f>Kleit!AR6/100</f>
        <v>323.21280000000002</v>
      </c>
      <c r="AO5" s="9">
        <f>Kleit!AS6/100</f>
        <v>332.995</v>
      </c>
      <c r="AP5" s="9">
        <f>Kleit!AT6/100</f>
        <v>342.77719999999999</v>
      </c>
      <c r="AQ5" s="9">
        <f>Kleit!AU6/100</f>
        <v>352.55940000000004</v>
      </c>
      <c r="AR5" s="9">
        <f>Kleit!AV6/100</f>
        <v>362.34160000000003</v>
      </c>
      <c r="AS5" s="9">
        <f>Kleit!AW6/100</f>
        <v>372.12379999999996</v>
      </c>
      <c r="AT5" s="9">
        <f>Kleit!AX6/100</f>
        <v>381.90600000000001</v>
      </c>
      <c r="AU5" s="9">
        <f>Kleit!AY6/100</f>
        <v>391.68819999999999</v>
      </c>
      <c r="AV5" s="9">
        <f>Kleit!AZ6/100</f>
        <v>401.47039999999993</v>
      </c>
      <c r="AW5" s="9">
        <f>Kleit!BA6/100</f>
        <v>411.25259999999997</v>
      </c>
      <c r="AX5" s="9">
        <f>Kleit!BB6/100</f>
        <v>421.03479999999996</v>
      </c>
      <c r="AY5" s="9">
        <f>Kleit!BC6/100</f>
        <v>430.81699999999995</v>
      </c>
      <c r="AZ5" s="9">
        <f>Kleit!BD6/100</f>
        <v>440.5992</v>
      </c>
      <c r="BA5" s="9">
        <f>Kleit!BE6/100</f>
        <v>450.38139999999999</v>
      </c>
      <c r="BB5" s="9">
        <f>Kleit!BF6/100</f>
        <v>460.16360000000003</v>
      </c>
      <c r="BC5" s="9">
        <f>Kleit!BG6/100</f>
        <v>469.94580000000002</v>
      </c>
      <c r="BD5" s="9">
        <f>Kleit!BH6/100</f>
        <v>479.72800000000001</v>
      </c>
      <c r="BE5" s="9">
        <f>Kleit!BI6/100</f>
        <v>489.51020000000005</v>
      </c>
      <c r="BF5" s="9">
        <f>Kleit!BJ6/100</f>
        <v>499.29240000000004</v>
      </c>
      <c r="BG5" s="9">
        <f>Kleit!BK6/100</f>
        <v>509.07460000000009</v>
      </c>
      <c r="BH5" s="9">
        <f>Kleit!BL6/100</f>
        <v>518.85680000000002</v>
      </c>
      <c r="BI5" s="9">
        <f>Kleit!BM6/100</f>
        <v>528.63900000000012</v>
      </c>
      <c r="BJ5" s="9">
        <f>Kleit!BN6/100</f>
        <v>538.42120000000011</v>
      </c>
      <c r="BK5" s="9">
        <f>Kleit!BO6/100</f>
        <v>548.2034000000001</v>
      </c>
      <c r="BL5" s="9">
        <f>Kleit!BP6/100</f>
        <v>557.98560000000009</v>
      </c>
      <c r="BM5" s="9">
        <f>Kleit!BQ6/100</f>
        <v>567.76780000000008</v>
      </c>
      <c r="BN5" s="9">
        <f>Kleit!BR6/100</f>
        <v>577.55000000000018</v>
      </c>
      <c r="BO5" s="9">
        <f>Kleit!BS6/100</f>
        <v>587.33220000000017</v>
      </c>
      <c r="BP5" s="9">
        <f>Kleit!BT6/100</f>
        <v>597.11440000000016</v>
      </c>
      <c r="BQ5" s="9">
        <f>Kleit!BU6/100</f>
        <v>606.89660000000015</v>
      </c>
      <c r="BR5" s="9">
        <f>Kleit!BV6/100</f>
        <v>616.67880000000014</v>
      </c>
      <c r="BS5" s="9">
        <f>Kleit!BW6/100</f>
        <v>626.46100000000013</v>
      </c>
      <c r="BT5" s="9">
        <f>Kleit!BX6/100</f>
        <v>636.24320000000012</v>
      </c>
      <c r="BU5" s="9">
        <f>Kleit!BY6/100</f>
        <v>646.0254000000001</v>
      </c>
      <c r="BV5" s="9">
        <f>Kleit!BZ6/100</f>
        <v>553.82760000000019</v>
      </c>
      <c r="BW5" s="9">
        <f>Kleit!CA6/100</f>
        <v>559.64980000000014</v>
      </c>
      <c r="BX5" s="9">
        <f>Kleit!CB6/100</f>
        <v>563.49200000000019</v>
      </c>
      <c r="BY5" s="9">
        <f>Kleit!CC6/100</f>
        <v>565.35420000000022</v>
      </c>
      <c r="BZ5" s="9">
        <f>Kleit!CD6/100</f>
        <v>565.23640000000023</v>
      </c>
      <c r="CA5" s="9">
        <f>Kleit!CE6/100</f>
        <v>563.13860000000022</v>
      </c>
      <c r="CB5" s="9"/>
      <c r="CC5" s="9"/>
    </row>
    <row r="6" spans="1:81" x14ac:dyDescent="0.45">
      <c r="A6" s="6" t="s">
        <v>127</v>
      </c>
      <c r="B6" s="9">
        <f>Zilla!H6/100</f>
        <v>56.02</v>
      </c>
      <c r="C6" s="9">
        <f>Zilla!I6/100</f>
        <v>62.04</v>
      </c>
      <c r="D6" s="9">
        <f>Zilla!J6/100</f>
        <v>67.326666666666668</v>
      </c>
      <c r="E6" s="9">
        <f>Zilla!K6/100</f>
        <v>75.498666666666665</v>
      </c>
      <c r="F6" s="9">
        <f>Zilla!L6/100</f>
        <v>83.304000000000016</v>
      </c>
      <c r="G6" s="9">
        <f>Zilla!M6/100</f>
        <v>91.475999999999999</v>
      </c>
      <c r="H6" s="9">
        <f>Zilla!N6/100</f>
        <v>101.8</v>
      </c>
      <c r="I6" s="9">
        <f>Zilla!O6/100</f>
        <v>112.124</v>
      </c>
      <c r="J6" s="9">
        <f>Zilla!P6/100</f>
        <v>122.44799999999999</v>
      </c>
      <c r="K6" s="9">
        <f>Zilla!Q6/100</f>
        <v>134.96680000000001</v>
      </c>
      <c r="L6" s="9">
        <f>Zilla!R6/100</f>
        <v>145.98560000000001</v>
      </c>
      <c r="M6" s="9">
        <f>Zilla!S6/100</f>
        <v>157.50440000000003</v>
      </c>
      <c r="N6" s="9">
        <f>Zilla!T6/100</f>
        <v>169.02320000000003</v>
      </c>
      <c r="O6" s="9">
        <f>Zilla!U6/100</f>
        <v>180.54200000000003</v>
      </c>
      <c r="P6" s="9">
        <f>Zilla!V6/100</f>
        <v>192.06080000000006</v>
      </c>
      <c r="Q6" s="9">
        <f>Zilla!W6/100</f>
        <v>203.57960000000006</v>
      </c>
      <c r="R6" s="9">
        <f>Zilla!X6/100</f>
        <v>215.09840000000008</v>
      </c>
      <c r="S6" s="9">
        <f>Zilla!Y6/100</f>
        <v>226.61720000000008</v>
      </c>
      <c r="T6" s="9">
        <f>Zilla!Z6/100</f>
        <v>241.2819200000001</v>
      </c>
      <c r="U6" s="9">
        <f>Zilla!AA6/100</f>
        <v>255.94664000000012</v>
      </c>
      <c r="V6" s="9">
        <f>Zilla!AB6/100</f>
        <v>270.6113600000001</v>
      </c>
      <c r="W6" s="9">
        <f>Zilla!AC6/100</f>
        <v>284.60322285714295</v>
      </c>
      <c r="X6" s="9">
        <f>Zilla!AD6/100</f>
        <v>298.60508571428579</v>
      </c>
      <c r="Y6" s="9">
        <f>Zilla!AE6/100</f>
        <v>312.61694857142868</v>
      </c>
      <c r="Z6" s="9">
        <f>Zilla!AF6/100</f>
        <v>317.31749142857154</v>
      </c>
      <c r="AA6" s="9">
        <f>Zilla!AG6/100</f>
        <v>336.41803428571438</v>
      </c>
      <c r="AB6" s="9">
        <f>Zilla!AH6/100</f>
        <v>355.51857714285723</v>
      </c>
      <c r="AC6" s="9">
        <f>Zilla!AI6/100</f>
        <v>371.61912000000012</v>
      </c>
      <c r="AD6" s="9">
        <f>Zilla!AJ6/100</f>
        <v>387.71966285714296</v>
      </c>
      <c r="AE6" s="9">
        <f>Zilla!AK6/100</f>
        <v>403.82020571428586</v>
      </c>
      <c r="AF6" s="9">
        <f>Zilla!AL6/100</f>
        <v>419.9207485714287</v>
      </c>
      <c r="AG6" s="9">
        <f>Zilla!AM6/100</f>
        <v>436.02129142857154</v>
      </c>
      <c r="AH6" s="9">
        <f>Zilla!AN6/100</f>
        <v>452.12183428571444</v>
      </c>
      <c r="AI6" s="9">
        <f>Zilla!AO6/100</f>
        <v>468.22237714285728</v>
      </c>
      <c r="AJ6" s="9">
        <f>Zilla!AP6/100</f>
        <v>484.32292000000018</v>
      </c>
      <c r="AK6" s="9">
        <f>Zilla!AQ6/100</f>
        <v>500.42346285714302</v>
      </c>
      <c r="AL6" s="9">
        <f>Zilla!AR6/100</f>
        <v>516.52400571428586</v>
      </c>
      <c r="AM6" s="9">
        <f>Zilla!AS6/100</f>
        <v>532.6245485714287</v>
      </c>
      <c r="AN6" s="9">
        <f>Zilla!AT6/100</f>
        <v>467.7250914285716</v>
      </c>
      <c r="AO6" s="9">
        <f>Zilla!AU6/100</f>
        <v>488.52863428571453</v>
      </c>
      <c r="AP6" s="9">
        <f>Zilla!AV6/100</f>
        <v>506.13117714285733</v>
      </c>
      <c r="AQ6" s="9">
        <f>Zilla!AW6/100</f>
        <v>523.73372000000018</v>
      </c>
      <c r="AR6" s="9">
        <f>Zilla!AX6/100</f>
        <v>541.33626285714297</v>
      </c>
      <c r="AS6" s="9">
        <f>Zilla!AY6/100</f>
        <v>558.93880571428588</v>
      </c>
      <c r="AT6" s="9">
        <f>Zilla!AZ6/100</f>
        <v>576.54134857142878</v>
      </c>
      <c r="AU6" s="9">
        <f>Zilla!BA6/100</f>
        <v>594.14389142857158</v>
      </c>
      <c r="AV6" s="9">
        <f>Zilla!BB6/100</f>
        <v>611.74643428571449</v>
      </c>
      <c r="AW6" s="9">
        <f>Zilla!BC6/100</f>
        <v>629.34897714285728</v>
      </c>
      <c r="AX6" s="9">
        <f>Zilla!BD6/100</f>
        <v>646.95152000000019</v>
      </c>
      <c r="AY6" s="9">
        <f>Zilla!BE6/100</f>
        <v>664.55406285714298</v>
      </c>
      <c r="AZ6" s="9">
        <f>(Zilla!BF6/100+Vito!BD6/100)/2</f>
        <v>460.29830285714297</v>
      </c>
      <c r="BA6" s="9">
        <f>(Zilla!BG6/100+Vito!BE6/100)/2</f>
        <v>474.89957428571438</v>
      </c>
      <c r="BB6" s="9">
        <f>(Zilla!BH6/100+Vito!BF6/100)/2</f>
        <v>489.50084571428584</v>
      </c>
      <c r="BC6" s="9">
        <f>(Zilla!BI6/100+Vito!BG6/100)/2</f>
        <v>504.10211714285725</v>
      </c>
      <c r="BD6" s="9">
        <f>(Zilla!BJ6/100+Vito!BH6/100)/2</f>
        <v>518.7033885714286</v>
      </c>
      <c r="BE6" s="9">
        <f>(Zilla!BK6/100+Vito!BI6/100)/2</f>
        <v>533.30466000000013</v>
      </c>
      <c r="BF6" s="9">
        <f>(Zilla!BL6/100+Vito!BJ6/100)/2</f>
        <v>547.90593142857153</v>
      </c>
      <c r="BG6" s="9">
        <f>(Zilla!BM6/100+Vito!BK6/100)/2</f>
        <v>562.50720285714306</v>
      </c>
      <c r="BH6" s="9">
        <f>(Zilla!BN6/100+Vito!BL6/100)/2</f>
        <v>577.10847428571446</v>
      </c>
      <c r="BI6" s="9">
        <f>(Zilla!BO6/100+Vito!BM6/100)/2</f>
        <v>591.70974571428576</v>
      </c>
      <c r="BJ6" s="9">
        <f>(Zilla!BP6/100+Vito!BN6/100)/2</f>
        <v>606.31101714285728</v>
      </c>
      <c r="BK6" s="9">
        <f>(Zilla!BQ6/100+Vito!BO6/100)/2</f>
        <v>620.91228857142869</v>
      </c>
      <c r="BL6" s="9">
        <f>(Zilla!BR6/100+Vito!BP6/100)/2</f>
        <v>635.5135600000001</v>
      </c>
      <c r="BM6" s="9">
        <f>(Zilla!BS6/100+Vito!BQ6/100)/2</f>
        <v>650.11483142857151</v>
      </c>
      <c r="BN6" s="9">
        <f>(Zilla!BT6/100+Vito!BR6/100)/2</f>
        <v>664.71610285714291</v>
      </c>
      <c r="BO6" s="9">
        <f>(Zilla!BU6/100+Vito!BS6/100)/2</f>
        <v>679.31737428571432</v>
      </c>
      <c r="BP6" s="9">
        <f>(Zilla!BV6/100+Vito!BT6/100)/2</f>
        <v>693.91864571428584</v>
      </c>
      <c r="BQ6" s="9">
        <f>(Zilla!BW6/100+Vito!BU6/100)/2</f>
        <v>708.51991714285714</v>
      </c>
      <c r="BR6" s="9">
        <f>(Zilla!BX6/100+Vito!BV6/100)/2</f>
        <v>723.12618857142866</v>
      </c>
      <c r="BS6" s="9">
        <f>(Zilla!BY6/100+Vito!BW6/100)/2</f>
        <v>737.73745999999994</v>
      </c>
      <c r="BT6" s="9">
        <f>(Zilla!BZ6/100+Vito!BX6/100)/2</f>
        <v>752.35373142857156</v>
      </c>
      <c r="BU6" s="9">
        <f>(Zilla!CA6/100+Vito!BY6/100)/2</f>
        <v>766.97500285714284</v>
      </c>
      <c r="BV6" s="9">
        <f>(Zilla!CB6/100+Vito!BZ6/100)/2</f>
        <v>738.61127428571433</v>
      </c>
      <c r="BW6" s="9">
        <f>(Zilla!CC6/100+Vito!CA6/100)/2</f>
        <v>755.2425457142856</v>
      </c>
      <c r="BX6" s="9">
        <f>(Zilla!CD6/100+Vito!CB6/100)/2</f>
        <v>771.87881714285709</v>
      </c>
      <c r="BY6" s="9">
        <f>(Zilla!CE6/100+Vito!CC6/100)/2</f>
        <v>788.52008857142846</v>
      </c>
      <c r="BZ6" s="9">
        <f>(Zilla!CF6/100+Vito!CD6/100)/2</f>
        <v>805.16635999999994</v>
      </c>
      <c r="CA6" s="9">
        <f>(Zilla!CG6/100+Vito!CE6/100)/2</f>
        <v>846.8176314285713</v>
      </c>
      <c r="CB6" s="9"/>
      <c r="CC6" s="9"/>
    </row>
    <row r="7" spans="1:81" x14ac:dyDescent="0.45">
      <c r="A7" s="6" t="s">
        <v>128</v>
      </c>
      <c r="B7" s="9">
        <f>Vito!F6/100</f>
        <v>52.23</v>
      </c>
      <c r="C7" s="9">
        <f>Vito!G6/100</f>
        <v>54.79</v>
      </c>
      <c r="D7" s="9">
        <f>Vito!H6/100</f>
        <v>57.74</v>
      </c>
      <c r="E7" s="9">
        <f>Vito!I6/100</f>
        <v>60.24</v>
      </c>
      <c r="F7" s="9">
        <f>Vito!J6/100</f>
        <v>63.04</v>
      </c>
      <c r="G7" s="9">
        <f>Vito!K6/100</f>
        <v>65.84</v>
      </c>
      <c r="H7" s="9">
        <f>Vito!L6/100</f>
        <v>68.64</v>
      </c>
      <c r="I7" s="9">
        <f>Vito!M6/100</f>
        <v>71.44</v>
      </c>
      <c r="J7" s="9">
        <f>Vito!N6/100</f>
        <v>74.239999999999995</v>
      </c>
      <c r="K7" s="9">
        <f>Vito!O6/100</f>
        <v>80.540000000000006</v>
      </c>
      <c r="L7" s="9">
        <f>Vito!P6/100</f>
        <v>83.34</v>
      </c>
      <c r="M7" s="9">
        <f>Vito!Q6/100</f>
        <v>85.64</v>
      </c>
      <c r="N7" s="9">
        <f>Vito!R6/100</f>
        <v>88.44</v>
      </c>
      <c r="O7" s="9">
        <f>Vito!S6/100</f>
        <v>91.24</v>
      </c>
      <c r="P7" s="9">
        <f>Vito!T6/100</f>
        <v>94.04</v>
      </c>
      <c r="Q7" s="9">
        <f>Vito!U6/100</f>
        <v>96.84</v>
      </c>
      <c r="R7" s="9">
        <f>Vito!V6/100</f>
        <v>99.64</v>
      </c>
      <c r="S7" s="9">
        <f>Vito!W6/100</f>
        <v>102.44</v>
      </c>
      <c r="T7" s="9">
        <f>Vito!X6/100</f>
        <v>105.24</v>
      </c>
      <c r="U7" s="9">
        <f>Vito!Y6/100</f>
        <v>108.04</v>
      </c>
      <c r="V7" s="9">
        <f>Vito!Z6/100</f>
        <v>110.84</v>
      </c>
      <c r="W7" s="9">
        <f>Vito!AA6/100</f>
        <v>113.64</v>
      </c>
      <c r="X7" s="9">
        <f>Vito!AB6/100</f>
        <v>116.44</v>
      </c>
      <c r="Y7" s="9">
        <f>Vito!AC6/100</f>
        <v>119.24</v>
      </c>
      <c r="Z7" s="9">
        <f>Vito!AD6/100</f>
        <v>114.14</v>
      </c>
      <c r="AA7" s="9">
        <f>Vito!AE6/100</f>
        <v>109.04</v>
      </c>
      <c r="AB7" s="9">
        <f>Vito!AF6/100</f>
        <v>103.94</v>
      </c>
      <c r="AC7" s="9">
        <f>Vito!AG6/100</f>
        <v>97.14</v>
      </c>
      <c r="AD7" s="9">
        <f>Vito!AH6/100</f>
        <v>92.04</v>
      </c>
      <c r="AE7" s="9">
        <f>Vito!AI6/100</f>
        <v>86.94</v>
      </c>
      <c r="AF7" s="9">
        <f>Vito!AJ6/100</f>
        <v>83.04</v>
      </c>
      <c r="AG7" s="9">
        <f>Vito!AK6/100</f>
        <v>79.94</v>
      </c>
      <c r="AH7" s="9">
        <f>Vito!AL6/100</f>
        <v>76.84</v>
      </c>
      <c r="AI7" s="9">
        <f>Vito!AM6/100</f>
        <v>76.040000000000006</v>
      </c>
      <c r="AJ7" s="9">
        <f>Vito!AN6/100</f>
        <v>75.94</v>
      </c>
      <c r="AK7" s="9">
        <f>Vito!AO6/100</f>
        <v>84.84</v>
      </c>
      <c r="AL7" s="9">
        <f>Vito!AP6/100</f>
        <v>94.94</v>
      </c>
      <c r="AM7" s="9">
        <f>Vito!AQ6/100</f>
        <v>103.84</v>
      </c>
      <c r="AN7" s="9">
        <f>Vito!AR6/100</f>
        <v>112.74</v>
      </c>
      <c r="AO7" s="9">
        <f>Vito!AS6/100</f>
        <v>118.34</v>
      </c>
      <c r="AP7" s="9">
        <f>Vito!AT6/100</f>
        <v>123.94</v>
      </c>
      <c r="AQ7" s="9">
        <f>Vito!AU6/100</f>
        <v>135.54</v>
      </c>
      <c r="AR7" s="9">
        <f>Vito!AV6/100</f>
        <v>147.13999999999999</v>
      </c>
      <c r="AS7" s="9">
        <f>Vito!AW6/100</f>
        <v>158.74</v>
      </c>
      <c r="AT7" s="9">
        <f>Vito!AX6/100</f>
        <v>170.34</v>
      </c>
      <c r="AU7" s="9">
        <f>Vito!AY6/100</f>
        <v>180.44</v>
      </c>
      <c r="AV7" s="9">
        <f>Vito!AZ6/100</f>
        <v>192.04</v>
      </c>
      <c r="AW7" s="9">
        <f>Vito!BA6/100</f>
        <v>203.64</v>
      </c>
      <c r="AX7" s="9">
        <f>Vito!BB6/100</f>
        <v>215.24</v>
      </c>
      <c r="AY7" s="9">
        <f>Vito!BC6/100</f>
        <v>226.84</v>
      </c>
      <c r="AZ7" s="9">
        <f>(Zilla!BF6/100+Vito!BD6/100)/2</f>
        <v>460.29830285714297</v>
      </c>
      <c r="BA7" s="9">
        <f>(Zilla!BG6/100+Vito!BE6/100)/2</f>
        <v>474.89957428571438</v>
      </c>
      <c r="BB7" s="9">
        <f>(Zilla!BH6/100+Vito!BF6/100)/2</f>
        <v>489.50084571428584</v>
      </c>
      <c r="BC7" s="9">
        <f>(Zilla!BI6/100+Vito!BG6/100)/2</f>
        <v>504.10211714285725</v>
      </c>
      <c r="BD7" s="9">
        <f>(Zilla!BJ6/100+Vito!BH6/100)/2</f>
        <v>518.7033885714286</v>
      </c>
      <c r="BE7" s="9">
        <f>(Zilla!BK6/100+Vito!BI6/100)/2</f>
        <v>533.30466000000013</v>
      </c>
      <c r="BF7" s="9">
        <f>(Zilla!BL6/100+Vito!BJ6/100)/2</f>
        <v>547.90593142857153</v>
      </c>
      <c r="BG7" s="9">
        <f>(Zilla!BM6/100+Vito!BK6/100)/2</f>
        <v>562.50720285714306</v>
      </c>
      <c r="BH7" s="9">
        <f>(Zilla!BN6/100+Vito!BL6/100)/2</f>
        <v>577.10847428571446</v>
      </c>
      <c r="BI7" s="9">
        <f>(Zilla!BO6/100+Vito!BM6/100)/2</f>
        <v>591.70974571428576</v>
      </c>
      <c r="BJ7" s="9">
        <f>(Zilla!BP6/100+Vito!BN6/100)/2</f>
        <v>606.31101714285728</v>
      </c>
      <c r="BK7" s="9">
        <f>(Zilla!BQ6/100+Vito!BO6/100)/2</f>
        <v>620.91228857142869</v>
      </c>
      <c r="BL7" s="9">
        <f>(Zilla!BR6/100+Vito!BP6/100)/2</f>
        <v>635.5135600000001</v>
      </c>
      <c r="BM7" s="9">
        <f>(Zilla!BS6/100+Vito!BQ6/100)/2</f>
        <v>650.11483142857151</v>
      </c>
      <c r="BN7" s="9">
        <f>(Zilla!BT6/100+Vito!BR6/100)/2</f>
        <v>664.71610285714291</v>
      </c>
      <c r="BO7" s="9">
        <f>(Zilla!BU6/100+Vito!BS6/100)/2</f>
        <v>679.31737428571432</v>
      </c>
      <c r="BP7" s="9">
        <f>(Zilla!BV6/100+Vito!BT6/100)/2</f>
        <v>693.91864571428584</v>
      </c>
      <c r="BQ7" s="9">
        <f>(Zilla!BW6/100+Vito!BU6/100)/2</f>
        <v>708.51991714285714</v>
      </c>
      <c r="BR7" s="9">
        <f>(Zilla!BX6/100+Vito!BV6/100)/2</f>
        <v>723.12618857142866</v>
      </c>
      <c r="BS7" s="9">
        <f>(Zilla!BY6/100+Vito!BW6/100)/2</f>
        <v>737.73745999999994</v>
      </c>
      <c r="BT7" s="9">
        <f>(Zilla!BZ6/100+Vito!BX6/100)/2</f>
        <v>752.35373142857156</v>
      </c>
      <c r="BU7" s="9">
        <f>(Zilla!CA6/100+Vito!BY6/100)/2</f>
        <v>766.97500285714284</v>
      </c>
      <c r="BV7" s="9">
        <f>(Zilla!CB6/100+Vito!BZ6/100)/2</f>
        <v>738.61127428571433</v>
      </c>
      <c r="BW7" s="9">
        <f>(Zilla!CC6/100+Vito!CA6/100)/2</f>
        <v>755.2425457142856</v>
      </c>
      <c r="BX7" s="9">
        <f>(Zilla!CD6/100+Vito!CB6/100)/2</f>
        <v>771.87881714285709</v>
      </c>
      <c r="BY7" s="9">
        <f>(Zilla!CE6/100+Vito!CC6/100)/2</f>
        <v>788.52008857142846</v>
      </c>
      <c r="BZ7" s="9">
        <f>(Zilla!CF6/100+Vito!CD6/100)/2</f>
        <v>805.16635999999994</v>
      </c>
      <c r="CA7" s="9">
        <f>(Zilla!CG6/100+Vito!CE6/100)/2</f>
        <v>846.8176314285713</v>
      </c>
      <c r="CB7" s="9"/>
      <c r="CC7" s="9"/>
    </row>
    <row r="8" spans="1:81" x14ac:dyDescent="0.45">
      <c r="A8" s="6" t="s">
        <v>449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>
        <f>(Zilla!BF6/100+Vito!BD6/100)/2</f>
        <v>460.29830285714297</v>
      </c>
      <c r="BA8" s="9">
        <f>(Zilla!BG6/100+Vito!BE6/100)/2</f>
        <v>474.89957428571438</v>
      </c>
      <c r="BB8" s="9">
        <f>(Zilla!BH6/100+Vito!BF6/100)/2</f>
        <v>489.50084571428584</v>
      </c>
      <c r="BC8" s="9">
        <f>(Zilla!BI6/100+Vito!BG6/100)/2</f>
        <v>504.10211714285725</v>
      </c>
      <c r="BD8" s="9">
        <f>(Zilla!BJ6/100+Vito!BH6/100)/2</f>
        <v>518.7033885714286</v>
      </c>
      <c r="BE8" s="9">
        <f>(Zilla!BK6/100+Vito!BI6/100)/2</f>
        <v>533.30466000000013</v>
      </c>
      <c r="BF8" s="9">
        <f>(Zilla!BL6/100+Vito!BJ6/100)/2</f>
        <v>547.90593142857153</v>
      </c>
      <c r="BG8" s="9">
        <f>(Zilla!BM6/100+Vito!BK6/100)/2</f>
        <v>562.50720285714306</v>
      </c>
      <c r="BH8" s="9">
        <f>(Zilla!BN6/100+Vito!BL6/100)/2</f>
        <v>577.10847428571446</v>
      </c>
      <c r="BI8" s="9">
        <f>(Zilla!BO6/100+Vito!BM6/100)/2</f>
        <v>591.70974571428576</v>
      </c>
      <c r="BJ8" s="9">
        <f>(Zilla!BP6/100+Vito!BN6/100)/2</f>
        <v>606.31101714285728</v>
      </c>
      <c r="BK8" s="9">
        <f>(Zilla!BQ6/100+Vito!BO6/100)/2</f>
        <v>620.91228857142869</v>
      </c>
      <c r="BL8" s="9">
        <f>(Zilla!BR6/100+Vito!BP6/100)/2</f>
        <v>635.5135600000001</v>
      </c>
      <c r="BM8" s="9">
        <f>(Zilla!BS6/100+Vito!BQ6/100)/2</f>
        <v>650.11483142857151</v>
      </c>
      <c r="BN8" s="9">
        <f>(Zilla!BT6/100+Vito!BR6/100)/2</f>
        <v>664.71610285714291</v>
      </c>
      <c r="BO8" s="9">
        <f>(Zilla!BU6/100+Vito!BS6/100)/2</f>
        <v>679.31737428571432</v>
      </c>
      <c r="BP8" s="9">
        <f>(Zilla!BV6/100+Vito!BT6/100)/2</f>
        <v>693.91864571428584</v>
      </c>
      <c r="BQ8" s="9">
        <f>(Zilla!BW6/100+Vito!BU6/100)/2</f>
        <v>708.51991714285714</v>
      </c>
      <c r="BR8" s="9">
        <f>(Zilla!BX6/100+Vito!BV6/100)/2</f>
        <v>723.12618857142866</v>
      </c>
      <c r="BS8" s="9">
        <f>(Zilla!BY6/100+Vito!BW6/100)/2</f>
        <v>737.73745999999994</v>
      </c>
      <c r="BT8" s="9">
        <f>(Zilla!BZ6/100+Vito!BX6/100)/2</f>
        <v>752.35373142857156</v>
      </c>
      <c r="BU8" s="9">
        <f>(Zilla!CA6/100+Vito!BY6/100)/2</f>
        <v>766.97500285714284</v>
      </c>
      <c r="BV8" s="9">
        <f>(Zilla!CB6/100+Vito!BZ6/100)/2</f>
        <v>738.61127428571433</v>
      </c>
      <c r="BW8" s="9">
        <f>(Zilla!CC6/100+Vito!CA6/100)/2</f>
        <v>755.2425457142856</v>
      </c>
      <c r="BX8" s="9">
        <f>(Zilla!CD6/100+Vito!CB6/100)/2</f>
        <v>771.87881714285709</v>
      </c>
      <c r="BY8" s="9">
        <f>(Zilla!CE6/100+Vito!CC6/100)/2</f>
        <v>788.52008857142846</v>
      </c>
      <c r="BZ8" s="9">
        <f>(Zilla!CF6/100+Vito!CD6/100)/2</f>
        <v>805.16635999999994</v>
      </c>
      <c r="CA8" s="9">
        <f>(Zilla!CG6/100+Vito!CE6/100)/2</f>
        <v>846.8176314285713</v>
      </c>
    </row>
    <row r="9" spans="1:81" x14ac:dyDescent="0.45">
      <c r="AH9" s="9"/>
    </row>
    <row r="10" spans="1:81" x14ac:dyDescent="0.45">
      <c r="V10" s="9"/>
      <c r="W10" s="9"/>
      <c r="X10" s="9"/>
      <c r="Y10" s="9"/>
    </row>
    <row r="11" spans="1:81" x14ac:dyDescent="0.45">
      <c r="N11" s="183">
        <v>45862</v>
      </c>
      <c r="O11" s="183">
        <v>45918</v>
      </c>
      <c r="BU11" s="9"/>
      <c r="BV11" s="9"/>
      <c r="BW11" s="9"/>
      <c r="BX11" s="9"/>
      <c r="BY11" s="9"/>
      <c r="BZ11" s="9"/>
      <c r="CA11" s="9"/>
    </row>
    <row r="12" spans="1:81" x14ac:dyDescent="0.45">
      <c r="B12" s="60"/>
      <c r="Y12" s="9"/>
      <c r="BU12" s="9"/>
      <c r="BV12" s="9"/>
      <c r="BW12" s="9"/>
      <c r="BX12" s="9"/>
      <c r="BY12" s="9"/>
      <c r="BZ12" s="9"/>
      <c r="CA12" s="9"/>
    </row>
    <row r="13" spans="1:81" x14ac:dyDescent="0.45">
      <c r="B13" s="60"/>
      <c r="N13" s="6" t="s">
        <v>307</v>
      </c>
      <c r="O13" s="6" t="s">
        <v>307</v>
      </c>
      <c r="Y13" s="9"/>
      <c r="BU13" s="9"/>
      <c r="BV13" s="9"/>
      <c r="BW13" s="9"/>
      <c r="BX13" s="9"/>
      <c r="BY13" s="9"/>
      <c r="BZ13" s="9"/>
      <c r="CA13" s="9"/>
    </row>
    <row r="14" spans="1:81" x14ac:dyDescent="0.45">
      <c r="B14" s="60"/>
      <c r="M14" s="6" t="s">
        <v>308</v>
      </c>
      <c r="N14" s="6">
        <v>25485</v>
      </c>
      <c r="O14" s="6">
        <v>32000</v>
      </c>
      <c r="P14" s="134"/>
      <c r="Y14" s="9"/>
      <c r="BU14" s="9"/>
      <c r="BV14" s="9"/>
      <c r="BW14" s="9"/>
      <c r="BX14" s="9"/>
      <c r="BY14" s="9"/>
      <c r="BZ14" s="9"/>
      <c r="CA14" s="9"/>
    </row>
    <row r="15" spans="1:81" x14ac:dyDescent="0.45">
      <c r="B15" s="60"/>
      <c r="M15" s="6" t="s">
        <v>309</v>
      </c>
      <c r="N15" s="6">
        <v>18937</v>
      </c>
      <c r="O15" s="6">
        <v>21400</v>
      </c>
      <c r="Y15" s="9"/>
      <c r="BU15" s="9"/>
      <c r="BV15" s="9"/>
      <c r="BW15" s="9"/>
      <c r="BX15" s="9"/>
      <c r="BY15" s="9"/>
      <c r="BZ15" s="9"/>
      <c r="CA15" s="9"/>
    </row>
    <row r="16" spans="1:81" x14ac:dyDescent="0.45">
      <c r="B16" s="60"/>
      <c r="M16" s="6" t="s">
        <v>310</v>
      </c>
      <c r="N16" s="6">
        <v>9353</v>
      </c>
      <c r="O16" s="6">
        <v>10300</v>
      </c>
    </row>
    <row r="17" spans="2:76" x14ac:dyDescent="0.45">
      <c r="B17" s="60"/>
      <c r="M17" s="6" t="s">
        <v>311</v>
      </c>
      <c r="N17" s="6">
        <f>N18-SUM(N14:N16)</f>
        <v>11296</v>
      </c>
      <c r="O17" s="6">
        <f>O18-SUM(O14:O16)</f>
        <v>15000</v>
      </c>
      <c r="BX17" s="9"/>
    </row>
    <row r="18" spans="2:76" x14ac:dyDescent="0.45">
      <c r="M18" s="6" t="s">
        <v>306</v>
      </c>
      <c r="N18" s="6">
        <v>65071</v>
      </c>
      <c r="O18" s="6">
        <v>78700</v>
      </c>
      <c r="BX18" s="9"/>
    </row>
    <row r="19" spans="2:76" x14ac:dyDescent="0.45">
      <c r="BX19" s="9"/>
    </row>
    <row r="21" spans="2:76" x14ac:dyDescent="0.45">
      <c r="N21" s="8"/>
      <c r="O21" s="8"/>
    </row>
    <row r="22" spans="2:76" x14ac:dyDescent="0.45">
      <c r="N22" s="8"/>
      <c r="O22" s="8"/>
    </row>
    <row r="23" spans="2:76" x14ac:dyDescent="0.45">
      <c r="N23" s="8"/>
      <c r="O23" s="8"/>
    </row>
    <row r="24" spans="2:76" x14ac:dyDescent="0.45">
      <c r="N24" s="8"/>
      <c r="O24" s="8"/>
    </row>
    <row r="33" spans="2:28" x14ac:dyDescent="0.45">
      <c r="S33" s="19"/>
      <c r="T33" s="19"/>
      <c r="U33" s="19"/>
      <c r="V33" s="19"/>
      <c r="W33" s="19"/>
    </row>
    <row r="34" spans="2:28" x14ac:dyDescent="0.45">
      <c r="B34" s="8"/>
      <c r="C34" s="8"/>
      <c r="D34" s="8"/>
      <c r="E34" s="8"/>
      <c r="F34" s="8"/>
      <c r="G34" s="89"/>
      <c r="H34" s="8"/>
      <c r="I34" s="8"/>
      <c r="J34" s="8"/>
      <c r="K34" s="8"/>
      <c r="L34" s="8"/>
      <c r="V34" s="18"/>
      <c r="W34" s="18"/>
    </row>
    <row r="35" spans="2:28" x14ac:dyDescent="0.45">
      <c r="B35" s="8"/>
      <c r="C35" s="8"/>
      <c r="D35" s="8"/>
      <c r="E35" s="8"/>
      <c r="F35" s="8"/>
      <c r="G35" s="89"/>
      <c r="H35" s="8"/>
      <c r="I35" s="8"/>
      <c r="J35" s="8"/>
      <c r="K35" s="8"/>
      <c r="V35" s="18"/>
      <c r="W35" s="18"/>
    </row>
    <row r="36" spans="2:28" x14ac:dyDescent="0.45">
      <c r="B36" s="8"/>
      <c r="C36" s="8"/>
      <c r="D36" s="8"/>
      <c r="E36" s="8"/>
      <c r="F36" s="8"/>
      <c r="G36" s="89"/>
      <c r="H36" s="8"/>
      <c r="I36" s="8"/>
      <c r="J36" s="8"/>
      <c r="K36" s="8"/>
      <c r="V36" s="18"/>
      <c r="W36" s="18"/>
    </row>
    <row r="37" spans="2:28" x14ac:dyDescent="0.45">
      <c r="V37" s="18"/>
      <c r="W37" s="18"/>
    </row>
    <row r="38" spans="2:28" x14ac:dyDescent="0.45">
      <c r="B38" s="8"/>
      <c r="C38" s="8"/>
      <c r="D38" s="8"/>
      <c r="H38" s="8"/>
      <c r="I38" s="8"/>
      <c r="J38" s="8"/>
      <c r="V38" s="18"/>
      <c r="W38" s="18"/>
      <c r="AB38" s="8"/>
    </row>
    <row r="39" spans="2:28" x14ac:dyDescent="0.45">
      <c r="V39" s="18"/>
      <c r="W39" s="18"/>
    </row>
    <row r="40" spans="2:28" x14ac:dyDescent="0.45">
      <c r="V40" s="18"/>
      <c r="W40" s="18"/>
    </row>
    <row r="41" spans="2:28" x14ac:dyDescent="0.45">
      <c r="V41" s="18"/>
      <c r="W41" s="18"/>
    </row>
    <row r="42" spans="2:28" x14ac:dyDescent="0.45">
      <c r="G42" s="90"/>
      <c r="K42" s="9"/>
      <c r="L42" s="9"/>
      <c r="M42" s="9"/>
      <c r="N42" s="9"/>
      <c r="O42" s="9"/>
    </row>
    <row r="43" spans="2:28" x14ac:dyDescent="0.45">
      <c r="G43" s="90"/>
      <c r="K43" s="9"/>
      <c r="L43" s="9"/>
      <c r="M43" s="9"/>
      <c r="N43" s="9"/>
      <c r="O43" s="9"/>
    </row>
    <row r="44" spans="2:28" x14ac:dyDescent="0.45">
      <c r="G44" s="90"/>
      <c r="K44" s="9"/>
      <c r="L44" s="9"/>
      <c r="M44" s="9"/>
      <c r="N44" s="9"/>
      <c r="O44" s="9"/>
    </row>
    <row r="45" spans="2:28" x14ac:dyDescent="0.45">
      <c r="K45" s="9"/>
      <c r="L45" s="9"/>
      <c r="M45" s="9"/>
      <c r="N45" s="9"/>
      <c r="O45" s="9"/>
      <c r="S45" s="7"/>
    </row>
    <row r="46" spans="2:28" x14ac:dyDescent="0.45">
      <c r="G46" s="90"/>
      <c r="H46" s="9"/>
      <c r="I46" s="9"/>
      <c r="J46" s="9"/>
      <c r="K46" s="9"/>
      <c r="L46" s="9"/>
      <c r="M46" s="9"/>
      <c r="N46" s="9"/>
      <c r="O46" s="10"/>
      <c r="S46" s="7"/>
    </row>
    <row r="47" spans="2:28" x14ac:dyDescent="0.45">
      <c r="J47" s="9"/>
      <c r="K47" s="9"/>
      <c r="L47" s="9"/>
      <c r="M47" s="9"/>
      <c r="N47" s="9"/>
      <c r="S47" s="7"/>
    </row>
    <row r="48" spans="2:28" x14ac:dyDescent="0.45">
      <c r="S48" s="7"/>
    </row>
    <row r="49" spans="3:19" x14ac:dyDescent="0.45">
      <c r="S49" s="7"/>
    </row>
    <row r="53" spans="3:19" x14ac:dyDescent="0.45">
      <c r="C53" s="6" t="s">
        <v>6</v>
      </c>
      <c r="D53" s="6">
        <v>1000</v>
      </c>
      <c r="F53" s="6">
        <f>AVERAGE(D53:D54)</f>
        <v>750</v>
      </c>
      <c r="I53" s="6">
        <v>1500</v>
      </c>
      <c r="J53" s="6" t="s">
        <v>62</v>
      </c>
    </row>
    <row r="54" spans="3:19" x14ac:dyDescent="0.45">
      <c r="C54" s="6" t="s">
        <v>5</v>
      </c>
      <c r="D54" s="6">
        <v>500</v>
      </c>
      <c r="F54" s="6">
        <f>(D53-D54)/2</f>
        <v>250</v>
      </c>
      <c r="I54" s="6">
        <f>I53/100</f>
        <v>15</v>
      </c>
      <c r="J54" s="6" t="s">
        <v>70</v>
      </c>
    </row>
    <row r="55" spans="3:19" x14ac:dyDescent="0.45">
      <c r="C55" s="6" t="s">
        <v>8</v>
      </c>
      <c r="D55" s="6">
        <v>9</v>
      </c>
      <c r="F55" s="6">
        <f>AVERAGE(D55:D56)</f>
        <v>6.5</v>
      </c>
      <c r="I55" s="6">
        <f>I53/0.375*3.6/100</f>
        <v>144</v>
      </c>
      <c r="J55" s="6" t="s">
        <v>61</v>
      </c>
    </row>
    <row r="56" spans="3:19" x14ac:dyDescent="0.45">
      <c r="C56" s="6" t="s">
        <v>7</v>
      </c>
      <c r="D56" s="6">
        <v>4</v>
      </c>
      <c r="F56" s="6">
        <f>(D55-D56)/2</f>
        <v>2.5</v>
      </c>
      <c r="I56" s="6">
        <f>10000/40</f>
        <v>250</v>
      </c>
      <c r="J56" s="6" t="s">
        <v>11</v>
      </c>
    </row>
    <row r="58" spans="3:19" x14ac:dyDescent="0.45">
      <c r="C58" s="6" t="s">
        <v>9</v>
      </c>
      <c r="D58" s="6">
        <f>F58+F59</f>
        <v>8375</v>
      </c>
      <c r="F58" s="6">
        <f>F53*F55</f>
        <v>4875</v>
      </c>
    </row>
    <row r="59" spans="3:19" x14ac:dyDescent="0.45">
      <c r="C59" s="6" t="s">
        <v>10</v>
      </c>
      <c r="D59" s="6">
        <f>F58-F59</f>
        <v>1375</v>
      </c>
      <c r="F59" s="6">
        <f>F53*F56+F54*F55</f>
        <v>3500</v>
      </c>
    </row>
    <row r="65" spans="1:16" x14ac:dyDescent="0.45">
      <c r="C65" s="6" t="s">
        <v>130</v>
      </c>
      <c r="D65" s="6">
        <f>3300 + 2100 + 1900</f>
        <v>7300</v>
      </c>
    </row>
    <row r="66" spans="1:16" x14ac:dyDescent="0.45">
      <c r="C66" s="6" t="s">
        <v>131</v>
      </c>
      <c r="D66" s="6">
        <v>10</v>
      </c>
    </row>
    <row r="67" spans="1:16" x14ac:dyDescent="0.45">
      <c r="C67" s="6" t="s">
        <v>132</v>
      </c>
      <c r="D67" s="6">
        <v>330</v>
      </c>
    </row>
    <row r="68" spans="1:16" x14ac:dyDescent="0.45">
      <c r="C68" s="6" t="s">
        <v>133</v>
      </c>
      <c r="D68" s="6">
        <f>D67/D66</f>
        <v>33</v>
      </c>
    </row>
    <row r="69" spans="1:16" x14ac:dyDescent="0.45">
      <c r="C69" s="6" t="s">
        <v>134</v>
      </c>
      <c r="D69" s="6">
        <f>D68*D65</f>
        <v>240900</v>
      </c>
    </row>
    <row r="73" spans="1:16" x14ac:dyDescent="0.45">
      <c r="B73" s="83"/>
      <c r="C73" s="83"/>
      <c r="D73" s="83"/>
      <c r="E73" s="83"/>
      <c r="F73" s="83"/>
      <c r="H73" s="83"/>
      <c r="I73" s="83"/>
    </row>
    <row r="74" spans="1:16" ht="72" x14ac:dyDescent="0.55000000000000004">
      <c r="A74" s="88" t="s">
        <v>238</v>
      </c>
      <c r="C74" s="87" t="s">
        <v>236</v>
      </c>
      <c r="D74" s="85" t="s">
        <v>230</v>
      </c>
      <c r="E74" s="85" t="s">
        <v>231</v>
      </c>
      <c r="F74" s="83" t="s">
        <v>232</v>
      </c>
      <c r="G74" s="88" t="s">
        <v>239</v>
      </c>
      <c r="H74" s="83"/>
      <c r="J74" s="87" t="s">
        <v>237</v>
      </c>
      <c r="K74" s="85" t="s">
        <v>230</v>
      </c>
      <c r="L74" s="85" t="s">
        <v>231</v>
      </c>
      <c r="M74" s="6" t="s">
        <v>232</v>
      </c>
      <c r="N74" s="88" t="s">
        <v>239</v>
      </c>
      <c r="O74" s="19" t="s">
        <v>233</v>
      </c>
    </row>
    <row r="75" spans="1:16" x14ac:dyDescent="0.45">
      <c r="A75" s="86">
        <v>100</v>
      </c>
      <c r="C75" s="83"/>
      <c r="D75" s="86">
        <v>100</v>
      </c>
      <c r="E75" s="84">
        <v>0</v>
      </c>
      <c r="F75" s="83">
        <v>0</v>
      </c>
      <c r="G75" s="83">
        <v>0</v>
      </c>
      <c r="H75" s="91" t="s">
        <v>234</v>
      </c>
      <c r="K75" s="86">
        <v>100</v>
      </c>
      <c r="L75" s="84">
        <v>0</v>
      </c>
      <c r="M75" s="83">
        <v>0</v>
      </c>
      <c r="N75" s="83">
        <v>0</v>
      </c>
      <c r="O75" s="83">
        <v>0</v>
      </c>
      <c r="P75" s="91" t="s">
        <v>234</v>
      </c>
    </row>
    <row r="76" spans="1:16" x14ac:dyDescent="0.45">
      <c r="A76" s="86">
        <v>100</v>
      </c>
      <c r="C76" s="83"/>
      <c r="D76" s="86">
        <v>0</v>
      </c>
      <c r="E76" s="84">
        <v>1</v>
      </c>
      <c r="F76" s="83">
        <v>0</v>
      </c>
      <c r="G76" s="83">
        <v>0</v>
      </c>
      <c r="H76" s="91"/>
      <c r="K76" s="86">
        <v>0</v>
      </c>
      <c r="L76" s="84">
        <v>1</v>
      </c>
      <c r="M76" s="83">
        <v>0</v>
      </c>
      <c r="N76" s="83">
        <v>0</v>
      </c>
      <c r="O76" s="83">
        <v>0</v>
      </c>
      <c r="P76" s="91"/>
    </row>
    <row r="77" spans="1:16" x14ac:dyDescent="0.45">
      <c r="A77" s="86">
        <v>100</v>
      </c>
      <c r="C77" s="83"/>
      <c r="D77" s="86">
        <v>0</v>
      </c>
      <c r="E77" s="84">
        <v>1</v>
      </c>
      <c r="F77" s="83">
        <v>0</v>
      </c>
      <c r="G77" s="83">
        <v>0</v>
      </c>
      <c r="H77" s="91"/>
      <c r="K77" s="86">
        <v>0</v>
      </c>
      <c r="L77" s="84">
        <v>1</v>
      </c>
      <c r="M77" s="83">
        <v>0</v>
      </c>
      <c r="N77" s="83">
        <v>0</v>
      </c>
      <c r="O77" s="83">
        <v>0</v>
      </c>
      <c r="P77" s="91"/>
    </row>
    <row r="78" spans="1:16" x14ac:dyDescent="0.45">
      <c r="A78" s="86">
        <v>50</v>
      </c>
      <c r="C78" s="83"/>
      <c r="D78" s="86">
        <v>0</v>
      </c>
      <c r="E78" s="84">
        <v>1</v>
      </c>
      <c r="F78" s="83">
        <v>0</v>
      </c>
      <c r="G78" s="83">
        <v>0</v>
      </c>
      <c r="H78" s="91"/>
      <c r="K78" s="86">
        <v>0</v>
      </c>
      <c r="L78" s="84">
        <v>1</v>
      </c>
      <c r="M78" s="83">
        <v>0</v>
      </c>
      <c r="N78" s="83">
        <v>0</v>
      </c>
      <c r="O78" s="83">
        <v>0</v>
      </c>
      <c r="P78" s="91"/>
    </row>
    <row r="79" spans="1:16" x14ac:dyDescent="0.45">
      <c r="A79" s="86">
        <v>50</v>
      </c>
      <c r="C79" s="83"/>
      <c r="D79" s="86">
        <v>0</v>
      </c>
      <c r="E79" s="84">
        <v>1</v>
      </c>
      <c r="F79" s="83">
        <v>0</v>
      </c>
      <c r="G79" s="83">
        <v>0</v>
      </c>
      <c r="H79" s="91"/>
      <c r="K79" s="86">
        <v>50</v>
      </c>
      <c r="L79" s="84">
        <v>0</v>
      </c>
      <c r="M79" s="83">
        <v>0</v>
      </c>
      <c r="N79" s="83">
        <v>0</v>
      </c>
      <c r="O79" s="83">
        <f>K75-K79</f>
        <v>50</v>
      </c>
      <c r="P79" s="92" t="s">
        <v>235</v>
      </c>
    </row>
    <row r="80" spans="1:16" x14ac:dyDescent="0.45">
      <c r="A80" s="86">
        <v>50</v>
      </c>
      <c r="C80" s="83"/>
      <c r="D80" s="86">
        <v>0</v>
      </c>
      <c r="E80" s="84">
        <v>1</v>
      </c>
      <c r="F80" s="83">
        <v>0</v>
      </c>
      <c r="G80" s="83">
        <v>0</v>
      </c>
      <c r="H80" s="91"/>
      <c r="K80" s="86">
        <v>0</v>
      </c>
      <c r="L80" s="84">
        <v>1</v>
      </c>
      <c r="M80" s="83">
        <v>0</v>
      </c>
      <c r="N80" s="83">
        <v>0</v>
      </c>
      <c r="O80" s="83">
        <f>O79</f>
        <v>50</v>
      </c>
      <c r="P80" s="92" t="s">
        <v>234</v>
      </c>
    </row>
    <row r="81" spans="1:16" x14ac:dyDescent="0.45">
      <c r="A81" s="86">
        <v>50</v>
      </c>
      <c r="C81" s="83"/>
      <c r="D81" s="86">
        <v>0</v>
      </c>
      <c r="E81" s="84">
        <v>1</v>
      </c>
      <c r="F81" s="83">
        <v>0</v>
      </c>
      <c r="G81" s="83">
        <v>0</v>
      </c>
      <c r="H81" s="91"/>
      <c r="K81" s="86">
        <v>0</v>
      </c>
      <c r="L81" s="84">
        <v>1</v>
      </c>
      <c r="M81" s="83">
        <v>0</v>
      </c>
      <c r="N81" s="83">
        <v>0</v>
      </c>
      <c r="O81" s="83">
        <f t="shared" ref="O81:O83" si="69">O80</f>
        <v>50</v>
      </c>
      <c r="P81" s="91"/>
    </row>
    <row r="82" spans="1:16" x14ac:dyDescent="0.45">
      <c r="A82" s="86">
        <v>120</v>
      </c>
      <c r="C82" s="83"/>
      <c r="D82" s="86">
        <v>0</v>
      </c>
      <c r="E82" s="84">
        <v>1</v>
      </c>
      <c r="F82" s="83">
        <v>0</v>
      </c>
      <c r="G82" s="83">
        <v>0</v>
      </c>
      <c r="H82" s="91"/>
      <c r="K82" s="86">
        <v>0</v>
      </c>
      <c r="L82" s="84">
        <v>1</v>
      </c>
      <c r="M82" s="83">
        <v>0</v>
      </c>
      <c r="N82" s="83">
        <v>0</v>
      </c>
      <c r="O82" s="83">
        <f t="shared" si="69"/>
        <v>50</v>
      </c>
      <c r="P82" s="91"/>
    </row>
    <row r="83" spans="1:16" x14ac:dyDescent="0.45">
      <c r="A83" s="86">
        <v>120</v>
      </c>
      <c r="C83" s="83"/>
      <c r="D83" s="86">
        <v>120</v>
      </c>
      <c r="E83" s="84">
        <v>0</v>
      </c>
      <c r="F83" s="86">
        <f>-0.26*G83</f>
        <v>-5.2</v>
      </c>
      <c r="G83" s="83">
        <f>D83-D75</f>
        <v>20</v>
      </c>
      <c r="H83" s="91" t="s">
        <v>235</v>
      </c>
      <c r="K83" s="86">
        <v>120</v>
      </c>
      <c r="L83" s="84">
        <v>0</v>
      </c>
      <c r="M83" s="83">
        <v>0</v>
      </c>
      <c r="N83" s="83">
        <f>K83-K79</f>
        <v>70</v>
      </c>
      <c r="O83" s="83">
        <f t="shared" si="69"/>
        <v>50</v>
      </c>
      <c r="P83" s="91" t="s">
        <v>235</v>
      </c>
    </row>
    <row r="84" spans="1:16" x14ac:dyDescent="0.45">
      <c r="A84" s="86">
        <v>120</v>
      </c>
      <c r="C84" s="83"/>
      <c r="D84" s="86">
        <f>D83+F83</f>
        <v>114.8</v>
      </c>
      <c r="E84" s="84">
        <v>0</v>
      </c>
      <c r="F84" s="83">
        <v>0</v>
      </c>
      <c r="G84" s="83">
        <v>0</v>
      </c>
      <c r="H84" s="91"/>
      <c r="K84" s="86">
        <v>120</v>
      </c>
      <c r="L84" s="84">
        <v>0</v>
      </c>
      <c r="M84" s="83">
        <f>-0.26*N84</f>
        <v>-5.2</v>
      </c>
      <c r="N84" s="83">
        <f>N83-O83</f>
        <v>20</v>
      </c>
      <c r="O84" s="83">
        <v>0</v>
      </c>
      <c r="P84" s="91" t="s">
        <v>240</v>
      </c>
    </row>
    <row r="85" spans="1:16" x14ac:dyDescent="0.45">
      <c r="A85" s="86">
        <v>120</v>
      </c>
      <c r="C85" s="83"/>
      <c r="D85" s="86">
        <f>D84+F84</f>
        <v>114.8</v>
      </c>
      <c r="E85" s="84">
        <v>0</v>
      </c>
      <c r="F85" s="83">
        <v>0</v>
      </c>
      <c r="G85" s="83">
        <v>0</v>
      </c>
      <c r="H85" s="91"/>
      <c r="J85" s="83"/>
      <c r="K85" s="86">
        <f>K84+M84</f>
        <v>114.8</v>
      </c>
      <c r="L85" s="83">
        <v>0</v>
      </c>
      <c r="M85" s="83">
        <v>0</v>
      </c>
      <c r="N85" s="83">
        <v>0</v>
      </c>
      <c r="O85" s="83">
        <v>0</v>
      </c>
      <c r="P85" s="91"/>
    </row>
    <row r="86" spans="1:16" x14ac:dyDescent="0.45">
      <c r="B86" s="83"/>
      <c r="C86" s="83"/>
      <c r="D86" s="83"/>
      <c r="E86" s="83"/>
      <c r="F86" s="83"/>
      <c r="J86" s="83"/>
      <c r="K86" s="83"/>
    </row>
    <row r="87" spans="1:16" x14ac:dyDescent="0.45">
      <c r="B87" s="83"/>
      <c r="C87" s="83"/>
      <c r="D87" s="83"/>
      <c r="E87" s="83"/>
      <c r="F87" s="83"/>
      <c r="I87" s="83"/>
      <c r="J87" s="83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574F-FA6E-4CFB-8E3E-0699D6F6CC88}">
  <dimension ref="A1:B5"/>
  <sheetViews>
    <sheetView workbookViewId="0"/>
  </sheetViews>
  <sheetFormatPr defaultRowHeight="14.25" x14ac:dyDescent="0.45"/>
  <cols>
    <col min="1" max="16384" width="9.06640625" style="1"/>
  </cols>
  <sheetData>
    <row r="1" spans="1:2" x14ac:dyDescent="0.45">
      <c r="B1" s="93" t="s">
        <v>247</v>
      </c>
    </row>
    <row r="2" spans="1:2" x14ac:dyDescent="0.45">
      <c r="A2" s="30" t="s">
        <v>244</v>
      </c>
      <c r="B2" s="94">
        <v>2.5</v>
      </c>
    </row>
    <row r="3" spans="1:2" x14ac:dyDescent="0.45">
      <c r="A3" s="30" t="s">
        <v>246</v>
      </c>
      <c r="B3" s="29">
        <v>0.7</v>
      </c>
    </row>
    <row r="4" spans="1:2" x14ac:dyDescent="0.45">
      <c r="A4" s="95"/>
      <c r="B4" s="29"/>
    </row>
    <row r="5" spans="1:2" ht="15.75" x14ac:dyDescent="0.5">
      <c r="A5" s="30" t="s">
        <v>245</v>
      </c>
      <c r="B5" s="96">
        <f ca="1">ROUND(EXP($B$2 + $B$3^(0.5)* _xlfn.NORM.S.INV(RAND())),1)</f>
        <v>18.5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88E8-64D7-4D53-A811-22F70197F99F}">
  <dimension ref="B3:I75"/>
  <sheetViews>
    <sheetView topLeftCell="A5" zoomScaleNormal="100" workbookViewId="0">
      <selection activeCell="D14" sqref="D14"/>
    </sheetView>
  </sheetViews>
  <sheetFormatPr defaultColWidth="10.796875" defaultRowHeight="14.25" x14ac:dyDescent="0.45"/>
  <cols>
    <col min="1" max="1" width="10.796875" style="6"/>
    <col min="2" max="2" width="23.33203125" style="6" customWidth="1"/>
    <col min="3" max="4" width="10.796875" style="6"/>
    <col min="5" max="5" width="24.265625" style="6" bestFit="1" customWidth="1"/>
    <col min="6" max="16384" width="10.796875" style="6"/>
  </cols>
  <sheetData>
    <row r="3" spans="2:8" ht="23.25" x14ac:dyDescent="0.7">
      <c r="B3" s="17" t="s">
        <v>199</v>
      </c>
    </row>
    <row r="5" spans="2:8" x14ac:dyDescent="0.45">
      <c r="B5" s="11" t="s">
        <v>18</v>
      </c>
      <c r="C5" s="11" t="s">
        <v>19</v>
      </c>
      <c r="E5" s="11" t="s">
        <v>18</v>
      </c>
      <c r="F5" s="11" t="s">
        <v>19</v>
      </c>
    </row>
    <row r="6" spans="2:8" x14ac:dyDescent="0.45">
      <c r="B6" s="12" t="s">
        <v>14</v>
      </c>
      <c r="C6" s="13">
        <v>250</v>
      </c>
      <c r="E6" s="12" t="s">
        <v>52</v>
      </c>
      <c r="F6" s="16">
        <v>-0.25</v>
      </c>
      <c r="H6" s="74"/>
    </row>
    <row r="7" spans="2:8" x14ac:dyDescent="0.45">
      <c r="B7" s="12" t="s">
        <v>47</v>
      </c>
      <c r="C7" s="16">
        <f>C6*F6</f>
        <v>-62.5</v>
      </c>
      <c r="E7" s="12" t="s">
        <v>51</v>
      </c>
      <c r="F7" s="16">
        <v>1</v>
      </c>
    </row>
    <row r="8" spans="2:8" x14ac:dyDescent="0.45">
      <c r="B8" s="12" t="s">
        <v>48</v>
      </c>
      <c r="C8" s="16">
        <f>-F9*C6</f>
        <v>-288.00000000000006</v>
      </c>
      <c r="E8" s="12" t="s">
        <v>50</v>
      </c>
      <c r="F8" s="16">
        <v>10</v>
      </c>
    </row>
    <row r="9" spans="2:8" x14ac:dyDescent="0.45">
      <c r="B9" s="12" t="s">
        <v>27</v>
      </c>
      <c r="C9" s="16">
        <f>F10*C6*F8</f>
        <v>6250</v>
      </c>
      <c r="E9" s="12" t="s">
        <v>49</v>
      </c>
      <c r="F9" s="16">
        <f>0.12/0.375*3.6*F7</f>
        <v>1.1520000000000001</v>
      </c>
    </row>
    <row r="10" spans="2:8" x14ac:dyDescent="0.45">
      <c r="E10" s="12" t="s">
        <v>12</v>
      </c>
      <c r="F10" s="12">
        <v>2.5</v>
      </c>
    </row>
    <row r="11" spans="2:8" x14ac:dyDescent="0.45">
      <c r="B11" s="13" t="s">
        <v>16</v>
      </c>
      <c r="C11" s="16">
        <f>SUM(C7:C9)</f>
        <v>5899.5</v>
      </c>
    </row>
    <row r="12" spans="2:8" x14ac:dyDescent="0.45">
      <c r="B12" s="6" t="s">
        <v>198</v>
      </c>
      <c r="C12" s="74">
        <f>C11/12</f>
        <v>491.625</v>
      </c>
    </row>
    <row r="18" spans="2:9" ht="23.25" x14ac:dyDescent="0.7">
      <c r="B18" s="17" t="s">
        <v>17</v>
      </c>
    </row>
    <row r="20" spans="2:9" x14ac:dyDescent="0.45">
      <c r="B20" s="11" t="s">
        <v>18</v>
      </c>
      <c r="C20" s="11" t="s">
        <v>19</v>
      </c>
      <c r="E20" s="11" t="s">
        <v>18</v>
      </c>
      <c r="F20" s="11" t="s">
        <v>19</v>
      </c>
      <c r="H20" s="6" t="s">
        <v>115</v>
      </c>
      <c r="I20" s="6" t="s">
        <v>117</v>
      </c>
    </row>
    <row r="21" spans="2:9" x14ac:dyDescent="0.45">
      <c r="B21" s="12" t="s">
        <v>15</v>
      </c>
      <c r="C21" s="12">
        <v>2</v>
      </c>
      <c r="E21" s="12" t="s">
        <v>42</v>
      </c>
      <c r="F21" s="16">
        <v>5</v>
      </c>
      <c r="H21" s="6">
        <v>150</v>
      </c>
      <c r="I21" s="6">
        <f>H21*8</f>
        <v>1200</v>
      </c>
    </row>
    <row r="22" spans="2:9" x14ac:dyDescent="0.45">
      <c r="B22" s="12" t="s">
        <v>20</v>
      </c>
      <c r="C22" s="12">
        <v>200</v>
      </c>
      <c r="E22" s="12" t="s">
        <v>43</v>
      </c>
      <c r="F22" s="16">
        <v>1</v>
      </c>
      <c r="H22" s="6">
        <f>H21*1.3</f>
        <v>195</v>
      </c>
    </row>
    <row r="23" spans="2:9" x14ac:dyDescent="0.45">
      <c r="B23" s="12" t="s">
        <v>41</v>
      </c>
      <c r="C23" s="16">
        <f>-C22*F21</f>
        <v>-1000</v>
      </c>
      <c r="E23" s="12" t="s">
        <v>44</v>
      </c>
      <c r="F23" s="16">
        <v>12</v>
      </c>
    </row>
    <row r="24" spans="2:9" x14ac:dyDescent="0.45">
      <c r="B24" s="12" t="s">
        <v>40</v>
      </c>
      <c r="C24" s="16">
        <f>F26*C21</f>
        <v>-300</v>
      </c>
      <c r="E24" s="12" t="s">
        <v>23</v>
      </c>
      <c r="F24" s="12">
        <v>2</v>
      </c>
      <c r="H24" s="6" t="s">
        <v>116</v>
      </c>
    </row>
    <row r="25" spans="2:9" x14ac:dyDescent="0.45">
      <c r="B25" s="12" t="s">
        <v>21</v>
      </c>
      <c r="C25" s="12">
        <f>C22*F27</f>
        <v>260</v>
      </c>
      <c r="E25" s="12" t="s">
        <v>45</v>
      </c>
      <c r="F25" s="16">
        <v>7</v>
      </c>
      <c r="H25" s="6">
        <f>H22/2</f>
        <v>97.5</v>
      </c>
      <c r="I25" s="6">
        <f>H25*16</f>
        <v>1560</v>
      </c>
    </row>
    <row r="26" spans="2:9" x14ac:dyDescent="0.45">
      <c r="B26" s="12" t="s">
        <v>37</v>
      </c>
      <c r="C26" s="16">
        <f>-C25/F24*F22</f>
        <v>-130</v>
      </c>
      <c r="E26" s="12" t="s">
        <v>46</v>
      </c>
      <c r="F26" s="16">
        <v>-150</v>
      </c>
      <c r="I26" s="6">
        <f>H25*2</f>
        <v>195</v>
      </c>
    </row>
    <row r="27" spans="2:9" x14ac:dyDescent="0.45">
      <c r="B27" s="12" t="s">
        <v>38</v>
      </c>
      <c r="C27" s="16">
        <f>-C26</f>
        <v>130</v>
      </c>
      <c r="E27" s="12" t="s">
        <v>22</v>
      </c>
      <c r="F27" s="12">
        <v>1.3</v>
      </c>
    </row>
    <row r="28" spans="2:9" x14ac:dyDescent="0.45">
      <c r="B28" s="12" t="s">
        <v>39</v>
      </c>
      <c r="C28" s="16">
        <f>C25*F25</f>
        <v>1820</v>
      </c>
      <c r="I28" s="6">
        <f>(I25-I21-I26)</f>
        <v>165</v>
      </c>
    </row>
    <row r="30" spans="2:9" x14ac:dyDescent="0.45">
      <c r="B30" s="13" t="s">
        <v>16</v>
      </c>
      <c r="C30" s="16">
        <f>C24+C28+C23</f>
        <v>520</v>
      </c>
    </row>
    <row r="34" spans="2:6" ht="23.25" x14ac:dyDescent="0.7">
      <c r="B34" s="17" t="s">
        <v>32</v>
      </c>
    </row>
    <row r="36" spans="2:6" x14ac:dyDescent="0.45">
      <c r="B36" s="11" t="s">
        <v>18</v>
      </c>
      <c r="C36" s="11" t="s">
        <v>19</v>
      </c>
      <c r="E36" s="11" t="s">
        <v>18</v>
      </c>
      <c r="F36" s="11" t="s">
        <v>19</v>
      </c>
    </row>
    <row r="37" spans="2:6" x14ac:dyDescent="0.45">
      <c r="B37" s="12" t="s">
        <v>24</v>
      </c>
      <c r="C37" s="12">
        <v>100</v>
      </c>
      <c r="E37" s="12" t="s">
        <v>34</v>
      </c>
      <c r="F37" s="14">
        <v>-60</v>
      </c>
    </row>
    <row r="38" spans="2:6" x14ac:dyDescent="0.45">
      <c r="B38" s="12" t="s">
        <v>29</v>
      </c>
      <c r="C38" s="12">
        <v>20</v>
      </c>
      <c r="E38" s="12" t="s">
        <v>35</v>
      </c>
      <c r="F38" s="15">
        <v>1.1000000000000001</v>
      </c>
    </row>
    <row r="39" spans="2:6" x14ac:dyDescent="0.45">
      <c r="B39" s="12" t="s">
        <v>30</v>
      </c>
      <c r="C39" s="12">
        <f>C38*C37</f>
        <v>2000</v>
      </c>
      <c r="E39" s="12" t="s">
        <v>36</v>
      </c>
      <c r="F39" s="15">
        <v>1</v>
      </c>
    </row>
    <row r="40" spans="2:6" x14ac:dyDescent="0.45">
      <c r="B40" s="12" t="s">
        <v>25</v>
      </c>
      <c r="C40" s="14">
        <f>-C39*F39</f>
        <v>-2000</v>
      </c>
    </row>
    <row r="41" spans="2:6" x14ac:dyDescent="0.45">
      <c r="B41" s="12" t="s">
        <v>28</v>
      </c>
      <c r="C41" s="14">
        <f>F37</f>
        <v>-60</v>
      </c>
    </row>
    <row r="42" spans="2:6" x14ac:dyDescent="0.45">
      <c r="B42" s="12" t="s">
        <v>26</v>
      </c>
      <c r="C42" s="14">
        <f>C39*F38</f>
        <v>2200</v>
      </c>
    </row>
    <row r="44" spans="2:6" x14ac:dyDescent="0.45">
      <c r="B44" s="13" t="s">
        <v>31</v>
      </c>
      <c r="C44" s="14">
        <f>SUM(C40:C42)</f>
        <v>140</v>
      </c>
    </row>
    <row r="48" spans="2:6" ht="23.25" x14ac:dyDescent="0.7">
      <c r="B48" s="17" t="s">
        <v>33</v>
      </c>
    </row>
    <row r="50" spans="2:6" x14ac:dyDescent="0.45">
      <c r="B50" s="11" t="s">
        <v>18</v>
      </c>
      <c r="C50" s="11" t="s">
        <v>19</v>
      </c>
      <c r="E50" s="11" t="s">
        <v>18</v>
      </c>
      <c r="F50" s="11" t="s">
        <v>19</v>
      </c>
    </row>
    <row r="51" spans="2:6" x14ac:dyDescent="0.45">
      <c r="B51" s="12" t="s">
        <v>56</v>
      </c>
      <c r="C51" s="12">
        <v>100</v>
      </c>
      <c r="E51" s="12" t="s">
        <v>53</v>
      </c>
      <c r="F51" s="14">
        <v>0.3</v>
      </c>
    </row>
    <row r="52" spans="2:6" x14ac:dyDescent="0.45">
      <c r="B52" s="12" t="s">
        <v>55</v>
      </c>
      <c r="C52" s="12">
        <v>7</v>
      </c>
      <c r="E52" s="12" t="s">
        <v>54</v>
      </c>
      <c r="F52" s="14">
        <v>7.0000000000000007E-2</v>
      </c>
    </row>
    <row r="53" spans="2:6" x14ac:dyDescent="0.45">
      <c r="B53" s="12" t="s">
        <v>57</v>
      </c>
      <c r="C53" s="12">
        <f>_xlfn.CEILING.MATH(C51/F54)</f>
        <v>1</v>
      </c>
      <c r="E53" s="12" t="s">
        <v>58</v>
      </c>
      <c r="F53" s="14">
        <v>-100</v>
      </c>
    </row>
    <row r="54" spans="2:6" x14ac:dyDescent="0.45">
      <c r="B54" s="12" t="s">
        <v>13</v>
      </c>
      <c r="C54" s="14">
        <f>C53*F53</f>
        <v>-100</v>
      </c>
      <c r="E54" s="12" t="s">
        <v>60</v>
      </c>
      <c r="F54" s="12">
        <v>100</v>
      </c>
    </row>
    <row r="55" spans="2:6" x14ac:dyDescent="0.45">
      <c r="B55" s="12" t="s">
        <v>59</v>
      </c>
      <c r="C55" s="14">
        <f>C52*C51*F51</f>
        <v>210</v>
      </c>
    </row>
    <row r="57" spans="2:6" x14ac:dyDescent="0.45">
      <c r="B57" s="13" t="s">
        <v>31</v>
      </c>
      <c r="C57" s="14">
        <f>SUM(C54:C55)</f>
        <v>110</v>
      </c>
    </row>
    <row r="61" spans="2:6" ht="23.25" x14ac:dyDescent="0.7">
      <c r="B61" s="17" t="s">
        <v>79</v>
      </c>
    </row>
    <row r="63" spans="2:6" x14ac:dyDescent="0.45">
      <c r="B63" s="11" t="s">
        <v>18</v>
      </c>
      <c r="C63" s="11" t="s">
        <v>19</v>
      </c>
      <c r="E63" s="11" t="s">
        <v>18</v>
      </c>
      <c r="F63" s="11" t="s">
        <v>19</v>
      </c>
    </row>
    <row r="64" spans="2:6" x14ac:dyDescent="0.45">
      <c r="B64" s="12" t="s">
        <v>56</v>
      </c>
      <c r="C64" s="12">
        <v>140</v>
      </c>
      <c r="E64" s="12" t="s">
        <v>80</v>
      </c>
      <c r="F64" s="14">
        <v>5</v>
      </c>
    </row>
    <row r="65" spans="2:6" x14ac:dyDescent="0.45">
      <c r="B65" s="12" t="s">
        <v>55</v>
      </c>
      <c r="C65" s="14">
        <f>C64*F64</f>
        <v>700</v>
      </c>
      <c r="E65" s="12" t="s">
        <v>81</v>
      </c>
      <c r="F65" s="14">
        <v>0.25</v>
      </c>
    </row>
    <row r="66" spans="2:6" x14ac:dyDescent="0.45">
      <c r="B66" s="12" t="s">
        <v>68</v>
      </c>
      <c r="C66" s="12"/>
    </row>
    <row r="70" spans="2:6" ht="23.25" x14ac:dyDescent="0.7">
      <c r="B70" s="17" t="s">
        <v>90</v>
      </c>
    </row>
    <row r="72" spans="2:6" x14ac:dyDescent="0.45">
      <c r="B72" s="11" t="s">
        <v>18</v>
      </c>
      <c r="C72" s="11" t="s">
        <v>19</v>
      </c>
    </row>
    <row r="73" spans="2:6" x14ac:dyDescent="0.45">
      <c r="B73" s="12" t="s">
        <v>91</v>
      </c>
      <c r="C73" s="14">
        <v>200</v>
      </c>
    </row>
    <row r="74" spans="2:6" x14ac:dyDescent="0.45">
      <c r="B74" s="12" t="s">
        <v>92</v>
      </c>
      <c r="C74" s="14">
        <v>0</v>
      </c>
    </row>
    <row r="75" spans="2:6" x14ac:dyDescent="0.45">
      <c r="B75" s="12" t="s">
        <v>93</v>
      </c>
      <c r="C75" s="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16CD-36C7-4B26-914F-7655FC7856F2}">
  <dimension ref="A1:D336"/>
  <sheetViews>
    <sheetView workbookViewId="0">
      <selection activeCell="K15" sqref="H7:K15"/>
    </sheetView>
  </sheetViews>
  <sheetFormatPr defaultRowHeight="14.25" x14ac:dyDescent="0.45"/>
  <cols>
    <col min="1" max="1" width="9.06640625" style="1"/>
    <col min="2" max="2" width="15.53125" style="1" customWidth="1"/>
    <col min="3" max="3" width="10.59765625" style="1" customWidth="1"/>
    <col min="4" max="4" width="9.06640625" style="1"/>
    <col min="5" max="5" width="9.86328125" style="1" bestFit="1" customWidth="1"/>
    <col min="6" max="16384" width="9.06640625" style="1"/>
  </cols>
  <sheetData>
    <row r="1" spans="1:4" x14ac:dyDescent="0.4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45">
      <c r="A2" s="4">
        <v>45796</v>
      </c>
      <c r="B2" s="4">
        <f>A2-365.25 * (2025-2024) -47</f>
        <v>45383.75</v>
      </c>
      <c r="C2" s="3">
        <f>1532</f>
        <v>1532</v>
      </c>
      <c r="D2" s="1" t="str">
        <f>IF(WEEKDAY(A2,2)=7,"time-skip","")</f>
        <v/>
      </c>
    </row>
    <row r="3" spans="1:4" x14ac:dyDescent="0.45">
      <c r="A3" s="2">
        <v>45797</v>
      </c>
      <c r="B3" s="2">
        <f>B2+3</f>
        <v>45386.75</v>
      </c>
      <c r="C3" s="1">
        <f t="shared" ref="C3:C15" si="0">C2+(DAY(B3)=1) * (MONTH(B3)=1)</f>
        <v>1532</v>
      </c>
      <c r="D3" s="1" t="str">
        <f t="shared" ref="D3:D66" si="1">IF(WEEKDAY(A3,2)=7,"time-skip","")</f>
        <v/>
      </c>
    </row>
    <row r="4" spans="1:4" x14ac:dyDescent="0.45">
      <c r="A4" s="2">
        <v>45798</v>
      </c>
      <c r="B4" s="2">
        <f>B2+7</f>
        <v>45390.75</v>
      </c>
      <c r="C4" s="1">
        <f t="shared" si="0"/>
        <v>1532</v>
      </c>
      <c r="D4" s="1" t="str">
        <f t="shared" si="1"/>
        <v/>
      </c>
    </row>
    <row r="5" spans="1:4" x14ac:dyDescent="0.45">
      <c r="A5" s="2">
        <v>45799</v>
      </c>
      <c r="B5" s="2">
        <f t="shared" ref="B5:B68" si="2">B3+7</f>
        <v>45393.75</v>
      </c>
      <c r="C5" s="1">
        <f t="shared" si="0"/>
        <v>1532</v>
      </c>
      <c r="D5" s="1" t="str">
        <f t="shared" si="1"/>
        <v/>
      </c>
    </row>
    <row r="6" spans="1:4" x14ac:dyDescent="0.45">
      <c r="A6" s="2">
        <v>45800</v>
      </c>
      <c r="B6" s="2">
        <f t="shared" si="2"/>
        <v>45397.75</v>
      </c>
      <c r="C6" s="1">
        <f t="shared" si="0"/>
        <v>1532</v>
      </c>
      <c r="D6" s="1" t="str">
        <f t="shared" si="1"/>
        <v/>
      </c>
    </row>
    <row r="7" spans="1:4" x14ac:dyDescent="0.45">
      <c r="A7" s="2">
        <v>45801</v>
      </c>
      <c r="B7" s="2">
        <f t="shared" si="2"/>
        <v>45400.75</v>
      </c>
      <c r="C7" s="1">
        <f t="shared" si="0"/>
        <v>1532</v>
      </c>
      <c r="D7" s="1" t="str">
        <f t="shared" si="1"/>
        <v/>
      </c>
    </row>
    <row r="8" spans="1:4" x14ac:dyDescent="0.45">
      <c r="A8" s="2">
        <v>45802</v>
      </c>
      <c r="B8" s="2">
        <f t="shared" si="2"/>
        <v>45404.75</v>
      </c>
      <c r="C8" s="1">
        <f t="shared" si="0"/>
        <v>1532</v>
      </c>
      <c r="D8" s="1" t="str">
        <f t="shared" si="1"/>
        <v>time-skip</v>
      </c>
    </row>
    <row r="9" spans="1:4" x14ac:dyDescent="0.45">
      <c r="A9" s="2">
        <v>45803</v>
      </c>
      <c r="B9" s="5">
        <f>B2+93-DAY(B2+93)+1</f>
        <v>45474.75</v>
      </c>
      <c r="C9" s="1">
        <f t="shared" si="0"/>
        <v>1532</v>
      </c>
      <c r="D9" s="1" t="str">
        <f t="shared" si="1"/>
        <v/>
      </c>
    </row>
    <row r="10" spans="1:4" x14ac:dyDescent="0.45">
      <c r="A10" s="2">
        <v>45804</v>
      </c>
      <c r="B10" s="2">
        <f t="shared" ref="B10" si="3">B9+3</f>
        <v>45477.75</v>
      </c>
      <c r="C10" s="1">
        <f t="shared" si="0"/>
        <v>1532</v>
      </c>
      <c r="D10" s="1" t="str">
        <f t="shared" si="1"/>
        <v/>
      </c>
    </row>
    <row r="11" spans="1:4" x14ac:dyDescent="0.45">
      <c r="A11" s="2">
        <v>45805</v>
      </c>
      <c r="B11" s="2">
        <f t="shared" ref="B11" si="4">B9+7</f>
        <v>45481.75</v>
      </c>
      <c r="C11" s="1">
        <f t="shared" si="0"/>
        <v>1532</v>
      </c>
      <c r="D11" s="1" t="str">
        <f t="shared" si="1"/>
        <v/>
      </c>
    </row>
    <row r="12" spans="1:4" x14ac:dyDescent="0.45">
      <c r="A12" s="2">
        <v>45806</v>
      </c>
      <c r="B12" s="2">
        <f t="shared" si="2"/>
        <v>45484.75</v>
      </c>
      <c r="C12" s="1">
        <f t="shared" si="0"/>
        <v>1532</v>
      </c>
      <c r="D12" s="1" t="str">
        <f t="shared" si="1"/>
        <v/>
      </c>
    </row>
    <row r="13" spans="1:4" x14ac:dyDescent="0.45">
      <c r="A13" s="2">
        <v>45807</v>
      </c>
      <c r="B13" s="2">
        <f t="shared" si="2"/>
        <v>45488.75</v>
      </c>
      <c r="C13" s="1">
        <f t="shared" si="0"/>
        <v>1532</v>
      </c>
      <c r="D13" s="1" t="str">
        <f t="shared" si="1"/>
        <v/>
      </c>
    </row>
    <row r="14" spans="1:4" x14ac:dyDescent="0.45">
      <c r="A14" s="2">
        <v>45808</v>
      </c>
      <c r="B14" s="2">
        <f t="shared" si="2"/>
        <v>45491.75</v>
      </c>
      <c r="C14" s="1">
        <f t="shared" si="0"/>
        <v>1532</v>
      </c>
      <c r="D14" s="1" t="str">
        <f t="shared" si="1"/>
        <v/>
      </c>
    </row>
    <row r="15" spans="1:4" x14ac:dyDescent="0.45">
      <c r="A15" s="2">
        <v>45809</v>
      </c>
      <c r="B15" s="2">
        <f t="shared" si="2"/>
        <v>45495.75</v>
      </c>
      <c r="C15" s="1">
        <f t="shared" si="0"/>
        <v>1532</v>
      </c>
      <c r="D15" s="1" t="str">
        <f t="shared" si="1"/>
        <v>time-skip</v>
      </c>
    </row>
    <row r="16" spans="1:4" x14ac:dyDescent="0.45">
      <c r="A16" s="2">
        <v>45810</v>
      </c>
      <c r="B16" s="5">
        <f t="shared" ref="B16" si="5">B9+93-DAY(B9+93)+1</f>
        <v>45566.75</v>
      </c>
      <c r="C16" s="1">
        <f t="shared" ref="C16:C30" si="6">C15+(DAY(B16)=1) * (MONTH(B16)=1)</f>
        <v>1532</v>
      </c>
      <c r="D16" s="1" t="str">
        <f t="shared" si="1"/>
        <v/>
      </c>
    </row>
    <row r="17" spans="1:4" x14ac:dyDescent="0.45">
      <c r="A17" s="2">
        <v>45811</v>
      </c>
      <c r="B17" s="2">
        <f t="shared" ref="B17" si="7">B16+3</f>
        <v>45569.75</v>
      </c>
      <c r="C17" s="1">
        <f t="shared" si="6"/>
        <v>1532</v>
      </c>
      <c r="D17" s="1" t="str">
        <f t="shared" si="1"/>
        <v/>
      </c>
    </row>
    <row r="18" spans="1:4" x14ac:dyDescent="0.45">
      <c r="A18" s="2">
        <v>45812</v>
      </c>
      <c r="B18" s="2">
        <f t="shared" ref="B18:B81" si="8">B16+7</f>
        <v>45573.75</v>
      </c>
      <c r="C18" s="1">
        <f t="shared" si="6"/>
        <v>1532</v>
      </c>
      <c r="D18" s="1" t="str">
        <f t="shared" si="1"/>
        <v/>
      </c>
    </row>
    <row r="19" spans="1:4" x14ac:dyDescent="0.45">
      <c r="A19" s="2">
        <v>45813</v>
      </c>
      <c r="B19" s="2">
        <f t="shared" si="2"/>
        <v>45576.75</v>
      </c>
      <c r="C19" s="1">
        <f t="shared" si="6"/>
        <v>1532</v>
      </c>
      <c r="D19" s="1" t="str">
        <f t="shared" si="1"/>
        <v/>
      </c>
    </row>
    <row r="20" spans="1:4" x14ac:dyDescent="0.45">
      <c r="A20" s="2">
        <v>45814</v>
      </c>
      <c r="B20" s="2">
        <f t="shared" si="2"/>
        <v>45580.75</v>
      </c>
      <c r="C20" s="1">
        <f t="shared" si="6"/>
        <v>1532</v>
      </c>
      <c r="D20" s="1" t="str">
        <f t="shared" si="1"/>
        <v/>
      </c>
    </row>
    <row r="21" spans="1:4" x14ac:dyDescent="0.45">
      <c r="A21" s="2">
        <v>45815</v>
      </c>
      <c r="B21" s="2">
        <f t="shared" si="2"/>
        <v>45583.75</v>
      </c>
      <c r="C21" s="1">
        <f t="shared" si="6"/>
        <v>1532</v>
      </c>
      <c r="D21" s="1" t="str">
        <f t="shared" si="1"/>
        <v/>
      </c>
    </row>
    <row r="22" spans="1:4" x14ac:dyDescent="0.45">
      <c r="A22" s="2">
        <v>45816</v>
      </c>
      <c r="B22" s="2">
        <f t="shared" si="2"/>
        <v>45587.75</v>
      </c>
      <c r="C22" s="1">
        <f t="shared" si="6"/>
        <v>1532</v>
      </c>
      <c r="D22" s="1" t="str">
        <f t="shared" si="1"/>
        <v>time-skip</v>
      </c>
    </row>
    <row r="23" spans="1:4" x14ac:dyDescent="0.45">
      <c r="A23" s="2">
        <v>45817</v>
      </c>
      <c r="B23" s="5">
        <f t="shared" ref="B23" si="9">B16+93-DAY(B16+93)+1</f>
        <v>45658.75</v>
      </c>
      <c r="C23" s="1">
        <f t="shared" si="6"/>
        <v>1533</v>
      </c>
      <c r="D23" s="1" t="str">
        <f t="shared" si="1"/>
        <v/>
      </c>
    </row>
    <row r="24" spans="1:4" x14ac:dyDescent="0.45">
      <c r="A24" s="2">
        <v>45818</v>
      </c>
      <c r="B24" s="2">
        <f t="shared" ref="B24" si="10">B23+3</f>
        <v>45661.75</v>
      </c>
      <c r="C24" s="1">
        <f t="shared" si="6"/>
        <v>1533</v>
      </c>
      <c r="D24" s="1" t="str">
        <f t="shared" si="1"/>
        <v/>
      </c>
    </row>
    <row r="25" spans="1:4" x14ac:dyDescent="0.45">
      <c r="A25" s="2">
        <v>45819</v>
      </c>
      <c r="B25" s="2">
        <f t="shared" si="8"/>
        <v>45665.75</v>
      </c>
      <c r="C25" s="1">
        <f t="shared" si="6"/>
        <v>1533</v>
      </c>
      <c r="D25" s="1" t="str">
        <f t="shared" si="1"/>
        <v/>
      </c>
    </row>
    <row r="26" spans="1:4" x14ac:dyDescent="0.45">
      <c r="A26" s="2">
        <v>45820</v>
      </c>
      <c r="B26" s="2">
        <f t="shared" si="2"/>
        <v>45668.75</v>
      </c>
      <c r="C26" s="1">
        <f t="shared" si="6"/>
        <v>1533</v>
      </c>
      <c r="D26" s="1" t="str">
        <f t="shared" si="1"/>
        <v/>
      </c>
    </row>
    <row r="27" spans="1:4" x14ac:dyDescent="0.45">
      <c r="A27" s="2">
        <v>45821</v>
      </c>
      <c r="B27" s="2">
        <f t="shared" si="2"/>
        <v>45672.75</v>
      </c>
      <c r="C27" s="1">
        <f t="shared" si="6"/>
        <v>1533</v>
      </c>
      <c r="D27" s="1" t="str">
        <f t="shared" si="1"/>
        <v/>
      </c>
    </row>
    <row r="28" spans="1:4" x14ac:dyDescent="0.45">
      <c r="A28" s="2">
        <v>45822</v>
      </c>
      <c r="B28" s="2">
        <f t="shared" si="2"/>
        <v>45675.75</v>
      </c>
      <c r="C28" s="1">
        <f t="shared" si="6"/>
        <v>1533</v>
      </c>
      <c r="D28" s="1" t="str">
        <f t="shared" si="1"/>
        <v/>
      </c>
    </row>
    <row r="29" spans="1:4" x14ac:dyDescent="0.45">
      <c r="A29" s="2">
        <v>45823</v>
      </c>
      <c r="B29" s="2">
        <f t="shared" si="2"/>
        <v>45679.75</v>
      </c>
      <c r="C29" s="1">
        <f t="shared" si="6"/>
        <v>1533</v>
      </c>
      <c r="D29" s="1" t="str">
        <f t="shared" si="1"/>
        <v>time-skip</v>
      </c>
    </row>
    <row r="30" spans="1:4" x14ac:dyDescent="0.45">
      <c r="A30" s="2">
        <v>45824</v>
      </c>
      <c r="B30" s="5">
        <f t="shared" ref="B30" si="11">B23+93-DAY(B23+93)+1</f>
        <v>45748.75</v>
      </c>
      <c r="C30" s="1">
        <f t="shared" si="6"/>
        <v>1533</v>
      </c>
      <c r="D30" s="1" t="str">
        <f t="shared" si="1"/>
        <v/>
      </c>
    </row>
    <row r="31" spans="1:4" x14ac:dyDescent="0.45">
      <c r="A31" s="2">
        <v>45825</v>
      </c>
      <c r="B31" s="2">
        <f t="shared" ref="B31" si="12">B30+3</f>
        <v>45751.75</v>
      </c>
      <c r="C31" s="1">
        <f t="shared" ref="C31:C94" si="13">C30+(DAY(B31)=1) * (MONTH(B31)=1)</f>
        <v>1533</v>
      </c>
      <c r="D31" s="1" t="str">
        <f t="shared" si="1"/>
        <v/>
      </c>
    </row>
    <row r="32" spans="1:4" x14ac:dyDescent="0.45">
      <c r="A32" s="2">
        <v>45826</v>
      </c>
      <c r="B32" s="2">
        <f t="shared" si="8"/>
        <v>45755.75</v>
      </c>
      <c r="C32" s="1">
        <f t="shared" si="13"/>
        <v>1533</v>
      </c>
      <c r="D32" s="1" t="str">
        <f t="shared" si="1"/>
        <v/>
      </c>
    </row>
    <row r="33" spans="1:4" x14ac:dyDescent="0.45">
      <c r="A33" s="2">
        <v>45827</v>
      </c>
      <c r="B33" s="2">
        <f t="shared" si="2"/>
        <v>45758.75</v>
      </c>
      <c r="C33" s="1">
        <f t="shared" si="13"/>
        <v>1533</v>
      </c>
      <c r="D33" s="1" t="str">
        <f t="shared" si="1"/>
        <v/>
      </c>
    </row>
    <row r="34" spans="1:4" x14ac:dyDescent="0.45">
      <c r="A34" s="2">
        <v>45828</v>
      </c>
      <c r="B34" s="2">
        <f t="shared" si="2"/>
        <v>45762.75</v>
      </c>
      <c r="C34" s="1">
        <f t="shared" si="13"/>
        <v>1533</v>
      </c>
      <c r="D34" s="1" t="str">
        <f t="shared" si="1"/>
        <v/>
      </c>
    </row>
    <row r="35" spans="1:4" x14ac:dyDescent="0.45">
      <c r="A35" s="2">
        <v>45829</v>
      </c>
      <c r="B35" s="2">
        <f t="shared" si="2"/>
        <v>45765.75</v>
      </c>
      <c r="C35" s="1">
        <f t="shared" si="13"/>
        <v>1533</v>
      </c>
      <c r="D35" s="1" t="str">
        <f t="shared" si="1"/>
        <v/>
      </c>
    </row>
    <row r="36" spans="1:4" x14ac:dyDescent="0.45">
      <c r="A36" s="2">
        <v>45830</v>
      </c>
      <c r="B36" s="2">
        <f t="shared" si="2"/>
        <v>45769.75</v>
      </c>
      <c r="C36" s="1">
        <f t="shared" si="13"/>
        <v>1533</v>
      </c>
      <c r="D36" s="1" t="str">
        <f t="shared" si="1"/>
        <v>time-skip</v>
      </c>
    </row>
    <row r="37" spans="1:4" x14ac:dyDescent="0.45">
      <c r="A37" s="2">
        <v>45831</v>
      </c>
      <c r="B37" s="5">
        <f t="shared" ref="B37:B100" si="14">B30+93-DAY(B30+93)+1</f>
        <v>45839.75</v>
      </c>
      <c r="C37" s="1">
        <f t="shared" si="13"/>
        <v>1533</v>
      </c>
      <c r="D37" s="1" t="str">
        <f t="shared" si="1"/>
        <v/>
      </c>
    </row>
    <row r="38" spans="1:4" x14ac:dyDescent="0.45">
      <c r="A38" s="2">
        <v>45832</v>
      </c>
      <c r="B38" s="2">
        <f t="shared" ref="B38" si="15">B37+3</f>
        <v>45842.75</v>
      </c>
      <c r="C38" s="1">
        <f t="shared" si="13"/>
        <v>1533</v>
      </c>
      <c r="D38" s="1" t="str">
        <f t="shared" si="1"/>
        <v/>
      </c>
    </row>
    <row r="39" spans="1:4" x14ac:dyDescent="0.45">
      <c r="A39" s="2">
        <v>45833</v>
      </c>
      <c r="B39" s="2">
        <f t="shared" si="8"/>
        <v>45846.75</v>
      </c>
      <c r="C39" s="1">
        <f t="shared" si="13"/>
        <v>1533</v>
      </c>
      <c r="D39" s="1" t="str">
        <f t="shared" si="1"/>
        <v/>
      </c>
    </row>
    <row r="40" spans="1:4" x14ac:dyDescent="0.45">
      <c r="A40" s="2">
        <v>45834</v>
      </c>
      <c r="B40" s="2">
        <f t="shared" si="2"/>
        <v>45849.75</v>
      </c>
      <c r="C40" s="1">
        <f t="shared" si="13"/>
        <v>1533</v>
      </c>
      <c r="D40" s="1" t="str">
        <f t="shared" si="1"/>
        <v/>
      </c>
    </row>
    <row r="41" spans="1:4" x14ac:dyDescent="0.45">
      <c r="A41" s="2">
        <v>45835</v>
      </c>
      <c r="B41" s="2">
        <f t="shared" si="2"/>
        <v>45853.75</v>
      </c>
      <c r="C41" s="1">
        <f t="shared" si="13"/>
        <v>1533</v>
      </c>
      <c r="D41" s="1" t="str">
        <f t="shared" si="1"/>
        <v/>
      </c>
    </row>
    <row r="42" spans="1:4" x14ac:dyDescent="0.45">
      <c r="A42" s="2">
        <v>45836</v>
      </c>
      <c r="B42" s="2">
        <f t="shared" si="2"/>
        <v>45856.75</v>
      </c>
      <c r="C42" s="1">
        <f t="shared" si="13"/>
        <v>1533</v>
      </c>
      <c r="D42" s="1" t="str">
        <f t="shared" si="1"/>
        <v/>
      </c>
    </row>
    <row r="43" spans="1:4" x14ac:dyDescent="0.45">
      <c r="A43" s="2">
        <v>45837</v>
      </c>
      <c r="B43" s="2">
        <f t="shared" si="2"/>
        <v>45860.75</v>
      </c>
      <c r="C43" s="1">
        <f t="shared" si="13"/>
        <v>1533</v>
      </c>
      <c r="D43" s="1" t="str">
        <f t="shared" si="1"/>
        <v>time-skip</v>
      </c>
    </row>
    <row r="44" spans="1:4" x14ac:dyDescent="0.45">
      <c r="A44" s="2">
        <v>45838</v>
      </c>
      <c r="B44" s="5">
        <f t="shared" si="14"/>
        <v>45931.75</v>
      </c>
      <c r="C44" s="1">
        <f t="shared" si="13"/>
        <v>1533</v>
      </c>
      <c r="D44" s="1" t="str">
        <f t="shared" si="1"/>
        <v/>
      </c>
    </row>
    <row r="45" spans="1:4" x14ac:dyDescent="0.45">
      <c r="A45" s="2">
        <v>45839</v>
      </c>
      <c r="B45" s="2">
        <f t="shared" ref="B45" si="16">B44+3</f>
        <v>45934.75</v>
      </c>
      <c r="C45" s="1">
        <f t="shared" si="13"/>
        <v>1533</v>
      </c>
      <c r="D45" s="1" t="str">
        <f t="shared" si="1"/>
        <v/>
      </c>
    </row>
    <row r="46" spans="1:4" x14ac:dyDescent="0.45">
      <c r="A46" s="2">
        <v>45840</v>
      </c>
      <c r="B46" s="2">
        <f t="shared" si="8"/>
        <v>45938.75</v>
      </c>
      <c r="C46" s="1">
        <f t="shared" si="13"/>
        <v>1533</v>
      </c>
      <c r="D46" s="1" t="str">
        <f t="shared" si="1"/>
        <v/>
      </c>
    </row>
    <row r="47" spans="1:4" x14ac:dyDescent="0.45">
      <c r="A47" s="2">
        <v>45841</v>
      </c>
      <c r="B47" s="2">
        <f t="shared" si="2"/>
        <v>45941.75</v>
      </c>
      <c r="C47" s="1">
        <f t="shared" si="13"/>
        <v>1533</v>
      </c>
      <c r="D47" s="1" t="str">
        <f t="shared" si="1"/>
        <v/>
      </c>
    </row>
    <row r="48" spans="1:4" x14ac:dyDescent="0.45">
      <c r="A48" s="2">
        <v>45842</v>
      </c>
      <c r="B48" s="2">
        <f t="shared" si="2"/>
        <v>45945.75</v>
      </c>
      <c r="C48" s="1">
        <f t="shared" si="13"/>
        <v>1533</v>
      </c>
      <c r="D48" s="1" t="str">
        <f t="shared" si="1"/>
        <v/>
      </c>
    </row>
    <row r="49" spans="1:4" x14ac:dyDescent="0.45">
      <c r="A49" s="2">
        <v>45843</v>
      </c>
      <c r="B49" s="2">
        <f t="shared" si="2"/>
        <v>45948.75</v>
      </c>
      <c r="C49" s="1">
        <f t="shared" si="13"/>
        <v>1533</v>
      </c>
      <c r="D49" s="1" t="str">
        <f t="shared" si="1"/>
        <v/>
      </c>
    </row>
    <row r="50" spans="1:4" x14ac:dyDescent="0.45">
      <c r="A50" s="2">
        <v>45844</v>
      </c>
      <c r="B50" s="2">
        <f t="shared" si="2"/>
        <v>45952.75</v>
      </c>
      <c r="C50" s="1">
        <f t="shared" si="13"/>
        <v>1533</v>
      </c>
      <c r="D50" s="1" t="str">
        <f t="shared" si="1"/>
        <v>time-skip</v>
      </c>
    </row>
    <row r="51" spans="1:4" x14ac:dyDescent="0.45">
      <c r="A51" s="2">
        <v>45845</v>
      </c>
      <c r="B51" s="5">
        <f t="shared" si="14"/>
        <v>46023.75</v>
      </c>
      <c r="C51" s="1">
        <f t="shared" si="13"/>
        <v>1534</v>
      </c>
      <c r="D51" s="1" t="str">
        <f t="shared" si="1"/>
        <v/>
      </c>
    </row>
    <row r="52" spans="1:4" x14ac:dyDescent="0.45">
      <c r="A52" s="2">
        <v>45846</v>
      </c>
      <c r="B52" s="2">
        <f t="shared" ref="B52" si="17">B51+3</f>
        <v>46026.75</v>
      </c>
      <c r="C52" s="1">
        <f t="shared" si="13"/>
        <v>1534</v>
      </c>
      <c r="D52" s="1" t="str">
        <f t="shared" si="1"/>
        <v/>
      </c>
    </row>
    <row r="53" spans="1:4" x14ac:dyDescent="0.45">
      <c r="A53" s="2">
        <v>45847</v>
      </c>
      <c r="B53" s="2">
        <f t="shared" si="8"/>
        <v>46030.75</v>
      </c>
      <c r="C53" s="1">
        <f t="shared" si="13"/>
        <v>1534</v>
      </c>
      <c r="D53" s="1" t="str">
        <f t="shared" si="1"/>
        <v/>
      </c>
    </row>
    <row r="54" spans="1:4" x14ac:dyDescent="0.45">
      <c r="A54" s="2">
        <v>45848</v>
      </c>
      <c r="B54" s="2">
        <f t="shared" si="2"/>
        <v>46033.75</v>
      </c>
      <c r="C54" s="1">
        <f t="shared" si="13"/>
        <v>1534</v>
      </c>
      <c r="D54" s="1" t="str">
        <f t="shared" si="1"/>
        <v/>
      </c>
    </row>
    <row r="55" spans="1:4" x14ac:dyDescent="0.45">
      <c r="A55" s="2">
        <v>45849</v>
      </c>
      <c r="B55" s="2">
        <f t="shared" si="2"/>
        <v>46037.75</v>
      </c>
      <c r="C55" s="1">
        <f t="shared" si="13"/>
        <v>1534</v>
      </c>
      <c r="D55" s="1" t="str">
        <f t="shared" si="1"/>
        <v/>
      </c>
    </row>
    <row r="56" spans="1:4" x14ac:dyDescent="0.45">
      <c r="A56" s="2">
        <v>45850</v>
      </c>
      <c r="B56" s="2">
        <f t="shared" si="2"/>
        <v>46040.75</v>
      </c>
      <c r="C56" s="1">
        <f t="shared" si="13"/>
        <v>1534</v>
      </c>
      <c r="D56" s="1" t="str">
        <f t="shared" si="1"/>
        <v/>
      </c>
    </row>
    <row r="57" spans="1:4" x14ac:dyDescent="0.45">
      <c r="A57" s="2">
        <v>45851</v>
      </c>
      <c r="B57" s="2">
        <f t="shared" si="2"/>
        <v>46044.75</v>
      </c>
      <c r="C57" s="1">
        <f t="shared" si="13"/>
        <v>1534</v>
      </c>
      <c r="D57" s="1" t="str">
        <f t="shared" si="1"/>
        <v>time-skip</v>
      </c>
    </row>
    <row r="58" spans="1:4" x14ac:dyDescent="0.45">
      <c r="A58" s="2">
        <v>45852</v>
      </c>
      <c r="B58" s="5">
        <f t="shared" si="14"/>
        <v>46113.75</v>
      </c>
      <c r="C58" s="1">
        <f t="shared" si="13"/>
        <v>1534</v>
      </c>
      <c r="D58" s="1" t="str">
        <f t="shared" si="1"/>
        <v/>
      </c>
    </row>
    <row r="59" spans="1:4" x14ac:dyDescent="0.45">
      <c r="A59" s="2">
        <v>45853</v>
      </c>
      <c r="B59" s="2">
        <f t="shared" ref="B59" si="18">B58+3</f>
        <v>46116.75</v>
      </c>
      <c r="C59" s="1">
        <f t="shared" si="13"/>
        <v>1534</v>
      </c>
      <c r="D59" s="1" t="str">
        <f t="shared" si="1"/>
        <v/>
      </c>
    </row>
    <row r="60" spans="1:4" x14ac:dyDescent="0.45">
      <c r="A60" s="2">
        <v>45854</v>
      </c>
      <c r="B60" s="2">
        <f t="shared" si="8"/>
        <v>46120.75</v>
      </c>
      <c r="C60" s="1">
        <f t="shared" si="13"/>
        <v>1534</v>
      </c>
      <c r="D60" s="1" t="str">
        <f t="shared" si="1"/>
        <v/>
      </c>
    </row>
    <row r="61" spans="1:4" x14ac:dyDescent="0.45">
      <c r="A61" s="2">
        <v>45855</v>
      </c>
      <c r="B61" s="2">
        <f t="shared" si="2"/>
        <v>46123.75</v>
      </c>
      <c r="C61" s="1">
        <f t="shared" si="13"/>
        <v>1534</v>
      </c>
      <c r="D61" s="1" t="str">
        <f t="shared" si="1"/>
        <v/>
      </c>
    </row>
    <row r="62" spans="1:4" x14ac:dyDescent="0.45">
      <c r="A62" s="2">
        <v>45856</v>
      </c>
      <c r="B62" s="2">
        <f t="shared" si="2"/>
        <v>46127.75</v>
      </c>
      <c r="C62" s="1">
        <f t="shared" si="13"/>
        <v>1534</v>
      </c>
      <c r="D62" s="1" t="str">
        <f t="shared" si="1"/>
        <v/>
      </c>
    </row>
    <row r="63" spans="1:4" x14ac:dyDescent="0.45">
      <c r="A63" s="2">
        <v>45857</v>
      </c>
      <c r="B63" s="2">
        <f t="shared" si="2"/>
        <v>46130.75</v>
      </c>
      <c r="C63" s="1">
        <f t="shared" si="13"/>
        <v>1534</v>
      </c>
      <c r="D63" s="1" t="str">
        <f t="shared" si="1"/>
        <v/>
      </c>
    </row>
    <row r="64" spans="1:4" x14ac:dyDescent="0.45">
      <c r="A64" s="2">
        <v>45858</v>
      </c>
      <c r="B64" s="2">
        <f t="shared" si="2"/>
        <v>46134.75</v>
      </c>
      <c r="C64" s="1">
        <f t="shared" si="13"/>
        <v>1534</v>
      </c>
      <c r="D64" s="1" t="str">
        <f t="shared" si="1"/>
        <v>time-skip</v>
      </c>
    </row>
    <row r="65" spans="1:4" x14ac:dyDescent="0.45">
      <c r="A65" s="2">
        <v>45859</v>
      </c>
      <c r="B65" s="5">
        <f t="shared" si="14"/>
        <v>46204.75</v>
      </c>
      <c r="C65" s="1">
        <f t="shared" si="13"/>
        <v>1534</v>
      </c>
      <c r="D65" s="1" t="str">
        <f t="shared" si="1"/>
        <v/>
      </c>
    </row>
    <row r="66" spans="1:4" x14ac:dyDescent="0.45">
      <c r="A66" s="2">
        <v>45860</v>
      </c>
      <c r="B66" s="2">
        <f t="shared" ref="B66" si="19">B65+3</f>
        <v>46207.75</v>
      </c>
      <c r="C66" s="1">
        <f t="shared" si="13"/>
        <v>1534</v>
      </c>
      <c r="D66" s="1" t="str">
        <f t="shared" si="1"/>
        <v/>
      </c>
    </row>
    <row r="67" spans="1:4" x14ac:dyDescent="0.45">
      <c r="A67" s="2">
        <v>45861</v>
      </c>
      <c r="B67" s="2">
        <f t="shared" si="8"/>
        <v>46211.75</v>
      </c>
      <c r="C67" s="1">
        <f t="shared" si="13"/>
        <v>1534</v>
      </c>
      <c r="D67" s="1" t="str">
        <f t="shared" ref="D67:D130" si="20">IF(WEEKDAY(A67,2)=7,"time-skip","")</f>
        <v/>
      </c>
    </row>
    <row r="68" spans="1:4" x14ac:dyDescent="0.45">
      <c r="A68" s="2">
        <v>45862</v>
      </c>
      <c r="B68" s="2">
        <f t="shared" si="2"/>
        <v>46214.75</v>
      </c>
      <c r="C68" s="1">
        <f t="shared" si="13"/>
        <v>1534</v>
      </c>
      <c r="D68" s="1" t="str">
        <f t="shared" si="20"/>
        <v/>
      </c>
    </row>
    <row r="69" spans="1:4" x14ac:dyDescent="0.45">
      <c r="A69" s="2">
        <v>45863</v>
      </c>
      <c r="B69" s="2">
        <f t="shared" ref="B69:B132" si="21">B67+7</f>
        <v>46218.75</v>
      </c>
      <c r="C69" s="1">
        <f t="shared" si="13"/>
        <v>1534</v>
      </c>
      <c r="D69" s="1" t="str">
        <f t="shared" si="20"/>
        <v/>
      </c>
    </row>
    <row r="70" spans="1:4" x14ac:dyDescent="0.45">
      <c r="A70" s="2">
        <v>45864</v>
      </c>
      <c r="B70" s="2">
        <f t="shared" si="21"/>
        <v>46221.75</v>
      </c>
      <c r="C70" s="1">
        <f t="shared" si="13"/>
        <v>1534</v>
      </c>
      <c r="D70" s="1" t="str">
        <f t="shared" si="20"/>
        <v/>
      </c>
    </row>
    <row r="71" spans="1:4" x14ac:dyDescent="0.45">
      <c r="A71" s="2">
        <v>45865</v>
      </c>
      <c r="B71" s="2">
        <f t="shared" si="21"/>
        <v>46225.75</v>
      </c>
      <c r="C71" s="1">
        <f t="shared" si="13"/>
        <v>1534</v>
      </c>
      <c r="D71" s="1" t="str">
        <f t="shared" si="20"/>
        <v>time-skip</v>
      </c>
    </row>
    <row r="72" spans="1:4" x14ac:dyDescent="0.45">
      <c r="A72" s="2">
        <v>45866</v>
      </c>
      <c r="B72" s="5">
        <f t="shared" si="14"/>
        <v>46296.75</v>
      </c>
      <c r="C72" s="1">
        <f t="shared" si="13"/>
        <v>1534</v>
      </c>
      <c r="D72" s="1" t="str">
        <f t="shared" si="20"/>
        <v/>
      </c>
    </row>
    <row r="73" spans="1:4" x14ac:dyDescent="0.45">
      <c r="A73" s="2">
        <v>45867</v>
      </c>
      <c r="B73" s="2">
        <f t="shared" ref="B73" si="22">B72+3</f>
        <v>46299.75</v>
      </c>
      <c r="C73" s="1">
        <f t="shared" si="13"/>
        <v>1534</v>
      </c>
      <c r="D73" s="1" t="str">
        <f t="shared" si="20"/>
        <v/>
      </c>
    </row>
    <row r="74" spans="1:4" x14ac:dyDescent="0.45">
      <c r="A74" s="2">
        <v>45868</v>
      </c>
      <c r="B74" s="2">
        <f t="shared" si="8"/>
        <v>46303.75</v>
      </c>
      <c r="C74" s="1">
        <f t="shared" si="13"/>
        <v>1534</v>
      </c>
      <c r="D74" s="1" t="str">
        <f t="shared" si="20"/>
        <v/>
      </c>
    </row>
    <row r="75" spans="1:4" x14ac:dyDescent="0.45">
      <c r="A75" s="2">
        <v>45869</v>
      </c>
      <c r="B75" s="2">
        <f t="shared" si="21"/>
        <v>46306.75</v>
      </c>
      <c r="C75" s="1">
        <f t="shared" si="13"/>
        <v>1534</v>
      </c>
      <c r="D75" s="1" t="str">
        <f t="shared" si="20"/>
        <v/>
      </c>
    </row>
    <row r="76" spans="1:4" x14ac:dyDescent="0.45">
      <c r="A76" s="2">
        <v>45870</v>
      </c>
      <c r="B76" s="2">
        <f t="shared" si="21"/>
        <v>46310.75</v>
      </c>
      <c r="C76" s="1">
        <f t="shared" si="13"/>
        <v>1534</v>
      </c>
      <c r="D76" s="1" t="str">
        <f t="shared" si="20"/>
        <v/>
      </c>
    </row>
    <row r="77" spans="1:4" x14ac:dyDescent="0.45">
      <c r="A77" s="2">
        <v>45871</v>
      </c>
      <c r="B77" s="2">
        <f t="shared" si="21"/>
        <v>46313.75</v>
      </c>
      <c r="C77" s="1">
        <f t="shared" si="13"/>
        <v>1534</v>
      </c>
      <c r="D77" s="1" t="str">
        <f t="shared" si="20"/>
        <v/>
      </c>
    </row>
    <row r="78" spans="1:4" x14ac:dyDescent="0.45">
      <c r="A78" s="2">
        <v>45872</v>
      </c>
      <c r="B78" s="2">
        <f t="shared" si="21"/>
        <v>46317.75</v>
      </c>
      <c r="C78" s="1">
        <f t="shared" si="13"/>
        <v>1534</v>
      </c>
      <c r="D78" s="1" t="str">
        <f t="shared" si="20"/>
        <v>time-skip</v>
      </c>
    </row>
    <row r="79" spans="1:4" x14ac:dyDescent="0.45">
      <c r="A79" s="2">
        <v>45873</v>
      </c>
      <c r="B79" s="5">
        <f t="shared" si="14"/>
        <v>46388.75</v>
      </c>
      <c r="C79" s="1">
        <f t="shared" si="13"/>
        <v>1535</v>
      </c>
      <c r="D79" s="1" t="str">
        <f t="shared" si="20"/>
        <v/>
      </c>
    </row>
    <row r="80" spans="1:4" x14ac:dyDescent="0.45">
      <c r="A80" s="2">
        <v>45874</v>
      </c>
      <c r="B80" s="2">
        <f t="shared" ref="B80" si="23">B79+3</f>
        <v>46391.75</v>
      </c>
      <c r="C80" s="1">
        <f t="shared" si="13"/>
        <v>1535</v>
      </c>
      <c r="D80" s="1" t="str">
        <f t="shared" si="20"/>
        <v/>
      </c>
    </row>
    <row r="81" spans="1:4" x14ac:dyDescent="0.45">
      <c r="A81" s="2">
        <v>45875</v>
      </c>
      <c r="B81" s="2">
        <f t="shared" si="8"/>
        <v>46395.75</v>
      </c>
      <c r="C81" s="1">
        <f t="shared" si="13"/>
        <v>1535</v>
      </c>
      <c r="D81" s="1" t="str">
        <f t="shared" si="20"/>
        <v/>
      </c>
    </row>
    <row r="82" spans="1:4" x14ac:dyDescent="0.45">
      <c r="A82" s="2">
        <v>45876</v>
      </c>
      <c r="B82" s="2">
        <f t="shared" si="21"/>
        <v>46398.75</v>
      </c>
      <c r="C82" s="1">
        <f t="shared" si="13"/>
        <v>1535</v>
      </c>
      <c r="D82" s="1" t="str">
        <f t="shared" si="20"/>
        <v/>
      </c>
    </row>
    <row r="83" spans="1:4" x14ac:dyDescent="0.45">
      <c r="A83" s="2">
        <v>45877</v>
      </c>
      <c r="B83" s="2">
        <f t="shared" si="21"/>
        <v>46402.75</v>
      </c>
      <c r="C83" s="1">
        <f t="shared" si="13"/>
        <v>1535</v>
      </c>
      <c r="D83" s="1" t="str">
        <f t="shared" si="20"/>
        <v/>
      </c>
    </row>
    <row r="84" spans="1:4" x14ac:dyDescent="0.45">
      <c r="A84" s="2">
        <v>45878</v>
      </c>
      <c r="B84" s="2">
        <f t="shared" si="21"/>
        <v>46405.75</v>
      </c>
      <c r="C84" s="1">
        <f t="shared" si="13"/>
        <v>1535</v>
      </c>
      <c r="D84" s="1" t="str">
        <f t="shared" si="20"/>
        <v/>
      </c>
    </row>
    <row r="85" spans="1:4" x14ac:dyDescent="0.45">
      <c r="A85" s="2">
        <v>45879</v>
      </c>
      <c r="B85" s="2">
        <f t="shared" si="21"/>
        <v>46409.75</v>
      </c>
      <c r="C85" s="1">
        <f t="shared" si="13"/>
        <v>1535</v>
      </c>
      <c r="D85" s="1" t="str">
        <f t="shared" si="20"/>
        <v>time-skip</v>
      </c>
    </row>
    <row r="86" spans="1:4" x14ac:dyDescent="0.45">
      <c r="A86" s="2">
        <v>45880</v>
      </c>
      <c r="B86" s="5">
        <f t="shared" si="14"/>
        <v>46478.75</v>
      </c>
      <c r="C86" s="1">
        <f t="shared" si="13"/>
        <v>1535</v>
      </c>
      <c r="D86" s="1" t="str">
        <f t="shared" si="20"/>
        <v/>
      </c>
    </row>
    <row r="87" spans="1:4" x14ac:dyDescent="0.45">
      <c r="A87" s="2">
        <v>45881</v>
      </c>
      <c r="B87" s="2">
        <f t="shared" ref="B87" si="24">B86+3</f>
        <v>46481.75</v>
      </c>
      <c r="C87" s="1">
        <f t="shared" si="13"/>
        <v>1535</v>
      </c>
      <c r="D87" s="1" t="str">
        <f t="shared" si="20"/>
        <v/>
      </c>
    </row>
    <row r="88" spans="1:4" x14ac:dyDescent="0.45">
      <c r="A88" s="2">
        <v>45882</v>
      </c>
      <c r="B88" s="2">
        <f t="shared" ref="B88:B151" si="25">B86+7</f>
        <v>46485.75</v>
      </c>
      <c r="C88" s="1">
        <f t="shared" si="13"/>
        <v>1535</v>
      </c>
      <c r="D88" s="1" t="str">
        <f t="shared" si="20"/>
        <v/>
      </c>
    </row>
    <row r="89" spans="1:4" x14ac:dyDescent="0.45">
      <c r="A89" s="2">
        <v>45883</v>
      </c>
      <c r="B89" s="2">
        <f t="shared" si="21"/>
        <v>46488.75</v>
      </c>
      <c r="C89" s="1">
        <f t="shared" si="13"/>
        <v>1535</v>
      </c>
      <c r="D89" s="1" t="str">
        <f t="shared" si="20"/>
        <v/>
      </c>
    </row>
    <row r="90" spans="1:4" x14ac:dyDescent="0.45">
      <c r="A90" s="2">
        <v>45884</v>
      </c>
      <c r="B90" s="2">
        <f t="shared" si="21"/>
        <v>46492.75</v>
      </c>
      <c r="C90" s="1">
        <f t="shared" si="13"/>
        <v>1535</v>
      </c>
      <c r="D90" s="1" t="str">
        <f t="shared" si="20"/>
        <v/>
      </c>
    </row>
    <row r="91" spans="1:4" x14ac:dyDescent="0.45">
      <c r="A91" s="2">
        <v>45885</v>
      </c>
      <c r="B91" s="2">
        <f t="shared" si="21"/>
        <v>46495.75</v>
      </c>
      <c r="C91" s="1">
        <f t="shared" si="13"/>
        <v>1535</v>
      </c>
      <c r="D91" s="1" t="str">
        <f t="shared" si="20"/>
        <v/>
      </c>
    </row>
    <row r="92" spans="1:4" x14ac:dyDescent="0.45">
      <c r="A92" s="2">
        <v>45886</v>
      </c>
      <c r="B92" s="2">
        <f t="shared" si="21"/>
        <v>46499.75</v>
      </c>
      <c r="C92" s="1">
        <f t="shared" si="13"/>
        <v>1535</v>
      </c>
      <c r="D92" s="1" t="str">
        <f t="shared" si="20"/>
        <v>time-skip</v>
      </c>
    </row>
    <row r="93" spans="1:4" x14ac:dyDescent="0.45">
      <c r="A93" s="2">
        <v>45887</v>
      </c>
      <c r="B93" s="5">
        <f t="shared" si="14"/>
        <v>46569.75</v>
      </c>
      <c r="C93" s="1">
        <f t="shared" si="13"/>
        <v>1535</v>
      </c>
      <c r="D93" s="1" t="str">
        <f t="shared" si="20"/>
        <v/>
      </c>
    </row>
    <row r="94" spans="1:4" x14ac:dyDescent="0.45">
      <c r="A94" s="2">
        <v>45888</v>
      </c>
      <c r="B94" s="2">
        <f t="shared" ref="B94" si="26">B93+3</f>
        <v>46572.75</v>
      </c>
      <c r="C94" s="1">
        <f t="shared" si="13"/>
        <v>1535</v>
      </c>
      <c r="D94" s="1" t="str">
        <f t="shared" si="20"/>
        <v/>
      </c>
    </row>
    <row r="95" spans="1:4" x14ac:dyDescent="0.45">
      <c r="A95" s="2">
        <v>45889</v>
      </c>
      <c r="B95" s="2">
        <f t="shared" si="25"/>
        <v>46576.75</v>
      </c>
      <c r="C95" s="1">
        <f t="shared" ref="C95:C158" si="27">C94+(DAY(B95)=1) * (MONTH(B95)=1)</f>
        <v>1535</v>
      </c>
      <c r="D95" s="1" t="str">
        <f t="shared" si="20"/>
        <v/>
      </c>
    </row>
    <row r="96" spans="1:4" x14ac:dyDescent="0.45">
      <c r="A96" s="2">
        <v>45890</v>
      </c>
      <c r="B96" s="2">
        <f t="shared" si="21"/>
        <v>46579.75</v>
      </c>
      <c r="C96" s="1">
        <f t="shared" si="27"/>
        <v>1535</v>
      </c>
      <c r="D96" s="1" t="str">
        <f t="shared" si="20"/>
        <v/>
      </c>
    </row>
    <row r="97" spans="1:4" x14ac:dyDescent="0.45">
      <c r="A97" s="2">
        <v>45891</v>
      </c>
      <c r="B97" s="2">
        <f t="shared" si="21"/>
        <v>46583.75</v>
      </c>
      <c r="C97" s="1">
        <f t="shared" si="27"/>
        <v>1535</v>
      </c>
      <c r="D97" s="1" t="str">
        <f t="shared" si="20"/>
        <v/>
      </c>
    </row>
    <row r="98" spans="1:4" x14ac:dyDescent="0.45">
      <c r="A98" s="2">
        <v>45892</v>
      </c>
      <c r="B98" s="2">
        <f t="shared" si="21"/>
        <v>46586.75</v>
      </c>
      <c r="C98" s="1">
        <f t="shared" si="27"/>
        <v>1535</v>
      </c>
      <c r="D98" s="1" t="str">
        <f t="shared" si="20"/>
        <v/>
      </c>
    </row>
    <row r="99" spans="1:4" x14ac:dyDescent="0.45">
      <c r="A99" s="2">
        <v>45893</v>
      </c>
      <c r="B99" s="2">
        <f t="shared" si="21"/>
        <v>46590.75</v>
      </c>
      <c r="C99" s="1">
        <f t="shared" si="27"/>
        <v>1535</v>
      </c>
      <c r="D99" s="1" t="str">
        <f t="shared" si="20"/>
        <v>time-skip</v>
      </c>
    </row>
    <row r="100" spans="1:4" x14ac:dyDescent="0.45">
      <c r="A100" s="2">
        <v>45894</v>
      </c>
      <c r="B100" s="5">
        <f t="shared" si="14"/>
        <v>46661.75</v>
      </c>
      <c r="C100" s="1">
        <f t="shared" si="27"/>
        <v>1535</v>
      </c>
      <c r="D100" s="1" t="str">
        <f t="shared" si="20"/>
        <v/>
      </c>
    </row>
    <row r="101" spans="1:4" x14ac:dyDescent="0.45">
      <c r="A101" s="2">
        <v>45895</v>
      </c>
      <c r="B101" s="2">
        <f t="shared" ref="B101" si="28">B100+3</f>
        <v>46664.75</v>
      </c>
      <c r="C101" s="1">
        <f t="shared" si="27"/>
        <v>1535</v>
      </c>
      <c r="D101" s="1" t="str">
        <f t="shared" si="20"/>
        <v/>
      </c>
    </row>
    <row r="102" spans="1:4" x14ac:dyDescent="0.45">
      <c r="A102" s="2">
        <v>45896</v>
      </c>
      <c r="B102" s="2">
        <f t="shared" si="25"/>
        <v>46668.75</v>
      </c>
      <c r="C102" s="1">
        <f t="shared" si="27"/>
        <v>1535</v>
      </c>
      <c r="D102" s="1" t="str">
        <f t="shared" si="20"/>
        <v/>
      </c>
    </row>
    <row r="103" spans="1:4" x14ac:dyDescent="0.45">
      <c r="A103" s="2">
        <v>45897</v>
      </c>
      <c r="B103" s="2">
        <f t="shared" si="21"/>
        <v>46671.75</v>
      </c>
      <c r="C103" s="1">
        <f t="shared" si="27"/>
        <v>1535</v>
      </c>
      <c r="D103" s="1" t="str">
        <f t="shared" si="20"/>
        <v/>
      </c>
    </row>
    <row r="104" spans="1:4" x14ac:dyDescent="0.45">
      <c r="A104" s="2">
        <v>45898</v>
      </c>
      <c r="B104" s="2">
        <f t="shared" si="21"/>
        <v>46675.75</v>
      </c>
      <c r="C104" s="1">
        <f t="shared" si="27"/>
        <v>1535</v>
      </c>
      <c r="D104" s="1" t="str">
        <f t="shared" si="20"/>
        <v/>
      </c>
    </row>
    <row r="105" spans="1:4" x14ac:dyDescent="0.45">
      <c r="A105" s="2">
        <v>45899</v>
      </c>
      <c r="B105" s="2">
        <f t="shared" si="21"/>
        <v>46678.75</v>
      </c>
      <c r="C105" s="1">
        <f t="shared" si="27"/>
        <v>1535</v>
      </c>
      <c r="D105" s="1" t="str">
        <f t="shared" si="20"/>
        <v/>
      </c>
    </row>
    <row r="106" spans="1:4" x14ac:dyDescent="0.45">
      <c r="A106" s="2">
        <v>45900</v>
      </c>
      <c r="B106" s="2">
        <f t="shared" si="21"/>
        <v>46682.75</v>
      </c>
      <c r="C106" s="1">
        <f t="shared" si="27"/>
        <v>1535</v>
      </c>
      <c r="D106" s="1" t="str">
        <f t="shared" si="20"/>
        <v>time-skip</v>
      </c>
    </row>
    <row r="107" spans="1:4" x14ac:dyDescent="0.45">
      <c r="A107" s="2">
        <v>45901</v>
      </c>
      <c r="B107" s="5">
        <f t="shared" ref="B107:B170" si="29">B100+93-DAY(B100+93)+1</f>
        <v>46753.75</v>
      </c>
      <c r="C107" s="1">
        <f t="shared" si="27"/>
        <v>1536</v>
      </c>
      <c r="D107" s="1" t="str">
        <f t="shared" si="20"/>
        <v/>
      </c>
    </row>
    <row r="108" spans="1:4" x14ac:dyDescent="0.45">
      <c r="A108" s="2">
        <v>45902</v>
      </c>
      <c r="B108" s="2">
        <f t="shared" ref="B108" si="30">B107+3</f>
        <v>46756.75</v>
      </c>
      <c r="C108" s="1">
        <f t="shared" si="27"/>
        <v>1536</v>
      </c>
      <c r="D108" s="1" t="str">
        <f t="shared" si="20"/>
        <v/>
      </c>
    </row>
    <row r="109" spans="1:4" x14ac:dyDescent="0.45">
      <c r="A109" s="2">
        <v>45903</v>
      </c>
      <c r="B109" s="2">
        <f t="shared" si="25"/>
        <v>46760.75</v>
      </c>
      <c r="C109" s="1">
        <f t="shared" si="27"/>
        <v>1536</v>
      </c>
      <c r="D109" s="1" t="str">
        <f t="shared" si="20"/>
        <v/>
      </c>
    </row>
    <row r="110" spans="1:4" x14ac:dyDescent="0.45">
      <c r="A110" s="2">
        <v>45904</v>
      </c>
      <c r="B110" s="2">
        <f t="shared" si="21"/>
        <v>46763.75</v>
      </c>
      <c r="C110" s="1">
        <f t="shared" si="27"/>
        <v>1536</v>
      </c>
      <c r="D110" s="1" t="str">
        <f t="shared" si="20"/>
        <v/>
      </c>
    </row>
    <row r="111" spans="1:4" x14ac:dyDescent="0.45">
      <c r="A111" s="2">
        <v>45905</v>
      </c>
      <c r="B111" s="2">
        <f t="shared" si="21"/>
        <v>46767.75</v>
      </c>
      <c r="C111" s="1">
        <f t="shared" si="27"/>
        <v>1536</v>
      </c>
      <c r="D111" s="1" t="str">
        <f t="shared" si="20"/>
        <v/>
      </c>
    </row>
    <row r="112" spans="1:4" x14ac:dyDescent="0.45">
      <c r="A112" s="2">
        <v>45906</v>
      </c>
      <c r="B112" s="2">
        <f t="shared" si="21"/>
        <v>46770.75</v>
      </c>
      <c r="C112" s="1">
        <f t="shared" si="27"/>
        <v>1536</v>
      </c>
      <c r="D112" s="1" t="str">
        <f t="shared" si="20"/>
        <v/>
      </c>
    </row>
    <row r="113" spans="1:4" x14ac:dyDescent="0.45">
      <c r="A113" s="2">
        <v>45907</v>
      </c>
      <c r="B113" s="2">
        <f t="shared" si="21"/>
        <v>46774.75</v>
      </c>
      <c r="C113" s="1">
        <f t="shared" si="27"/>
        <v>1536</v>
      </c>
      <c r="D113" s="1" t="str">
        <f t="shared" si="20"/>
        <v>time-skip</v>
      </c>
    </row>
    <row r="114" spans="1:4" x14ac:dyDescent="0.45">
      <c r="A114" s="2">
        <v>45908</v>
      </c>
      <c r="B114" s="5">
        <f t="shared" si="29"/>
        <v>46844.75</v>
      </c>
      <c r="C114" s="1">
        <f t="shared" si="27"/>
        <v>1536</v>
      </c>
      <c r="D114" s="1" t="str">
        <f t="shared" si="20"/>
        <v/>
      </c>
    </row>
    <row r="115" spans="1:4" x14ac:dyDescent="0.45">
      <c r="A115" s="2">
        <v>45909</v>
      </c>
      <c r="B115" s="2">
        <f t="shared" ref="B115" si="31">B114+3</f>
        <v>46847.75</v>
      </c>
      <c r="C115" s="1">
        <f t="shared" si="27"/>
        <v>1536</v>
      </c>
      <c r="D115" s="1" t="str">
        <f t="shared" si="20"/>
        <v/>
      </c>
    </row>
    <row r="116" spans="1:4" x14ac:dyDescent="0.45">
      <c r="A116" s="2">
        <v>45910</v>
      </c>
      <c r="B116" s="2">
        <f t="shared" si="25"/>
        <v>46851.75</v>
      </c>
      <c r="C116" s="1">
        <f t="shared" si="27"/>
        <v>1536</v>
      </c>
      <c r="D116" s="1" t="str">
        <f t="shared" si="20"/>
        <v/>
      </c>
    </row>
    <row r="117" spans="1:4" x14ac:dyDescent="0.45">
      <c r="A117" s="2">
        <v>45911</v>
      </c>
      <c r="B117" s="2">
        <f t="shared" si="21"/>
        <v>46854.75</v>
      </c>
      <c r="C117" s="1">
        <f t="shared" si="27"/>
        <v>1536</v>
      </c>
      <c r="D117" s="1" t="str">
        <f t="shared" si="20"/>
        <v/>
      </c>
    </row>
    <row r="118" spans="1:4" x14ac:dyDescent="0.45">
      <c r="A118" s="2">
        <v>45912</v>
      </c>
      <c r="B118" s="2">
        <f t="shared" si="21"/>
        <v>46858.75</v>
      </c>
      <c r="C118" s="1">
        <f t="shared" si="27"/>
        <v>1536</v>
      </c>
      <c r="D118" s="1" t="str">
        <f t="shared" si="20"/>
        <v/>
      </c>
    </row>
    <row r="119" spans="1:4" x14ac:dyDescent="0.45">
      <c r="A119" s="2">
        <v>45913</v>
      </c>
      <c r="B119" s="2">
        <f t="shared" si="21"/>
        <v>46861.75</v>
      </c>
      <c r="C119" s="1">
        <f t="shared" si="27"/>
        <v>1536</v>
      </c>
      <c r="D119" s="1" t="str">
        <f t="shared" si="20"/>
        <v/>
      </c>
    </row>
    <row r="120" spans="1:4" x14ac:dyDescent="0.45">
      <c r="A120" s="2">
        <v>45914</v>
      </c>
      <c r="B120" s="2">
        <f t="shared" si="21"/>
        <v>46865.75</v>
      </c>
      <c r="C120" s="1">
        <f t="shared" si="27"/>
        <v>1536</v>
      </c>
      <c r="D120" s="1" t="str">
        <f t="shared" si="20"/>
        <v>time-skip</v>
      </c>
    </row>
    <row r="121" spans="1:4" x14ac:dyDescent="0.45">
      <c r="A121" s="2">
        <v>45915</v>
      </c>
      <c r="B121" s="5">
        <f t="shared" si="29"/>
        <v>46935.75</v>
      </c>
      <c r="C121" s="1">
        <f t="shared" si="27"/>
        <v>1536</v>
      </c>
      <c r="D121" s="1" t="str">
        <f t="shared" si="20"/>
        <v/>
      </c>
    </row>
    <row r="122" spans="1:4" x14ac:dyDescent="0.45">
      <c r="A122" s="2">
        <v>45916</v>
      </c>
      <c r="B122" s="2">
        <f t="shared" ref="B122" si="32">B121+3</f>
        <v>46938.75</v>
      </c>
      <c r="C122" s="1">
        <f t="shared" si="27"/>
        <v>1536</v>
      </c>
      <c r="D122" s="1" t="str">
        <f t="shared" si="20"/>
        <v/>
      </c>
    </row>
    <row r="123" spans="1:4" x14ac:dyDescent="0.45">
      <c r="A123" s="2">
        <v>45917</v>
      </c>
      <c r="B123" s="2">
        <f t="shared" si="25"/>
        <v>46942.75</v>
      </c>
      <c r="C123" s="1">
        <f t="shared" si="27"/>
        <v>1536</v>
      </c>
      <c r="D123" s="1" t="str">
        <f t="shared" si="20"/>
        <v/>
      </c>
    </row>
    <row r="124" spans="1:4" x14ac:dyDescent="0.45">
      <c r="A124" s="2">
        <v>45918</v>
      </c>
      <c r="B124" s="2">
        <f t="shared" si="21"/>
        <v>46945.75</v>
      </c>
      <c r="C124" s="1">
        <f t="shared" si="27"/>
        <v>1536</v>
      </c>
      <c r="D124" s="1" t="str">
        <f t="shared" si="20"/>
        <v/>
      </c>
    </row>
    <row r="125" spans="1:4" x14ac:dyDescent="0.45">
      <c r="A125" s="2">
        <v>45919</v>
      </c>
      <c r="B125" s="2">
        <f t="shared" si="21"/>
        <v>46949.75</v>
      </c>
      <c r="C125" s="1">
        <f t="shared" si="27"/>
        <v>1536</v>
      </c>
      <c r="D125" s="1" t="str">
        <f t="shared" si="20"/>
        <v/>
      </c>
    </row>
    <row r="126" spans="1:4" x14ac:dyDescent="0.45">
      <c r="A126" s="2">
        <v>45920</v>
      </c>
      <c r="B126" s="2">
        <f t="shared" si="21"/>
        <v>46952.75</v>
      </c>
      <c r="C126" s="1">
        <f t="shared" si="27"/>
        <v>1536</v>
      </c>
      <c r="D126" s="1" t="str">
        <f t="shared" si="20"/>
        <v/>
      </c>
    </row>
    <row r="127" spans="1:4" x14ac:dyDescent="0.45">
      <c r="A127" s="2">
        <v>45921</v>
      </c>
      <c r="B127" s="2">
        <f t="shared" si="21"/>
        <v>46956.75</v>
      </c>
      <c r="C127" s="1">
        <f t="shared" si="27"/>
        <v>1536</v>
      </c>
      <c r="D127" s="1" t="str">
        <f t="shared" si="20"/>
        <v>time-skip</v>
      </c>
    </row>
    <row r="128" spans="1:4" x14ac:dyDescent="0.45">
      <c r="A128" s="2">
        <v>45922</v>
      </c>
      <c r="B128" s="5">
        <f t="shared" si="29"/>
        <v>47027.75</v>
      </c>
      <c r="C128" s="1">
        <f t="shared" si="27"/>
        <v>1536</v>
      </c>
      <c r="D128" s="1" t="str">
        <f t="shared" si="20"/>
        <v/>
      </c>
    </row>
    <row r="129" spans="1:4" x14ac:dyDescent="0.45">
      <c r="A129" s="2">
        <v>45923</v>
      </c>
      <c r="B129" s="2">
        <f t="shared" ref="B129" si="33">B128+3</f>
        <v>47030.75</v>
      </c>
      <c r="C129" s="1">
        <f t="shared" si="27"/>
        <v>1536</v>
      </c>
      <c r="D129" s="1" t="str">
        <f t="shared" si="20"/>
        <v/>
      </c>
    </row>
    <row r="130" spans="1:4" x14ac:dyDescent="0.45">
      <c r="A130" s="2">
        <v>45924</v>
      </c>
      <c r="B130" s="2">
        <f t="shared" si="25"/>
        <v>47034.75</v>
      </c>
      <c r="C130" s="1">
        <f t="shared" si="27"/>
        <v>1536</v>
      </c>
      <c r="D130" s="1" t="str">
        <f t="shared" si="20"/>
        <v/>
      </c>
    </row>
    <row r="131" spans="1:4" x14ac:dyDescent="0.45">
      <c r="A131" s="2">
        <v>45925</v>
      </c>
      <c r="B131" s="2">
        <f t="shared" si="21"/>
        <v>47037.75</v>
      </c>
      <c r="C131" s="1">
        <f t="shared" si="27"/>
        <v>1536</v>
      </c>
      <c r="D131" s="1" t="str">
        <f t="shared" ref="D131:D194" si="34">IF(WEEKDAY(A131,2)=7,"time-skip","")</f>
        <v/>
      </c>
    </row>
    <row r="132" spans="1:4" x14ac:dyDescent="0.45">
      <c r="A132" s="2">
        <v>45926</v>
      </c>
      <c r="B132" s="2">
        <f t="shared" si="21"/>
        <v>47041.75</v>
      </c>
      <c r="C132" s="1">
        <f t="shared" si="27"/>
        <v>1536</v>
      </c>
      <c r="D132" s="1" t="str">
        <f t="shared" si="34"/>
        <v/>
      </c>
    </row>
    <row r="133" spans="1:4" x14ac:dyDescent="0.45">
      <c r="A133" s="2">
        <v>45927</v>
      </c>
      <c r="B133" s="2">
        <f t="shared" ref="B133:B196" si="35">B131+7</f>
        <v>47044.75</v>
      </c>
      <c r="C133" s="1">
        <f t="shared" si="27"/>
        <v>1536</v>
      </c>
      <c r="D133" s="1" t="str">
        <f t="shared" si="34"/>
        <v/>
      </c>
    </row>
    <row r="134" spans="1:4" x14ac:dyDescent="0.45">
      <c r="A134" s="2">
        <v>45928</v>
      </c>
      <c r="B134" s="2">
        <f t="shared" si="35"/>
        <v>47048.75</v>
      </c>
      <c r="C134" s="1">
        <f t="shared" si="27"/>
        <v>1536</v>
      </c>
      <c r="D134" s="1" t="str">
        <f t="shared" si="34"/>
        <v>time-skip</v>
      </c>
    </row>
    <row r="135" spans="1:4" x14ac:dyDescent="0.45">
      <c r="A135" s="2">
        <v>45929</v>
      </c>
      <c r="B135" s="5">
        <f t="shared" si="29"/>
        <v>47119.75</v>
      </c>
      <c r="C135" s="1">
        <f t="shared" si="27"/>
        <v>1537</v>
      </c>
      <c r="D135" s="1" t="str">
        <f t="shared" si="34"/>
        <v/>
      </c>
    </row>
    <row r="136" spans="1:4" x14ac:dyDescent="0.45">
      <c r="A136" s="2">
        <v>45930</v>
      </c>
      <c r="B136" s="2">
        <f t="shared" ref="B136" si="36">B135+3</f>
        <v>47122.75</v>
      </c>
      <c r="C136" s="1">
        <f t="shared" si="27"/>
        <v>1537</v>
      </c>
      <c r="D136" s="1" t="str">
        <f t="shared" si="34"/>
        <v/>
      </c>
    </row>
    <row r="137" spans="1:4" x14ac:dyDescent="0.45">
      <c r="A137" s="2">
        <v>45931</v>
      </c>
      <c r="B137" s="2">
        <f t="shared" si="25"/>
        <v>47126.75</v>
      </c>
      <c r="C137" s="1">
        <f t="shared" si="27"/>
        <v>1537</v>
      </c>
      <c r="D137" s="1" t="str">
        <f t="shared" si="34"/>
        <v/>
      </c>
    </row>
    <row r="138" spans="1:4" x14ac:dyDescent="0.45">
      <c r="A138" s="2">
        <v>45932</v>
      </c>
      <c r="B138" s="2">
        <f t="shared" si="35"/>
        <v>47129.75</v>
      </c>
      <c r="C138" s="1">
        <f t="shared" si="27"/>
        <v>1537</v>
      </c>
      <c r="D138" s="1" t="str">
        <f t="shared" si="34"/>
        <v/>
      </c>
    </row>
    <row r="139" spans="1:4" x14ac:dyDescent="0.45">
      <c r="A139" s="2">
        <v>45933</v>
      </c>
      <c r="B139" s="2">
        <f t="shared" si="35"/>
        <v>47133.75</v>
      </c>
      <c r="C139" s="1">
        <f t="shared" si="27"/>
        <v>1537</v>
      </c>
      <c r="D139" s="1" t="str">
        <f t="shared" si="34"/>
        <v/>
      </c>
    </row>
    <row r="140" spans="1:4" x14ac:dyDescent="0.45">
      <c r="A140" s="2">
        <v>45934</v>
      </c>
      <c r="B140" s="2">
        <f t="shared" si="35"/>
        <v>47136.75</v>
      </c>
      <c r="C140" s="1">
        <f t="shared" si="27"/>
        <v>1537</v>
      </c>
      <c r="D140" s="1" t="str">
        <f t="shared" si="34"/>
        <v/>
      </c>
    </row>
    <row r="141" spans="1:4" x14ac:dyDescent="0.45">
      <c r="A141" s="2">
        <v>45935</v>
      </c>
      <c r="B141" s="2">
        <f t="shared" si="35"/>
        <v>47140.75</v>
      </c>
      <c r="C141" s="1">
        <f t="shared" si="27"/>
        <v>1537</v>
      </c>
      <c r="D141" s="1" t="str">
        <f t="shared" si="34"/>
        <v>time-skip</v>
      </c>
    </row>
    <row r="142" spans="1:4" x14ac:dyDescent="0.45">
      <c r="A142" s="2">
        <v>45936</v>
      </c>
      <c r="B142" s="5">
        <f t="shared" si="29"/>
        <v>47209.75</v>
      </c>
      <c r="C142" s="1">
        <f t="shared" si="27"/>
        <v>1537</v>
      </c>
      <c r="D142" s="1" t="str">
        <f t="shared" si="34"/>
        <v/>
      </c>
    </row>
    <row r="143" spans="1:4" x14ac:dyDescent="0.45">
      <c r="A143" s="2">
        <v>45937</v>
      </c>
      <c r="B143" s="2">
        <f t="shared" ref="B143" si="37">B142+3</f>
        <v>47212.75</v>
      </c>
      <c r="C143" s="1">
        <f t="shared" si="27"/>
        <v>1537</v>
      </c>
      <c r="D143" s="1" t="str">
        <f t="shared" si="34"/>
        <v/>
      </c>
    </row>
    <row r="144" spans="1:4" x14ac:dyDescent="0.45">
      <c r="A144" s="2">
        <v>45938</v>
      </c>
      <c r="B144" s="2">
        <f t="shared" si="25"/>
        <v>47216.75</v>
      </c>
      <c r="C144" s="1">
        <f t="shared" si="27"/>
        <v>1537</v>
      </c>
      <c r="D144" s="1" t="str">
        <f t="shared" si="34"/>
        <v/>
      </c>
    </row>
    <row r="145" spans="1:4" x14ac:dyDescent="0.45">
      <c r="A145" s="2">
        <v>45939</v>
      </c>
      <c r="B145" s="2">
        <f t="shared" si="35"/>
        <v>47219.75</v>
      </c>
      <c r="C145" s="1">
        <f t="shared" si="27"/>
        <v>1537</v>
      </c>
      <c r="D145" s="1" t="str">
        <f t="shared" si="34"/>
        <v/>
      </c>
    </row>
    <row r="146" spans="1:4" x14ac:dyDescent="0.45">
      <c r="A146" s="2">
        <v>45940</v>
      </c>
      <c r="B146" s="2">
        <f t="shared" si="35"/>
        <v>47223.75</v>
      </c>
      <c r="C146" s="1">
        <f t="shared" si="27"/>
        <v>1537</v>
      </c>
      <c r="D146" s="1" t="str">
        <f t="shared" si="34"/>
        <v/>
      </c>
    </row>
    <row r="147" spans="1:4" x14ac:dyDescent="0.45">
      <c r="A147" s="2">
        <v>45941</v>
      </c>
      <c r="B147" s="2">
        <f t="shared" si="35"/>
        <v>47226.75</v>
      </c>
      <c r="C147" s="1">
        <f t="shared" si="27"/>
        <v>1537</v>
      </c>
      <c r="D147" s="1" t="str">
        <f t="shared" si="34"/>
        <v/>
      </c>
    </row>
    <row r="148" spans="1:4" x14ac:dyDescent="0.45">
      <c r="A148" s="2">
        <v>45942</v>
      </c>
      <c r="B148" s="2">
        <f t="shared" si="35"/>
        <v>47230.75</v>
      </c>
      <c r="C148" s="1">
        <f t="shared" si="27"/>
        <v>1537</v>
      </c>
      <c r="D148" s="1" t="str">
        <f t="shared" si="34"/>
        <v>time-skip</v>
      </c>
    </row>
    <row r="149" spans="1:4" x14ac:dyDescent="0.45">
      <c r="A149" s="2">
        <v>45943</v>
      </c>
      <c r="B149" s="5">
        <f t="shared" si="29"/>
        <v>47300.75</v>
      </c>
      <c r="C149" s="1">
        <f t="shared" si="27"/>
        <v>1537</v>
      </c>
      <c r="D149" s="1" t="str">
        <f t="shared" si="34"/>
        <v/>
      </c>
    </row>
    <row r="150" spans="1:4" x14ac:dyDescent="0.45">
      <c r="A150" s="2">
        <v>45944</v>
      </c>
      <c r="B150" s="2">
        <f t="shared" ref="B150" si="38">B149+3</f>
        <v>47303.75</v>
      </c>
      <c r="C150" s="1">
        <f t="shared" si="27"/>
        <v>1537</v>
      </c>
      <c r="D150" s="1" t="str">
        <f t="shared" si="34"/>
        <v/>
      </c>
    </row>
    <row r="151" spans="1:4" x14ac:dyDescent="0.45">
      <c r="A151" s="2">
        <v>45945</v>
      </c>
      <c r="B151" s="2">
        <f t="shared" si="25"/>
        <v>47307.75</v>
      </c>
      <c r="C151" s="1">
        <f t="shared" si="27"/>
        <v>1537</v>
      </c>
      <c r="D151" s="1" t="str">
        <f t="shared" si="34"/>
        <v/>
      </c>
    </row>
    <row r="152" spans="1:4" x14ac:dyDescent="0.45">
      <c r="A152" s="2">
        <v>45946</v>
      </c>
      <c r="B152" s="2">
        <f t="shared" si="35"/>
        <v>47310.75</v>
      </c>
      <c r="C152" s="1">
        <f t="shared" si="27"/>
        <v>1537</v>
      </c>
      <c r="D152" s="1" t="str">
        <f t="shared" si="34"/>
        <v/>
      </c>
    </row>
    <row r="153" spans="1:4" x14ac:dyDescent="0.45">
      <c r="A153" s="2">
        <v>45947</v>
      </c>
      <c r="B153" s="2">
        <f t="shared" si="35"/>
        <v>47314.75</v>
      </c>
      <c r="C153" s="1">
        <f t="shared" si="27"/>
        <v>1537</v>
      </c>
      <c r="D153" s="1" t="str">
        <f t="shared" si="34"/>
        <v/>
      </c>
    </row>
    <row r="154" spans="1:4" x14ac:dyDescent="0.45">
      <c r="A154" s="2">
        <v>45948</v>
      </c>
      <c r="B154" s="2">
        <f t="shared" si="35"/>
        <v>47317.75</v>
      </c>
      <c r="C154" s="1">
        <f t="shared" si="27"/>
        <v>1537</v>
      </c>
      <c r="D154" s="1" t="str">
        <f t="shared" si="34"/>
        <v/>
      </c>
    </row>
    <row r="155" spans="1:4" x14ac:dyDescent="0.45">
      <c r="A155" s="2">
        <v>45949</v>
      </c>
      <c r="B155" s="2">
        <f t="shared" si="35"/>
        <v>47321.75</v>
      </c>
      <c r="C155" s="1">
        <f t="shared" si="27"/>
        <v>1537</v>
      </c>
      <c r="D155" s="1" t="str">
        <f t="shared" si="34"/>
        <v>time-skip</v>
      </c>
    </row>
    <row r="156" spans="1:4" x14ac:dyDescent="0.45">
      <c r="A156" s="2">
        <v>45950</v>
      </c>
      <c r="B156" s="5">
        <f t="shared" si="29"/>
        <v>47392.75</v>
      </c>
      <c r="C156" s="1">
        <f t="shared" si="27"/>
        <v>1537</v>
      </c>
      <c r="D156" s="1" t="str">
        <f t="shared" si="34"/>
        <v/>
      </c>
    </row>
    <row r="157" spans="1:4" x14ac:dyDescent="0.45">
      <c r="A157" s="2">
        <v>45951</v>
      </c>
      <c r="B157" s="2">
        <f t="shared" ref="B157" si="39">B156+3</f>
        <v>47395.75</v>
      </c>
      <c r="C157" s="1">
        <f t="shared" si="27"/>
        <v>1537</v>
      </c>
      <c r="D157" s="1" t="str">
        <f t="shared" si="34"/>
        <v/>
      </c>
    </row>
    <row r="158" spans="1:4" x14ac:dyDescent="0.45">
      <c r="A158" s="2">
        <v>45952</v>
      </c>
      <c r="B158" s="2">
        <f t="shared" ref="B158:B221" si="40">B156+7</f>
        <v>47399.75</v>
      </c>
      <c r="C158" s="1">
        <f t="shared" si="27"/>
        <v>1537</v>
      </c>
      <c r="D158" s="1" t="str">
        <f t="shared" si="34"/>
        <v/>
      </c>
    </row>
    <row r="159" spans="1:4" x14ac:dyDescent="0.45">
      <c r="A159" s="2">
        <v>45953</v>
      </c>
      <c r="B159" s="2">
        <f t="shared" si="35"/>
        <v>47402.75</v>
      </c>
      <c r="C159" s="1">
        <f t="shared" ref="C159:C222" si="41">C158+(DAY(B159)=1) * (MONTH(B159)=1)</f>
        <v>1537</v>
      </c>
      <c r="D159" s="1" t="str">
        <f t="shared" si="34"/>
        <v/>
      </c>
    </row>
    <row r="160" spans="1:4" x14ac:dyDescent="0.45">
      <c r="A160" s="2">
        <v>45954</v>
      </c>
      <c r="B160" s="2">
        <f t="shared" si="35"/>
        <v>47406.75</v>
      </c>
      <c r="C160" s="1">
        <f t="shared" si="41"/>
        <v>1537</v>
      </c>
      <c r="D160" s="1" t="str">
        <f t="shared" si="34"/>
        <v/>
      </c>
    </row>
    <row r="161" spans="1:4" x14ac:dyDescent="0.45">
      <c r="A161" s="2">
        <v>45955</v>
      </c>
      <c r="B161" s="2">
        <f t="shared" si="35"/>
        <v>47409.75</v>
      </c>
      <c r="C161" s="1">
        <f t="shared" si="41"/>
        <v>1537</v>
      </c>
      <c r="D161" s="1" t="str">
        <f t="shared" si="34"/>
        <v/>
      </c>
    </row>
    <row r="162" spans="1:4" x14ac:dyDescent="0.45">
      <c r="A162" s="2">
        <v>45956</v>
      </c>
      <c r="B162" s="2">
        <f t="shared" si="35"/>
        <v>47413.75</v>
      </c>
      <c r="C162" s="1">
        <f t="shared" si="41"/>
        <v>1537</v>
      </c>
      <c r="D162" s="1" t="str">
        <f t="shared" si="34"/>
        <v>time-skip</v>
      </c>
    </row>
    <row r="163" spans="1:4" x14ac:dyDescent="0.45">
      <c r="A163" s="2">
        <v>45957</v>
      </c>
      <c r="B163" s="5">
        <f t="shared" si="29"/>
        <v>47484.75</v>
      </c>
      <c r="C163" s="1">
        <f t="shared" si="41"/>
        <v>1538</v>
      </c>
      <c r="D163" s="1" t="str">
        <f t="shared" si="34"/>
        <v/>
      </c>
    </row>
    <row r="164" spans="1:4" x14ac:dyDescent="0.45">
      <c r="A164" s="2">
        <v>45958</v>
      </c>
      <c r="B164" s="2">
        <f t="shared" ref="B164" si="42">B163+3</f>
        <v>47487.75</v>
      </c>
      <c r="C164" s="1">
        <f t="shared" si="41"/>
        <v>1538</v>
      </c>
      <c r="D164" s="1" t="str">
        <f t="shared" si="34"/>
        <v/>
      </c>
    </row>
    <row r="165" spans="1:4" x14ac:dyDescent="0.45">
      <c r="A165" s="2">
        <v>45959</v>
      </c>
      <c r="B165" s="2">
        <f t="shared" si="40"/>
        <v>47491.75</v>
      </c>
      <c r="C165" s="1">
        <f t="shared" si="41"/>
        <v>1538</v>
      </c>
      <c r="D165" s="1" t="str">
        <f t="shared" si="34"/>
        <v/>
      </c>
    </row>
    <row r="166" spans="1:4" x14ac:dyDescent="0.45">
      <c r="A166" s="2">
        <v>45960</v>
      </c>
      <c r="B166" s="2">
        <f t="shared" si="35"/>
        <v>47494.75</v>
      </c>
      <c r="C166" s="1">
        <f t="shared" si="41"/>
        <v>1538</v>
      </c>
      <c r="D166" s="1" t="str">
        <f t="shared" si="34"/>
        <v/>
      </c>
    </row>
    <row r="167" spans="1:4" x14ac:dyDescent="0.45">
      <c r="A167" s="2">
        <v>45961</v>
      </c>
      <c r="B167" s="2">
        <f t="shared" si="35"/>
        <v>47498.75</v>
      </c>
      <c r="C167" s="1">
        <f t="shared" si="41"/>
        <v>1538</v>
      </c>
      <c r="D167" s="1" t="str">
        <f t="shared" si="34"/>
        <v/>
      </c>
    </row>
    <row r="168" spans="1:4" x14ac:dyDescent="0.45">
      <c r="A168" s="2">
        <v>45962</v>
      </c>
      <c r="B168" s="2">
        <f t="shared" si="35"/>
        <v>47501.75</v>
      </c>
      <c r="C168" s="1">
        <f t="shared" si="41"/>
        <v>1538</v>
      </c>
      <c r="D168" s="1" t="str">
        <f t="shared" si="34"/>
        <v/>
      </c>
    </row>
    <row r="169" spans="1:4" x14ac:dyDescent="0.45">
      <c r="A169" s="2">
        <v>45963</v>
      </c>
      <c r="B169" s="2">
        <f t="shared" si="35"/>
        <v>47505.75</v>
      </c>
      <c r="C169" s="1">
        <f t="shared" si="41"/>
        <v>1538</v>
      </c>
      <c r="D169" s="1" t="str">
        <f t="shared" si="34"/>
        <v>time-skip</v>
      </c>
    </row>
    <row r="170" spans="1:4" x14ac:dyDescent="0.45">
      <c r="A170" s="2">
        <v>45964</v>
      </c>
      <c r="B170" s="5">
        <f t="shared" si="29"/>
        <v>47574.75</v>
      </c>
      <c r="C170" s="1">
        <f t="shared" si="41"/>
        <v>1538</v>
      </c>
      <c r="D170" s="1" t="str">
        <f t="shared" si="34"/>
        <v/>
      </c>
    </row>
    <row r="171" spans="1:4" x14ac:dyDescent="0.45">
      <c r="A171" s="2">
        <v>45965</v>
      </c>
      <c r="B171" s="2">
        <f t="shared" ref="B171" si="43">B170+3</f>
        <v>47577.75</v>
      </c>
      <c r="C171" s="1">
        <f t="shared" si="41"/>
        <v>1538</v>
      </c>
      <c r="D171" s="1" t="str">
        <f t="shared" si="34"/>
        <v/>
      </c>
    </row>
    <row r="172" spans="1:4" x14ac:dyDescent="0.45">
      <c r="A172" s="2">
        <v>45966</v>
      </c>
      <c r="B172" s="2">
        <f t="shared" si="40"/>
        <v>47581.75</v>
      </c>
      <c r="C172" s="1">
        <f t="shared" si="41"/>
        <v>1538</v>
      </c>
      <c r="D172" s="1" t="str">
        <f t="shared" si="34"/>
        <v/>
      </c>
    </row>
    <row r="173" spans="1:4" x14ac:dyDescent="0.45">
      <c r="A173" s="2">
        <v>45967</v>
      </c>
      <c r="B173" s="2">
        <f t="shared" si="35"/>
        <v>47584.75</v>
      </c>
      <c r="C173" s="1">
        <f t="shared" si="41"/>
        <v>1538</v>
      </c>
      <c r="D173" s="1" t="str">
        <f t="shared" si="34"/>
        <v/>
      </c>
    </row>
    <row r="174" spans="1:4" x14ac:dyDescent="0.45">
      <c r="A174" s="2">
        <v>45968</v>
      </c>
      <c r="B174" s="2">
        <f t="shared" si="35"/>
        <v>47588.75</v>
      </c>
      <c r="C174" s="1">
        <f t="shared" si="41"/>
        <v>1538</v>
      </c>
      <c r="D174" s="1" t="str">
        <f t="shared" si="34"/>
        <v/>
      </c>
    </row>
    <row r="175" spans="1:4" x14ac:dyDescent="0.45">
      <c r="A175" s="2">
        <v>45969</v>
      </c>
      <c r="B175" s="2">
        <f t="shared" si="35"/>
        <v>47591.75</v>
      </c>
      <c r="C175" s="1">
        <f t="shared" si="41"/>
        <v>1538</v>
      </c>
      <c r="D175" s="1" t="str">
        <f t="shared" si="34"/>
        <v/>
      </c>
    </row>
    <row r="176" spans="1:4" x14ac:dyDescent="0.45">
      <c r="A176" s="2">
        <v>45970</v>
      </c>
      <c r="B176" s="2">
        <f t="shared" si="35"/>
        <v>47595.75</v>
      </c>
      <c r="C176" s="1">
        <f t="shared" si="41"/>
        <v>1538</v>
      </c>
      <c r="D176" s="1" t="str">
        <f t="shared" si="34"/>
        <v>time-skip</v>
      </c>
    </row>
    <row r="177" spans="1:4" x14ac:dyDescent="0.45">
      <c r="A177" s="2">
        <v>45971</v>
      </c>
      <c r="B177" s="5">
        <f t="shared" ref="B177:B240" si="44">B170+93-DAY(B170+93)+1</f>
        <v>47665.75</v>
      </c>
      <c r="C177" s="1">
        <f t="shared" si="41"/>
        <v>1538</v>
      </c>
      <c r="D177" s="1" t="str">
        <f t="shared" si="34"/>
        <v/>
      </c>
    </row>
    <row r="178" spans="1:4" x14ac:dyDescent="0.45">
      <c r="A178" s="2">
        <v>45972</v>
      </c>
      <c r="B178" s="2">
        <f t="shared" ref="B178" si="45">B177+3</f>
        <v>47668.75</v>
      </c>
      <c r="C178" s="1">
        <f t="shared" si="41"/>
        <v>1538</v>
      </c>
      <c r="D178" s="1" t="str">
        <f t="shared" si="34"/>
        <v/>
      </c>
    </row>
    <row r="179" spans="1:4" x14ac:dyDescent="0.45">
      <c r="A179" s="2">
        <v>45973</v>
      </c>
      <c r="B179" s="2">
        <f t="shared" si="40"/>
        <v>47672.75</v>
      </c>
      <c r="C179" s="1">
        <f t="shared" si="41"/>
        <v>1538</v>
      </c>
      <c r="D179" s="1" t="str">
        <f t="shared" si="34"/>
        <v/>
      </c>
    </row>
    <row r="180" spans="1:4" x14ac:dyDescent="0.45">
      <c r="A180" s="2">
        <v>45974</v>
      </c>
      <c r="B180" s="2">
        <f t="shared" si="35"/>
        <v>47675.75</v>
      </c>
      <c r="C180" s="1">
        <f t="shared" si="41"/>
        <v>1538</v>
      </c>
      <c r="D180" s="1" t="str">
        <f t="shared" si="34"/>
        <v/>
      </c>
    </row>
    <row r="181" spans="1:4" x14ac:dyDescent="0.45">
      <c r="A181" s="2">
        <v>45975</v>
      </c>
      <c r="B181" s="2">
        <f t="shared" si="35"/>
        <v>47679.75</v>
      </c>
      <c r="C181" s="1">
        <f t="shared" si="41"/>
        <v>1538</v>
      </c>
      <c r="D181" s="1" t="str">
        <f t="shared" si="34"/>
        <v/>
      </c>
    </row>
    <row r="182" spans="1:4" x14ac:dyDescent="0.45">
      <c r="A182" s="2">
        <v>45976</v>
      </c>
      <c r="B182" s="2">
        <f t="shared" si="35"/>
        <v>47682.75</v>
      </c>
      <c r="C182" s="1">
        <f t="shared" si="41"/>
        <v>1538</v>
      </c>
      <c r="D182" s="1" t="str">
        <f t="shared" si="34"/>
        <v/>
      </c>
    </row>
    <row r="183" spans="1:4" x14ac:dyDescent="0.45">
      <c r="A183" s="2">
        <v>45977</v>
      </c>
      <c r="B183" s="2">
        <f t="shared" si="35"/>
        <v>47686.75</v>
      </c>
      <c r="C183" s="1">
        <f t="shared" si="41"/>
        <v>1538</v>
      </c>
      <c r="D183" s="1" t="str">
        <f t="shared" si="34"/>
        <v>time-skip</v>
      </c>
    </row>
    <row r="184" spans="1:4" x14ac:dyDescent="0.45">
      <c r="A184" s="2">
        <v>45978</v>
      </c>
      <c r="B184" s="5">
        <f t="shared" si="44"/>
        <v>47757.75</v>
      </c>
      <c r="C184" s="1">
        <f t="shared" si="41"/>
        <v>1538</v>
      </c>
      <c r="D184" s="1" t="str">
        <f t="shared" si="34"/>
        <v/>
      </c>
    </row>
    <row r="185" spans="1:4" x14ac:dyDescent="0.45">
      <c r="A185" s="2">
        <v>45979</v>
      </c>
      <c r="B185" s="2">
        <f t="shared" ref="B185" si="46">B184+3</f>
        <v>47760.75</v>
      </c>
      <c r="C185" s="1">
        <f t="shared" si="41"/>
        <v>1538</v>
      </c>
      <c r="D185" s="1" t="str">
        <f t="shared" si="34"/>
        <v/>
      </c>
    </row>
    <row r="186" spans="1:4" x14ac:dyDescent="0.45">
      <c r="A186" s="2">
        <v>45980</v>
      </c>
      <c r="B186" s="2">
        <f t="shared" si="40"/>
        <v>47764.75</v>
      </c>
      <c r="C186" s="1">
        <f t="shared" si="41"/>
        <v>1538</v>
      </c>
      <c r="D186" s="1" t="str">
        <f t="shared" si="34"/>
        <v/>
      </c>
    </row>
    <row r="187" spans="1:4" x14ac:dyDescent="0.45">
      <c r="A187" s="2">
        <v>45981</v>
      </c>
      <c r="B187" s="2">
        <f t="shared" si="35"/>
        <v>47767.75</v>
      </c>
      <c r="C187" s="1">
        <f t="shared" si="41"/>
        <v>1538</v>
      </c>
      <c r="D187" s="1" t="str">
        <f t="shared" si="34"/>
        <v/>
      </c>
    </row>
    <row r="188" spans="1:4" x14ac:dyDescent="0.45">
      <c r="A188" s="2">
        <v>45982</v>
      </c>
      <c r="B188" s="2">
        <f t="shared" si="35"/>
        <v>47771.75</v>
      </c>
      <c r="C188" s="1">
        <f t="shared" si="41"/>
        <v>1538</v>
      </c>
      <c r="D188" s="1" t="str">
        <f t="shared" si="34"/>
        <v/>
      </c>
    </row>
    <row r="189" spans="1:4" x14ac:dyDescent="0.45">
      <c r="A189" s="2">
        <v>45983</v>
      </c>
      <c r="B189" s="2">
        <f t="shared" si="35"/>
        <v>47774.75</v>
      </c>
      <c r="C189" s="1">
        <f t="shared" si="41"/>
        <v>1538</v>
      </c>
      <c r="D189" s="1" t="str">
        <f t="shared" si="34"/>
        <v/>
      </c>
    </row>
    <row r="190" spans="1:4" x14ac:dyDescent="0.45">
      <c r="A190" s="2">
        <v>45984</v>
      </c>
      <c r="B190" s="2">
        <f t="shared" si="35"/>
        <v>47778.75</v>
      </c>
      <c r="C190" s="1">
        <f t="shared" si="41"/>
        <v>1538</v>
      </c>
      <c r="D190" s="1" t="str">
        <f t="shared" si="34"/>
        <v>time-skip</v>
      </c>
    </row>
    <row r="191" spans="1:4" x14ac:dyDescent="0.45">
      <c r="A191" s="2">
        <v>45985</v>
      </c>
      <c r="B191" s="5">
        <f t="shared" si="44"/>
        <v>47849.75</v>
      </c>
      <c r="C191" s="1">
        <f t="shared" si="41"/>
        <v>1539</v>
      </c>
      <c r="D191" s="1" t="str">
        <f t="shared" si="34"/>
        <v/>
      </c>
    </row>
    <row r="192" spans="1:4" x14ac:dyDescent="0.45">
      <c r="A192" s="2">
        <v>45986</v>
      </c>
      <c r="B192" s="2">
        <f t="shared" ref="B192" si="47">B191+3</f>
        <v>47852.75</v>
      </c>
      <c r="C192" s="1">
        <f t="shared" si="41"/>
        <v>1539</v>
      </c>
      <c r="D192" s="1" t="str">
        <f t="shared" si="34"/>
        <v/>
      </c>
    </row>
    <row r="193" spans="1:4" x14ac:dyDescent="0.45">
      <c r="A193" s="2">
        <v>45987</v>
      </c>
      <c r="B193" s="2">
        <f t="shared" si="40"/>
        <v>47856.75</v>
      </c>
      <c r="C193" s="1">
        <f t="shared" si="41"/>
        <v>1539</v>
      </c>
      <c r="D193" s="1" t="str">
        <f t="shared" si="34"/>
        <v/>
      </c>
    </row>
    <row r="194" spans="1:4" x14ac:dyDescent="0.45">
      <c r="A194" s="2">
        <v>45988</v>
      </c>
      <c r="B194" s="2">
        <f t="shared" si="35"/>
        <v>47859.75</v>
      </c>
      <c r="C194" s="1">
        <f t="shared" si="41"/>
        <v>1539</v>
      </c>
      <c r="D194" s="1" t="str">
        <f t="shared" si="34"/>
        <v/>
      </c>
    </row>
    <row r="195" spans="1:4" x14ac:dyDescent="0.45">
      <c r="A195" s="2">
        <v>45989</v>
      </c>
      <c r="B195" s="2">
        <f t="shared" si="35"/>
        <v>47863.75</v>
      </c>
      <c r="C195" s="1">
        <f t="shared" si="41"/>
        <v>1539</v>
      </c>
      <c r="D195" s="1" t="str">
        <f t="shared" ref="D195:D258" si="48">IF(WEEKDAY(A195,2)=7,"time-skip","")</f>
        <v/>
      </c>
    </row>
    <row r="196" spans="1:4" x14ac:dyDescent="0.45">
      <c r="A196" s="2">
        <v>45990</v>
      </c>
      <c r="B196" s="2">
        <f t="shared" si="35"/>
        <v>47866.75</v>
      </c>
      <c r="C196" s="1">
        <f t="shared" si="41"/>
        <v>1539</v>
      </c>
      <c r="D196" s="1" t="str">
        <f t="shared" si="48"/>
        <v/>
      </c>
    </row>
    <row r="197" spans="1:4" x14ac:dyDescent="0.45">
      <c r="A197" s="2">
        <v>45991</v>
      </c>
      <c r="B197" s="2">
        <f t="shared" ref="B197:B260" si="49">B195+7</f>
        <v>47870.75</v>
      </c>
      <c r="C197" s="1">
        <f t="shared" si="41"/>
        <v>1539</v>
      </c>
      <c r="D197" s="1" t="str">
        <f t="shared" si="48"/>
        <v>time-skip</v>
      </c>
    </row>
    <row r="198" spans="1:4" x14ac:dyDescent="0.45">
      <c r="A198" s="2">
        <v>45992</v>
      </c>
      <c r="B198" s="5">
        <f t="shared" si="44"/>
        <v>47939.75</v>
      </c>
      <c r="C198" s="1">
        <f t="shared" si="41"/>
        <v>1539</v>
      </c>
      <c r="D198" s="1" t="str">
        <f t="shared" si="48"/>
        <v/>
      </c>
    </row>
    <row r="199" spans="1:4" x14ac:dyDescent="0.45">
      <c r="A199" s="2">
        <v>45993</v>
      </c>
      <c r="B199" s="2">
        <f t="shared" ref="B199" si="50">B198+3</f>
        <v>47942.75</v>
      </c>
      <c r="C199" s="1">
        <f t="shared" si="41"/>
        <v>1539</v>
      </c>
      <c r="D199" s="1" t="str">
        <f t="shared" si="48"/>
        <v/>
      </c>
    </row>
    <row r="200" spans="1:4" x14ac:dyDescent="0.45">
      <c r="A200" s="2">
        <v>45994</v>
      </c>
      <c r="B200" s="2">
        <f t="shared" si="40"/>
        <v>47946.75</v>
      </c>
      <c r="C200" s="1">
        <f t="shared" si="41"/>
        <v>1539</v>
      </c>
      <c r="D200" s="1" t="str">
        <f t="shared" si="48"/>
        <v/>
      </c>
    </row>
    <row r="201" spans="1:4" x14ac:dyDescent="0.45">
      <c r="A201" s="2">
        <v>45995</v>
      </c>
      <c r="B201" s="2">
        <f t="shared" si="49"/>
        <v>47949.75</v>
      </c>
      <c r="C201" s="1">
        <f t="shared" si="41"/>
        <v>1539</v>
      </c>
      <c r="D201" s="1" t="str">
        <f t="shared" si="48"/>
        <v/>
      </c>
    </row>
    <row r="202" spans="1:4" x14ac:dyDescent="0.45">
      <c r="A202" s="2">
        <v>45996</v>
      </c>
      <c r="B202" s="2">
        <f t="shared" si="49"/>
        <v>47953.75</v>
      </c>
      <c r="C202" s="1">
        <f t="shared" si="41"/>
        <v>1539</v>
      </c>
      <c r="D202" s="1" t="str">
        <f t="shared" si="48"/>
        <v/>
      </c>
    </row>
    <row r="203" spans="1:4" x14ac:dyDescent="0.45">
      <c r="A203" s="2">
        <v>45997</v>
      </c>
      <c r="B203" s="2">
        <f t="shared" si="49"/>
        <v>47956.75</v>
      </c>
      <c r="C203" s="1">
        <f t="shared" si="41"/>
        <v>1539</v>
      </c>
      <c r="D203" s="1" t="str">
        <f t="shared" si="48"/>
        <v/>
      </c>
    </row>
    <row r="204" spans="1:4" x14ac:dyDescent="0.45">
      <c r="A204" s="2">
        <v>45998</v>
      </c>
      <c r="B204" s="2">
        <f t="shared" si="49"/>
        <v>47960.75</v>
      </c>
      <c r="C204" s="1">
        <f t="shared" si="41"/>
        <v>1539</v>
      </c>
      <c r="D204" s="1" t="str">
        <f t="shared" si="48"/>
        <v>time-skip</v>
      </c>
    </row>
    <row r="205" spans="1:4" x14ac:dyDescent="0.45">
      <c r="A205" s="2">
        <v>45999</v>
      </c>
      <c r="B205" s="5">
        <f t="shared" si="44"/>
        <v>48030.75</v>
      </c>
      <c r="C205" s="1">
        <f t="shared" si="41"/>
        <v>1539</v>
      </c>
      <c r="D205" s="1" t="str">
        <f t="shared" si="48"/>
        <v/>
      </c>
    </row>
    <row r="206" spans="1:4" x14ac:dyDescent="0.45">
      <c r="A206" s="2">
        <v>46000</v>
      </c>
      <c r="B206" s="2">
        <f t="shared" ref="B206" si="51">B205+3</f>
        <v>48033.75</v>
      </c>
      <c r="C206" s="1">
        <f t="shared" si="41"/>
        <v>1539</v>
      </c>
      <c r="D206" s="1" t="str">
        <f t="shared" si="48"/>
        <v/>
      </c>
    </row>
    <row r="207" spans="1:4" x14ac:dyDescent="0.45">
      <c r="A207" s="2">
        <v>46001</v>
      </c>
      <c r="B207" s="2">
        <f t="shared" si="40"/>
        <v>48037.75</v>
      </c>
      <c r="C207" s="1">
        <f t="shared" si="41"/>
        <v>1539</v>
      </c>
      <c r="D207" s="1" t="str">
        <f t="shared" si="48"/>
        <v/>
      </c>
    </row>
    <row r="208" spans="1:4" x14ac:dyDescent="0.45">
      <c r="A208" s="2">
        <v>46002</v>
      </c>
      <c r="B208" s="2">
        <f t="shared" si="49"/>
        <v>48040.75</v>
      </c>
      <c r="C208" s="1">
        <f t="shared" si="41"/>
        <v>1539</v>
      </c>
      <c r="D208" s="1" t="str">
        <f t="shared" si="48"/>
        <v/>
      </c>
    </row>
    <row r="209" spans="1:4" x14ac:dyDescent="0.45">
      <c r="A209" s="2">
        <v>46003</v>
      </c>
      <c r="B209" s="2">
        <f t="shared" si="49"/>
        <v>48044.75</v>
      </c>
      <c r="C209" s="1">
        <f t="shared" si="41"/>
        <v>1539</v>
      </c>
      <c r="D209" s="1" t="str">
        <f t="shared" si="48"/>
        <v/>
      </c>
    </row>
    <row r="210" spans="1:4" x14ac:dyDescent="0.45">
      <c r="A210" s="2">
        <v>46004</v>
      </c>
      <c r="B210" s="2">
        <f t="shared" si="49"/>
        <v>48047.75</v>
      </c>
      <c r="C210" s="1">
        <f t="shared" si="41"/>
        <v>1539</v>
      </c>
      <c r="D210" s="1" t="str">
        <f t="shared" si="48"/>
        <v/>
      </c>
    </row>
    <row r="211" spans="1:4" x14ac:dyDescent="0.45">
      <c r="A211" s="2">
        <v>46005</v>
      </c>
      <c r="B211" s="2">
        <f t="shared" si="49"/>
        <v>48051.75</v>
      </c>
      <c r="C211" s="1">
        <f t="shared" si="41"/>
        <v>1539</v>
      </c>
      <c r="D211" s="1" t="str">
        <f t="shared" si="48"/>
        <v>time-skip</v>
      </c>
    </row>
    <row r="212" spans="1:4" x14ac:dyDescent="0.45">
      <c r="A212" s="2">
        <v>46006</v>
      </c>
      <c r="B212" s="5">
        <f t="shared" si="44"/>
        <v>48122.75</v>
      </c>
      <c r="C212" s="1">
        <f t="shared" si="41"/>
        <v>1539</v>
      </c>
      <c r="D212" s="1" t="str">
        <f t="shared" si="48"/>
        <v/>
      </c>
    </row>
    <row r="213" spans="1:4" x14ac:dyDescent="0.45">
      <c r="A213" s="2">
        <v>46007</v>
      </c>
      <c r="B213" s="2">
        <f t="shared" ref="B213" si="52">B212+3</f>
        <v>48125.75</v>
      </c>
      <c r="C213" s="1">
        <f t="shared" si="41"/>
        <v>1539</v>
      </c>
      <c r="D213" s="1" t="str">
        <f t="shared" si="48"/>
        <v/>
      </c>
    </row>
    <row r="214" spans="1:4" x14ac:dyDescent="0.45">
      <c r="A214" s="2">
        <v>46008</v>
      </c>
      <c r="B214" s="2">
        <f t="shared" si="40"/>
        <v>48129.75</v>
      </c>
      <c r="C214" s="1">
        <f t="shared" si="41"/>
        <v>1539</v>
      </c>
      <c r="D214" s="1" t="str">
        <f t="shared" si="48"/>
        <v/>
      </c>
    </row>
    <row r="215" spans="1:4" x14ac:dyDescent="0.45">
      <c r="A215" s="2">
        <v>46009</v>
      </c>
      <c r="B215" s="2">
        <f t="shared" si="49"/>
        <v>48132.75</v>
      </c>
      <c r="C215" s="1">
        <f t="shared" si="41"/>
        <v>1539</v>
      </c>
      <c r="D215" s="1" t="str">
        <f t="shared" si="48"/>
        <v/>
      </c>
    </row>
    <row r="216" spans="1:4" x14ac:dyDescent="0.45">
      <c r="A216" s="2">
        <v>46010</v>
      </c>
      <c r="B216" s="2">
        <f t="shared" si="49"/>
        <v>48136.75</v>
      </c>
      <c r="C216" s="1">
        <f t="shared" si="41"/>
        <v>1539</v>
      </c>
      <c r="D216" s="1" t="str">
        <f t="shared" si="48"/>
        <v/>
      </c>
    </row>
    <row r="217" spans="1:4" x14ac:dyDescent="0.45">
      <c r="A217" s="2">
        <v>46011</v>
      </c>
      <c r="B217" s="2">
        <f t="shared" si="49"/>
        <v>48139.75</v>
      </c>
      <c r="C217" s="1">
        <f t="shared" si="41"/>
        <v>1539</v>
      </c>
      <c r="D217" s="1" t="str">
        <f t="shared" si="48"/>
        <v/>
      </c>
    </row>
    <row r="218" spans="1:4" x14ac:dyDescent="0.45">
      <c r="A218" s="2">
        <v>46012</v>
      </c>
      <c r="B218" s="2">
        <f t="shared" si="49"/>
        <v>48143.75</v>
      </c>
      <c r="C218" s="1">
        <f t="shared" si="41"/>
        <v>1539</v>
      </c>
      <c r="D218" s="1" t="str">
        <f t="shared" si="48"/>
        <v>time-skip</v>
      </c>
    </row>
    <row r="219" spans="1:4" x14ac:dyDescent="0.45">
      <c r="A219" s="2">
        <v>46013</v>
      </c>
      <c r="B219" s="5">
        <f t="shared" si="44"/>
        <v>48214.75</v>
      </c>
      <c r="C219" s="1">
        <f t="shared" si="41"/>
        <v>1540</v>
      </c>
      <c r="D219" s="1" t="str">
        <f t="shared" si="48"/>
        <v/>
      </c>
    </row>
    <row r="220" spans="1:4" x14ac:dyDescent="0.45">
      <c r="A220" s="2">
        <v>46014</v>
      </c>
      <c r="B220" s="2">
        <f t="shared" ref="B220" si="53">B219+3</f>
        <v>48217.75</v>
      </c>
      <c r="C220" s="1">
        <f t="shared" si="41"/>
        <v>1540</v>
      </c>
      <c r="D220" s="1" t="str">
        <f t="shared" si="48"/>
        <v/>
      </c>
    </row>
    <row r="221" spans="1:4" x14ac:dyDescent="0.45">
      <c r="A221" s="2">
        <v>46015</v>
      </c>
      <c r="B221" s="2">
        <f t="shared" si="40"/>
        <v>48221.75</v>
      </c>
      <c r="C221" s="1">
        <f t="shared" si="41"/>
        <v>1540</v>
      </c>
      <c r="D221" s="1" t="str">
        <f t="shared" si="48"/>
        <v/>
      </c>
    </row>
    <row r="222" spans="1:4" x14ac:dyDescent="0.45">
      <c r="A222" s="2">
        <v>46016</v>
      </c>
      <c r="B222" s="2">
        <f t="shared" si="49"/>
        <v>48224.75</v>
      </c>
      <c r="C222" s="1">
        <f t="shared" si="41"/>
        <v>1540</v>
      </c>
      <c r="D222" s="1" t="str">
        <f t="shared" si="48"/>
        <v/>
      </c>
    </row>
    <row r="223" spans="1:4" x14ac:dyDescent="0.45">
      <c r="A223" s="2">
        <v>46017</v>
      </c>
      <c r="B223" s="2">
        <f t="shared" si="49"/>
        <v>48228.75</v>
      </c>
      <c r="C223" s="1">
        <f t="shared" ref="C223:C261" si="54">C222+(DAY(B223)=1) * (MONTH(B223)=1)</f>
        <v>1540</v>
      </c>
      <c r="D223" s="1" t="str">
        <f t="shared" si="48"/>
        <v/>
      </c>
    </row>
    <row r="224" spans="1:4" x14ac:dyDescent="0.45">
      <c r="A224" s="2">
        <v>46018</v>
      </c>
      <c r="B224" s="2">
        <f t="shared" si="49"/>
        <v>48231.75</v>
      </c>
      <c r="C224" s="1">
        <f t="shared" si="54"/>
        <v>1540</v>
      </c>
      <c r="D224" s="1" t="str">
        <f t="shared" si="48"/>
        <v/>
      </c>
    </row>
    <row r="225" spans="1:4" x14ac:dyDescent="0.45">
      <c r="A225" s="2">
        <v>46019</v>
      </c>
      <c r="B225" s="2">
        <f t="shared" si="49"/>
        <v>48235.75</v>
      </c>
      <c r="C225" s="1">
        <f t="shared" si="54"/>
        <v>1540</v>
      </c>
      <c r="D225" s="1" t="str">
        <f t="shared" si="48"/>
        <v>time-skip</v>
      </c>
    </row>
    <row r="226" spans="1:4" x14ac:dyDescent="0.45">
      <c r="A226" s="2">
        <v>46020</v>
      </c>
      <c r="B226" s="5">
        <f t="shared" si="44"/>
        <v>48305.75</v>
      </c>
      <c r="C226" s="1">
        <f t="shared" si="54"/>
        <v>1540</v>
      </c>
      <c r="D226" s="1" t="str">
        <f t="shared" si="48"/>
        <v/>
      </c>
    </row>
    <row r="227" spans="1:4" x14ac:dyDescent="0.45">
      <c r="A227" s="2">
        <v>46021</v>
      </c>
      <c r="B227" s="2">
        <f t="shared" ref="B227" si="55">B226+3</f>
        <v>48308.75</v>
      </c>
      <c r="C227" s="1">
        <f t="shared" si="54"/>
        <v>1540</v>
      </c>
      <c r="D227" s="1" t="str">
        <f t="shared" si="48"/>
        <v/>
      </c>
    </row>
    <row r="228" spans="1:4" x14ac:dyDescent="0.45">
      <c r="A228" s="2">
        <v>46022</v>
      </c>
      <c r="B228" s="2">
        <f t="shared" ref="B228:B291" si="56">B226+7</f>
        <v>48312.75</v>
      </c>
      <c r="C228" s="1">
        <f t="shared" si="54"/>
        <v>1540</v>
      </c>
      <c r="D228" s="1" t="str">
        <f t="shared" si="48"/>
        <v/>
      </c>
    </row>
    <row r="229" spans="1:4" x14ac:dyDescent="0.45">
      <c r="A229" s="2">
        <v>46023</v>
      </c>
      <c r="B229" s="2">
        <f t="shared" si="49"/>
        <v>48315.75</v>
      </c>
      <c r="C229" s="1">
        <f t="shared" si="54"/>
        <v>1540</v>
      </c>
      <c r="D229" s="1" t="str">
        <f t="shared" si="48"/>
        <v/>
      </c>
    </row>
    <row r="230" spans="1:4" x14ac:dyDescent="0.45">
      <c r="A230" s="2">
        <v>46024</v>
      </c>
      <c r="B230" s="2">
        <f t="shared" si="49"/>
        <v>48319.75</v>
      </c>
      <c r="C230" s="1">
        <f t="shared" si="54"/>
        <v>1540</v>
      </c>
      <c r="D230" s="1" t="str">
        <f t="shared" si="48"/>
        <v/>
      </c>
    </row>
    <row r="231" spans="1:4" x14ac:dyDescent="0.45">
      <c r="A231" s="2">
        <v>46025</v>
      </c>
      <c r="B231" s="2">
        <f t="shared" si="49"/>
        <v>48322.75</v>
      </c>
      <c r="C231" s="1">
        <f t="shared" si="54"/>
        <v>1540</v>
      </c>
      <c r="D231" s="1" t="str">
        <f t="shared" si="48"/>
        <v/>
      </c>
    </row>
    <row r="232" spans="1:4" x14ac:dyDescent="0.45">
      <c r="A232" s="2">
        <v>46026</v>
      </c>
      <c r="B232" s="2">
        <f t="shared" si="49"/>
        <v>48326.75</v>
      </c>
      <c r="C232" s="1">
        <f t="shared" si="54"/>
        <v>1540</v>
      </c>
      <c r="D232" s="1" t="str">
        <f t="shared" si="48"/>
        <v>time-skip</v>
      </c>
    </row>
    <row r="233" spans="1:4" x14ac:dyDescent="0.45">
      <c r="A233" s="2">
        <v>46027</v>
      </c>
      <c r="B233" s="5">
        <f t="shared" si="44"/>
        <v>48396.75</v>
      </c>
      <c r="C233" s="1">
        <f t="shared" si="54"/>
        <v>1540</v>
      </c>
      <c r="D233" s="1" t="str">
        <f t="shared" si="48"/>
        <v/>
      </c>
    </row>
    <row r="234" spans="1:4" x14ac:dyDescent="0.45">
      <c r="A234" s="2">
        <v>46028</v>
      </c>
      <c r="B234" s="2">
        <f t="shared" ref="B234" si="57">B233+3</f>
        <v>48399.75</v>
      </c>
      <c r="C234" s="1">
        <f t="shared" si="54"/>
        <v>1540</v>
      </c>
      <c r="D234" s="1" t="str">
        <f t="shared" si="48"/>
        <v/>
      </c>
    </row>
    <row r="235" spans="1:4" x14ac:dyDescent="0.45">
      <c r="A235" s="2">
        <v>46029</v>
      </c>
      <c r="B235" s="2">
        <f t="shared" si="56"/>
        <v>48403.75</v>
      </c>
      <c r="C235" s="1">
        <f t="shared" si="54"/>
        <v>1540</v>
      </c>
      <c r="D235" s="1" t="str">
        <f t="shared" si="48"/>
        <v/>
      </c>
    </row>
    <row r="236" spans="1:4" x14ac:dyDescent="0.45">
      <c r="A236" s="2">
        <v>46030</v>
      </c>
      <c r="B236" s="2">
        <f t="shared" si="49"/>
        <v>48406.75</v>
      </c>
      <c r="C236" s="1">
        <f t="shared" si="54"/>
        <v>1540</v>
      </c>
      <c r="D236" s="1" t="str">
        <f t="shared" si="48"/>
        <v/>
      </c>
    </row>
    <row r="237" spans="1:4" x14ac:dyDescent="0.45">
      <c r="A237" s="2">
        <v>46031</v>
      </c>
      <c r="B237" s="2">
        <f t="shared" si="49"/>
        <v>48410.75</v>
      </c>
      <c r="C237" s="1">
        <f t="shared" si="54"/>
        <v>1540</v>
      </c>
      <c r="D237" s="1" t="str">
        <f t="shared" si="48"/>
        <v/>
      </c>
    </row>
    <row r="238" spans="1:4" x14ac:dyDescent="0.45">
      <c r="A238" s="2">
        <v>46032</v>
      </c>
      <c r="B238" s="2">
        <f t="shared" si="49"/>
        <v>48413.75</v>
      </c>
      <c r="C238" s="1">
        <f t="shared" si="54"/>
        <v>1540</v>
      </c>
      <c r="D238" s="1" t="str">
        <f t="shared" si="48"/>
        <v/>
      </c>
    </row>
    <row r="239" spans="1:4" x14ac:dyDescent="0.45">
      <c r="A239" s="2">
        <v>46033</v>
      </c>
      <c r="B239" s="2">
        <f t="shared" si="49"/>
        <v>48417.75</v>
      </c>
      <c r="C239" s="1">
        <f t="shared" si="54"/>
        <v>1540</v>
      </c>
      <c r="D239" s="1" t="str">
        <f t="shared" si="48"/>
        <v>time-skip</v>
      </c>
    </row>
    <row r="240" spans="1:4" x14ac:dyDescent="0.45">
      <c r="A240" s="2">
        <v>46034</v>
      </c>
      <c r="B240" s="5">
        <f t="shared" si="44"/>
        <v>48488.75</v>
      </c>
      <c r="C240" s="1">
        <f t="shared" si="54"/>
        <v>1540</v>
      </c>
      <c r="D240" s="1" t="str">
        <f t="shared" si="48"/>
        <v/>
      </c>
    </row>
    <row r="241" spans="1:4" x14ac:dyDescent="0.45">
      <c r="A241" s="2">
        <v>46035</v>
      </c>
      <c r="B241" s="2">
        <f t="shared" ref="B241" si="58">B240+3</f>
        <v>48491.75</v>
      </c>
      <c r="C241" s="1">
        <f t="shared" si="54"/>
        <v>1540</v>
      </c>
      <c r="D241" s="1" t="str">
        <f t="shared" si="48"/>
        <v/>
      </c>
    </row>
    <row r="242" spans="1:4" x14ac:dyDescent="0.45">
      <c r="A242" s="2">
        <v>46036</v>
      </c>
      <c r="B242" s="2">
        <f t="shared" si="56"/>
        <v>48495.75</v>
      </c>
      <c r="C242" s="1">
        <f t="shared" si="54"/>
        <v>1540</v>
      </c>
      <c r="D242" s="1" t="str">
        <f t="shared" si="48"/>
        <v/>
      </c>
    </row>
    <row r="243" spans="1:4" x14ac:dyDescent="0.45">
      <c r="A243" s="2">
        <v>46037</v>
      </c>
      <c r="B243" s="2">
        <f t="shared" si="49"/>
        <v>48498.75</v>
      </c>
      <c r="C243" s="1">
        <f t="shared" si="54"/>
        <v>1540</v>
      </c>
      <c r="D243" s="1" t="str">
        <f t="shared" si="48"/>
        <v/>
      </c>
    </row>
    <row r="244" spans="1:4" x14ac:dyDescent="0.45">
      <c r="A244" s="2">
        <v>46038</v>
      </c>
      <c r="B244" s="2">
        <f t="shared" si="49"/>
        <v>48502.75</v>
      </c>
      <c r="C244" s="1">
        <f t="shared" si="54"/>
        <v>1540</v>
      </c>
      <c r="D244" s="1" t="str">
        <f t="shared" si="48"/>
        <v/>
      </c>
    </row>
    <row r="245" spans="1:4" x14ac:dyDescent="0.45">
      <c r="A245" s="2">
        <v>46039</v>
      </c>
      <c r="B245" s="2">
        <f t="shared" si="49"/>
        <v>48505.75</v>
      </c>
      <c r="C245" s="1">
        <f t="shared" si="54"/>
        <v>1540</v>
      </c>
      <c r="D245" s="1" t="str">
        <f t="shared" si="48"/>
        <v/>
      </c>
    </row>
    <row r="246" spans="1:4" x14ac:dyDescent="0.45">
      <c r="A246" s="2">
        <v>46040</v>
      </c>
      <c r="B246" s="2">
        <f t="shared" si="49"/>
        <v>48509.75</v>
      </c>
      <c r="C246" s="1">
        <f t="shared" si="54"/>
        <v>1540</v>
      </c>
      <c r="D246" s="1" t="str">
        <f t="shared" si="48"/>
        <v>time-skip</v>
      </c>
    </row>
    <row r="247" spans="1:4" x14ac:dyDescent="0.45">
      <c r="A247" s="2">
        <v>46041</v>
      </c>
      <c r="B247" s="5">
        <f t="shared" ref="B247:B261" si="59">B240+93-DAY(B240+93)+1</f>
        <v>48580.75</v>
      </c>
      <c r="C247" s="1">
        <f t="shared" si="54"/>
        <v>1541</v>
      </c>
      <c r="D247" s="1" t="str">
        <f t="shared" si="48"/>
        <v/>
      </c>
    </row>
    <row r="248" spans="1:4" x14ac:dyDescent="0.45">
      <c r="A248" s="2">
        <v>46042</v>
      </c>
      <c r="B248" s="2">
        <f t="shared" ref="B248" si="60">B247+3</f>
        <v>48583.75</v>
      </c>
      <c r="C248" s="1">
        <f t="shared" si="54"/>
        <v>1541</v>
      </c>
      <c r="D248" s="1" t="str">
        <f t="shared" si="48"/>
        <v/>
      </c>
    </row>
    <row r="249" spans="1:4" x14ac:dyDescent="0.45">
      <c r="A249" s="2">
        <v>46043</v>
      </c>
      <c r="B249" s="2">
        <f t="shared" si="56"/>
        <v>48587.75</v>
      </c>
      <c r="C249" s="1">
        <f t="shared" si="54"/>
        <v>1541</v>
      </c>
      <c r="D249" s="1" t="str">
        <f t="shared" si="48"/>
        <v/>
      </c>
    </row>
    <row r="250" spans="1:4" x14ac:dyDescent="0.45">
      <c r="A250" s="2">
        <v>46044</v>
      </c>
      <c r="B250" s="2">
        <f t="shared" si="49"/>
        <v>48590.75</v>
      </c>
      <c r="C250" s="1">
        <f t="shared" si="54"/>
        <v>1541</v>
      </c>
      <c r="D250" s="1" t="str">
        <f t="shared" si="48"/>
        <v/>
      </c>
    </row>
    <row r="251" spans="1:4" x14ac:dyDescent="0.45">
      <c r="A251" s="2">
        <v>46045</v>
      </c>
      <c r="B251" s="2">
        <f t="shared" si="49"/>
        <v>48594.75</v>
      </c>
      <c r="C251" s="1">
        <f t="shared" si="54"/>
        <v>1541</v>
      </c>
      <c r="D251" s="1" t="str">
        <f t="shared" si="48"/>
        <v/>
      </c>
    </row>
    <row r="252" spans="1:4" x14ac:dyDescent="0.45">
      <c r="A252" s="2">
        <v>46046</v>
      </c>
      <c r="B252" s="2">
        <f t="shared" si="49"/>
        <v>48597.75</v>
      </c>
      <c r="C252" s="1">
        <f t="shared" si="54"/>
        <v>1541</v>
      </c>
      <c r="D252" s="1" t="str">
        <f t="shared" si="48"/>
        <v/>
      </c>
    </row>
    <row r="253" spans="1:4" x14ac:dyDescent="0.45">
      <c r="A253" s="2">
        <v>46047</v>
      </c>
      <c r="B253" s="2">
        <f t="shared" si="49"/>
        <v>48601.75</v>
      </c>
      <c r="C253" s="1">
        <f t="shared" si="54"/>
        <v>1541</v>
      </c>
      <c r="D253" s="1" t="str">
        <f t="shared" si="48"/>
        <v>time-skip</v>
      </c>
    </row>
    <row r="254" spans="1:4" x14ac:dyDescent="0.45">
      <c r="A254" s="2">
        <v>46048</v>
      </c>
      <c r="B254" s="5">
        <f t="shared" si="59"/>
        <v>48670.75</v>
      </c>
      <c r="C254" s="1">
        <f t="shared" si="54"/>
        <v>1541</v>
      </c>
      <c r="D254" s="1" t="str">
        <f t="shared" si="48"/>
        <v/>
      </c>
    </row>
    <row r="255" spans="1:4" x14ac:dyDescent="0.45">
      <c r="A255" s="2">
        <v>46049</v>
      </c>
      <c r="B255" s="2">
        <f t="shared" ref="B255" si="61">B254+3</f>
        <v>48673.75</v>
      </c>
      <c r="C255" s="1">
        <f t="shared" si="54"/>
        <v>1541</v>
      </c>
      <c r="D255" s="1" t="str">
        <f t="shared" si="48"/>
        <v/>
      </c>
    </row>
    <row r="256" spans="1:4" x14ac:dyDescent="0.45">
      <c r="A256" s="2">
        <v>46050</v>
      </c>
      <c r="B256" s="2">
        <f t="shared" si="56"/>
        <v>48677.75</v>
      </c>
      <c r="C256" s="1">
        <f t="shared" si="54"/>
        <v>1541</v>
      </c>
      <c r="D256" s="1" t="str">
        <f t="shared" si="48"/>
        <v/>
      </c>
    </row>
    <row r="257" spans="1:4" x14ac:dyDescent="0.45">
      <c r="A257" s="2">
        <v>46051</v>
      </c>
      <c r="B257" s="2">
        <f t="shared" si="49"/>
        <v>48680.75</v>
      </c>
      <c r="C257" s="1">
        <f t="shared" si="54"/>
        <v>1541</v>
      </c>
      <c r="D257" s="1" t="str">
        <f t="shared" si="48"/>
        <v/>
      </c>
    </row>
    <row r="258" spans="1:4" x14ac:dyDescent="0.45">
      <c r="A258" s="2">
        <v>46052</v>
      </c>
      <c r="B258" s="2">
        <f t="shared" si="49"/>
        <v>48684.75</v>
      </c>
      <c r="C258" s="1">
        <f t="shared" si="54"/>
        <v>1541</v>
      </c>
      <c r="D258" s="1" t="str">
        <f t="shared" si="48"/>
        <v/>
      </c>
    </row>
    <row r="259" spans="1:4" x14ac:dyDescent="0.45">
      <c r="A259" s="2">
        <v>46053</v>
      </c>
      <c r="B259" s="2">
        <f t="shared" si="49"/>
        <v>48687.75</v>
      </c>
      <c r="C259" s="1">
        <f t="shared" si="54"/>
        <v>1541</v>
      </c>
      <c r="D259" s="1" t="str">
        <f t="shared" ref="D259:D322" si="62">IF(WEEKDAY(A259,2)=7,"time-skip","")</f>
        <v/>
      </c>
    </row>
    <row r="260" spans="1:4" x14ac:dyDescent="0.45">
      <c r="A260" s="2">
        <v>46054</v>
      </c>
      <c r="B260" s="2">
        <f t="shared" si="49"/>
        <v>48691.75</v>
      </c>
      <c r="C260" s="1">
        <f t="shared" si="54"/>
        <v>1541</v>
      </c>
      <c r="D260" s="1" t="str">
        <f t="shared" si="62"/>
        <v>time-skip</v>
      </c>
    </row>
    <row r="261" spans="1:4" x14ac:dyDescent="0.45">
      <c r="A261" s="2">
        <v>46055</v>
      </c>
      <c r="B261" s="5">
        <f t="shared" si="59"/>
        <v>48761.75</v>
      </c>
      <c r="C261" s="1">
        <f t="shared" si="54"/>
        <v>1541</v>
      </c>
      <c r="D261" s="1" t="str">
        <f t="shared" si="62"/>
        <v/>
      </c>
    </row>
    <row r="262" spans="1:4" x14ac:dyDescent="0.45">
      <c r="A262" s="2">
        <v>46056</v>
      </c>
      <c r="B262" s="2">
        <f t="shared" ref="B262" si="63">B261+3</f>
        <v>48764.75</v>
      </c>
      <c r="C262" s="1">
        <f t="shared" ref="C262:C325" si="64">C261+(DAY(B262)=1) * (MONTH(B262)=1)</f>
        <v>1541</v>
      </c>
      <c r="D262" s="1" t="str">
        <f t="shared" si="62"/>
        <v/>
      </c>
    </row>
    <row r="263" spans="1:4" x14ac:dyDescent="0.45">
      <c r="A263" s="2">
        <v>46057</v>
      </c>
      <c r="B263" s="2">
        <f t="shared" si="56"/>
        <v>48768.75</v>
      </c>
      <c r="C263" s="1">
        <f t="shared" si="64"/>
        <v>1541</v>
      </c>
      <c r="D263" s="1" t="str">
        <f t="shared" si="62"/>
        <v/>
      </c>
    </row>
    <row r="264" spans="1:4" x14ac:dyDescent="0.45">
      <c r="A264" s="2">
        <v>46058</v>
      </c>
      <c r="B264" s="2">
        <f t="shared" si="56"/>
        <v>48771.75</v>
      </c>
      <c r="C264" s="1">
        <f t="shared" si="64"/>
        <v>1541</v>
      </c>
      <c r="D264" s="1" t="str">
        <f t="shared" si="62"/>
        <v/>
      </c>
    </row>
    <row r="265" spans="1:4" x14ac:dyDescent="0.45">
      <c r="A265" s="2">
        <v>46059</v>
      </c>
      <c r="B265" s="2">
        <f t="shared" si="56"/>
        <v>48775.75</v>
      </c>
      <c r="C265" s="1">
        <f t="shared" si="64"/>
        <v>1541</v>
      </c>
      <c r="D265" s="1" t="str">
        <f t="shared" si="62"/>
        <v/>
      </c>
    </row>
    <row r="266" spans="1:4" x14ac:dyDescent="0.45">
      <c r="A266" s="2">
        <v>46060</v>
      </c>
      <c r="B266" s="2">
        <f t="shared" si="56"/>
        <v>48778.75</v>
      </c>
      <c r="C266" s="1">
        <f t="shared" si="64"/>
        <v>1541</v>
      </c>
      <c r="D266" s="1" t="str">
        <f t="shared" si="62"/>
        <v/>
      </c>
    </row>
    <row r="267" spans="1:4" x14ac:dyDescent="0.45">
      <c r="A267" s="2">
        <v>46061</v>
      </c>
      <c r="B267" s="2">
        <f t="shared" si="56"/>
        <v>48782.75</v>
      </c>
      <c r="C267" s="1">
        <f t="shared" si="64"/>
        <v>1541</v>
      </c>
      <c r="D267" s="1" t="str">
        <f t="shared" si="62"/>
        <v>time-skip</v>
      </c>
    </row>
    <row r="268" spans="1:4" x14ac:dyDescent="0.45">
      <c r="A268" s="2">
        <v>46062</v>
      </c>
      <c r="B268" s="5">
        <f t="shared" ref="B268:B331" si="65">B261+93-DAY(B261+93)+1</f>
        <v>48853.75</v>
      </c>
      <c r="C268" s="1">
        <f t="shared" si="64"/>
        <v>1541</v>
      </c>
      <c r="D268" s="1" t="str">
        <f t="shared" si="62"/>
        <v/>
      </c>
    </row>
    <row r="269" spans="1:4" x14ac:dyDescent="0.45">
      <c r="A269" s="2">
        <v>46063</v>
      </c>
      <c r="B269" s="2">
        <f t="shared" ref="B269" si="66">B268+3</f>
        <v>48856.75</v>
      </c>
      <c r="C269" s="1">
        <f t="shared" si="64"/>
        <v>1541</v>
      </c>
      <c r="D269" s="1" t="str">
        <f t="shared" si="62"/>
        <v/>
      </c>
    </row>
    <row r="270" spans="1:4" x14ac:dyDescent="0.45">
      <c r="A270" s="2">
        <v>46064</v>
      </c>
      <c r="B270" s="2">
        <f t="shared" si="56"/>
        <v>48860.75</v>
      </c>
      <c r="C270" s="1">
        <f t="shared" si="64"/>
        <v>1541</v>
      </c>
      <c r="D270" s="1" t="str">
        <f t="shared" si="62"/>
        <v/>
      </c>
    </row>
    <row r="271" spans="1:4" x14ac:dyDescent="0.45">
      <c r="A271" s="2">
        <v>46065</v>
      </c>
      <c r="B271" s="2">
        <f t="shared" si="56"/>
        <v>48863.75</v>
      </c>
      <c r="C271" s="1">
        <f t="shared" si="64"/>
        <v>1541</v>
      </c>
      <c r="D271" s="1" t="str">
        <f t="shared" si="62"/>
        <v/>
      </c>
    </row>
    <row r="272" spans="1:4" x14ac:dyDescent="0.45">
      <c r="A272" s="2">
        <v>46066</v>
      </c>
      <c r="B272" s="2">
        <f t="shared" si="56"/>
        <v>48867.75</v>
      </c>
      <c r="C272" s="1">
        <f t="shared" si="64"/>
        <v>1541</v>
      </c>
      <c r="D272" s="1" t="str">
        <f t="shared" si="62"/>
        <v/>
      </c>
    </row>
    <row r="273" spans="1:4" x14ac:dyDescent="0.45">
      <c r="A273" s="2">
        <v>46067</v>
      </c>
      <c r="B273" s="2">
        <f t="shared" si="56"/>
        <v>48870.75</v>
      </c>
      <c r="C273" s="1">
        <f t="shared" si="64"/>
        <v>1541</v>
      </c>
      <c r="D273" s="1" t="str">
        <f t="shared" si="62"/>
        <v/>
      </c>
    </row>
    <row r="274" spans="1:4" x14ac:dyDescent="0.45">
      <c r="A274" s="2">
        <v>46068</v>
      </c>
      <c r="B274" s="2">
        <f t="shared" si="56"/>
        <v>48874.75</v>
      </c>
      <c r="C274" s="1">
        <f t="shared" si="64"/>
        <v>1541</v>
      </c>
      <c r="D274" s="1" t="str">
        <f t="shared" si="62"/>
        <v>time-skip</v>
      </c>
    </row>
    <row r="275" spans="1:4" x14ac:dyDescent="0.45">
      <c r="A275" s="2">
        <v>46069</v>
      </c>
      <c r="B275" s="5">
        <f t="shared" si="65"/>
        <v>48945.75</v>
      </c>
      <c r="C275" s="1">
        <f t="shared" si="64"/>
        <v>1542</v>
      </c>
      <c r="D275" s="1" t="str">
        <f t="shared" si="62"/>
        <v/>
      </c>
    </row>
    <row r="276" spans="1:4" x14ac:dyDescent="0.45">
      <c r="A276" s="2">
        <v>46070</v>
      </c>
      <c r="B276" s="2">
        <f t="shared" ref="B276" si="67">B275+3</f>
        <v>48948.75</v>
      </c>
      <c r="C276" s="1">
        <f t="shared" si="64"/>
        <v>1542</v>
      </c>
      <c r="D276" s="1" t="str">
        <f t="shared" si="62"/>
        <v/>
      </c>
    </row>
    <row r="277" spans="1:4" x14ac:dyDescent="0.45">
      <c r="A277" s="2">
        <v>46071</v>
      </c>
      <c r="B277" s="2">
        <f t="shared" si="56"/>
        <v>48952.75</v>
      </c>
      <c r="C277" s="1">
        <f t="shared" si="64"/>
        <v>1542</v>
      </c>
      <c r="D277" s="1" t="str">
        <f t="shared" si="62"/>
        <v/>
      </c>
    </row>
    <row r="278" spans="1:4" x14ac:dyDescent="0.45">
      <c r="A278" s="2">
        <v>46072</v>
      </c>
      <c r="B278" s="2">
        <f t="shared" si="56"/>
        <v>48955.75</v>
      </c>
      <c r="C278" s="1">
        <f t="shared" si="64"/>
        <v>1542</v>
      </c>
      <c r="D278" s="1" t="str">
        <f t="shared" si="62"/>
        <v/>
      </c>
    </row>
    <row r="279" spans="1:4" x14ac:dyDescent="0.45">
      <c r="A279" s="2">
        <v>46073</v>
      </c>
      <c r="B279" s="2">
        <f t="shared" si="56"/>
        <v>48959.75</v>
      </c>
      <c r="C279" s="1">
        <f t="shared" si="64"/>
        <v>1542</v>
      </c>
      <c r="D279" s="1" t="str">
        <f t="shared" si="62"/>
        <v/>
      </c>
    </row>
    <row r="280" spans="1:4" x14ac:dyDescent="0.45">
      <c r="A280" s="2">
        <v>46074</v>
      </c>
      <c r="B280" s="2">
        <f t="shared" si="56"/>
        <v>48962.75</v>
      </c>
      <c r="C280" s="1">
        <f t="shared" si="64"/>
        <v>1542</v>
      </c>
      <c r="D280" s="1" t="str">
        <f t="shared" si="62"/>
        <v/>
      </c>
    </row>
    <row r="281" spans="1:4" x14ac:dyDescent="0.45">
      <c r="A281" s="2">
        <v>46075</v>
      </c>
      <c r="B281" s="2">
        <f t="shared" si="56"/>
        <v>48966.75</v>
      </c>
      <c r="C281" s="1">
        <f t="shared" si="64"/>
        <v>1542</v>
      </c>
      <c r="D281" s="1" t="str">
        <f t="shared" si="62"/>
        <v>time-skip</v>
      </c>
    </row>
    <row r="282" spans="1:4" x14ac:dyDescent="0.45">
      <c r="A282" s="2">
        <v>46076</v>
      </c>
      <c r="B282" s="5">
        <f t="shared" si="65"/>
        <v>49035.75</v>
      </c>
      <c r="C282" s="1">
        <f t="shared" si="64"/>
        <v>1542</v>
      </c>
      <c r="D282" s="1" t="str">
        <f t="shared" si="62"/>
        <v/>
      </c>
    </row>
    <row r="283" spans="1:4" x14ac:dyDescent="0.45">
      <c r="A283" s="2">
        <v>46077</v>
      </c>
      <c r="B283" s="2">
        <f t="shared" ref="B283" si="68">B282+3</f>
        <v>49038.75</v>
      </c>
      <c r="C283" s="1">
        <f t="shared" si="64"/>
        <v>1542</v>
      </c>
      <c r="D283" s="1" t="str">
        <f t="shared" si="62"/>
        <v/>
      </c>
    </row>
    <row r="284" spans="1:4" x14ac:dyDescent="0.45">
      <c r="A284" s="2">
        <v>46078</v>
      </c>
      <c r="B284" s="2">
        <f t="shared" si="56"/>
        <v>49042.75</v>
      </c>
      <c r="C284" s="1">
        <f t="shared" si="64"/>
        <v>1542</v>
      </c>
      <c r="D284" s="1" t="str">
        <f t="shared" si="62"/>
        <v/>
      </c>
    </row>
    <row r="285" spans="1:4" x14ac:dyDescent="0.45">
      <c r="A285" s="2">
        <v>46079</v>
      </c>
      <c r="B285" s="2">
        <f t="shared" si="56"/>
        <v>49045.75</v>
      </c>
      <c r="C285" s="1">
        <f t="shared" si="64"/>
        <v>1542</v>
      </c>
      <c r="D285" s="1" t="str">
        <f t="shared" si="62"/>
        <v/>
      </c>
    </row>
    <row r="286" spans="1:4" x14ac:dyDescent="0.45">
      <c r="A286" s="2">
        <v>46080</v>
      </c>
      <c r="B286" s="2">
        <f t="shared" si="56"/>
        <v>49049.75</v>
      </c>
      <c r="C286" s="1">
        <f t="shared" si="64"/>
        <v>1542</v>
      </c>
      <c r="D286" s="1" t="str">
        <f t="shared" si="62"/>
        <v/>
      </c>
    </row>
    <row r="287" spans="1:4" x14ac:dyDescent="0.45">
      <c r="A287" s="2">
        <v>46081</v>
      </c>
      <c r="B287" s="2">
        <f t="shared" si="56"/>
        <v>49052.75</v>
      </c>
      <c r="C287" s="1">
        <f t="shared" si="64"/>
        <v>1542</v>
      </c>
      <c r="D287" s="1" t="str">
        <f t="shared" si="62"/>
        <v/>
      </c>
    </row>
    <row r="288" spans="1:4" x14ac:dyDescent="0.45">
      <c r="A288" s="2">
        <v>46082</v>
      </c>
      <c r="B288" s="2">
        <f t="shared" si="56"/>
        <v>49056.75</v>
      </c>
      <c r="C288" s="1">
        <f t="shared" si="64"/>
        <v>1542</v>
      </c>
      <c r="D288" s="1" t="str">
        <f t="shared" si="62"/>
        <v>time-skip</v>
      </c>
    </row>
    <row r="289" spans="1:4" x14ac:dyDescent="0.45">
      <c r="A289" s="2">
        <v>46083</v>
      </c>
      <c r="B289" s="5">
        <f t="shared" si="65"/>
        <v>49126.75</v>
      </c>
      <c r="C289" s="1">
        <f t="shared" si="64"/>
        <v>1542</v>
      </c>
      <c r="D289" s="1" t="str">
        <f t="shared" si="62"/>
        <v/>
      </c>
    </row>
    <row r="290" spans="1:4" x14ac:dyDescent="0.45">
      <c r="A290" s="2">
        <v>46084</v>
      </c>
      <c r="B290" s="2">
        <f t="shared" ref="B290" si="69">B289+3</f>
        <v>49129.75</v>
      </c>
      <c r="C290" s="1">
        <f t="shared" si="64"/>
        <v>1542</v>
      </c>
      <c r="D290" s="1" t="str">
        <f t="shared" si="62"/>
        <v/>
      </c>
    </row>
    <row r="291" spans="1:4" x14ac:dyDescent="0.45">
      <c r="A291" s="2">
        <v>46085</v>
      </c>
      <c r="B291" s="2">
        <f t="shared" si="56"/>
        <v>49133.75</v>
      </c>
      <c r="C291" s="1">
        <f t="shared" si="64"/>
        <v>1542</v>
      </c>
      <c r="D291" s="1" t="str">
        <f t="shared" si="62"/>
        <v/>
      </c>
    </row>
    <row r="292" spans="1:4" x14ac:dyDescent="0.45">
      <c r="A292" s="2">
        <v>46086</v>
      </c>
      <c r="B292" s="2">
        <f t="shared" ref="B292:B330" si="70">B290+7</f>
        <v>49136.75</v>
      </c>
      <c r="C292" s="1">
        <f t="shared" si="64"/>
        <v>1542</v>
      </c>
      <c r="D292" s="1" t="str">
        <f t="shared" si="62"/>
        <v/>
      </c>
    </row>
    <row r="293" spans="1:4" x14ac:dyDescent="0.45">
      <c r="A293" s="2">
        <v>46087</v>
      </c>
      <c r="B293" s="2">
        <f t="shared" si="70"/>
        <v>49140.75</v>
      </c>
      <c r="C293" s="1">
        <f t="shared" si="64"/>
        <v>1542</v>
      </c>
      <c r="D293" s="1" t="str">
        <f t="shared" si="62"/>
        <v/>
      </c>
    </row>
    <row r="294" spans="1:4" x14ac:dyDescent="0.45">
      <c r="A294" s="2">
        <v>46088</v>
      </c>
      <c r="B294" s="2">
        <f t="shared" si="70"/>
        <v>49143.75</v>
      </c>
      <c r="C294" s="1">
        <f t="shared" si="64"/>
        <v>1542</v>
      </c>
      <c r="D294" s="1" t="str">
        <f t="shared" si="62"/>
        <v/>
      </c>
    </row>
    <row r="295" spans="1:4" x14ac:dyDescent="0.45">
      <c r="A295" s="2">
        <v>46089</v>
      </c>
      <c r="B295" s="2">
        <f t="shared" si="70"/>
        <v>49147.75</v>
      </c>
      <c r="C295" s="1">
        <f t="shared" si="64"/>
        <v>1542</v>
      </c>
      <c r="D295" s="1" t="str">
        <f t="shared" si="62"/>
        <v>time-skip</v>
      </c>
    </row>
    <row r="296" spans="1:4" x14ac:dyDescent="0.45">
      <c r="A296" s="2">
        <v>46090</v>
      </c>
      <c r="B296" s="5">
        <f t="shared" si="65"/>
        <v>49218.75</v>
      </c>
      <c r="C296" s="1">
        <f t="shared" si="64"/>
        <v>1542</v>
      </c>
      <c r="D296" s="1" t="str">
        <f t="shared" si="62"/>
        <v/>
      </c>
    </row>
    <row r="297" spans="1:4" x14ac:dyDescent="0.45">
      <c r="A297" s="2">
        <v>46091</v>
      </c>
      <c r="B297" s="2">
        <f t="shared" ref="B297" si="71">B296+3</f>
        <v>49221.75</v>
      </c>
      <c r="C297" s="1">
        <f t="shared" si="64"/>
        <v>1542</v>
      </c>
      <c r="D297" s="1" t="str">
        <f t="shared" si="62"/>
        <v/>
      </c>
    </row>
    <row r="298" spans="1:4" x14ac:dyDescent="0.45">
      <c r="A298" s="2">
        <v>46092</v>
      </c>
      <c r="B298" s="2">
        <f t="shared" ref="B298:B326" si="72">B296+7</f>
        <v>49225.75</v>
      </c>
      <c r="C298" s="1">
        <f t="shared" si="64"/>
        <v>1542</v>
      </c>
      <c r="D298" s="1" t="str">
        <f t="shared" si="62"/>
        <v/>
      </c>
    </row>
    <row r="299" spans="1:4" x14ac:dyDescent="0.45">
      <c r="A299" s="2">
        <v>46093</v>
      </c>
      <c r="B299" s="2">
        <f t="shared" si="70"/>
        <v>49228.75</v>
      </c>
      <c r="C299" s="1">
        <f t="shared" si="64"/>
        <v>1542</v>
      </c>
      <c r="D299" s="1" t="str">
        <f t="shared" si="62"/>
        <v/>
      </c>
    </row>
    <row r="300" spans="1:4" x14ac:dyDescent="0.45">
      <c r="A300" s="2">
        <v>46094</v>
      </c>
      <c r="B300" s="2">
        <f t="shared" si="70"/>
        <v>49232.75</v>
      </c>
      <c r="C300" s="1">
        <f t="shared" si="64"/>
        <v>1542</v>
      </c>
      <c r="D300" s="1" t="str">
        <f t="shared" si="62"/>
        <v/>
      </c>
    </row>
    <row r="301" spans="1:4" x14ac:dyDescent="0.45">
      <c r="A301" s="2">
        <v>46095</v>
      </c>
      <c r="B301" s="2">
        <f t="shared" si="70"/>
        <v>49235.75</v>
      </c>
      <c r="C301" s="1">
        <f t="shared" si="64"/>
        <v>1542</v>
      </c>
      <c r="D301" s="1" t="str">
        <f t="shared" si="62"/>
        <v/>
      </c>
    </row>
    <row r="302" spans="1:4" x14ac:dyDescent="0.45">
      <c r="A302" s="2">
        <v>46096</v>
      </c>
      <c r="B302" s="2">
        <f t="shared" si="70"/>
        <v>49239.75</v>
      </c>
      <c r="C302" s="1">
        <f t="shared" si="64"/>
        <v>1542</v>
      </c>
      <c r="D302" s="1" t="str">
        <f t="shared" si="62"/>
        <v>time-skip</v>
      </c>
    </row>
    <row r="303" spans="1:4" x14ac:dyDescent="0.45">
      <c r="A303" s="2">
        <v>46097</v>
      </c>
      <c r="B303" s="5">
        <f t="shared" si="65"/>
        <v>49310.75</v>
      </c>
      <c r="C303" s="1">
        <f t="shared" si="64"/>
        <v>1543</v>
      </c>
      <c r="D303" s="1" t="str">
        <f t="shared" si="62"/>
        <v/>
      </c>
    </row>
    <row r="304" spans="1:4" x14ac:dyDescent="0.45">
      <c r="A304" s="2">
        <v>46098</v>
      </c>
      <c r="B304" s="2">
        <f t="shared" ref="B304" si="73">B303+3</f>
        <v>49313.75</v>
      </c>
      <c r="C304" s="1">
        <f t="shared" si="64"/>
        <v>1543</v>
      </c>
      <c r="D304" s="1" t="str">
        <f t="shared" si="62"/>
        <v/>
      </c>
    </row>
    <row r="305" spans="1:4" x14ac:dyDescent="0.45">
      <c r="A305" s="2">
        <v>46099</v>
      </c>
      <c r="B305" s="2">
        <f t="shared" si="72"/>
        <v>49317.75</v>
      </c>
      <c r="C305" s="1">
        <f t="shared" si="64"/>
        <v>1543</v>
      </c>
      <c r="D305" s="1" t="str">
        <f t="shared" si="62"/>
        <v/>
      </c>
    </row>
    <row r="306" spans="1:4" x14ac:dyDescent="0.45">
      <c r="A306" s="2">
        <v>46100</v>
      </c>
      <c r="B306" s="2">
        <f t="shared" si="70"/>
        <v>49320.75</v>
      </c>
      <c r="C306" s="1">
        <f t="shared" si="64"/>
        <v>1543</v>
      </c>
      <c r="D306" s="1" t="str">
        <f t="shared" si="62"/>
        <v/>
      </c>
    </row>
    <row r="307" spans="1:4" x14ac:dyDescent="0.45">
      <c r="A307" s="2">
        <v>46101</v>
      </c>
      <c r="B307" s="2">
        <f t="shared" si="70"/>
        <v>49324.75</v>
      </c>
      <c r="C307" s="1">
        <f t="shared" si="64"/>
        <v>1543</v>
      </c>
      <c r="D307" s="1" t="str">
        <f t="shared" si="62"/>
        <v/>
      </c>
    </row>
    <row r="308" spans="1:4" x14ac:dyDescent="0.45">
      <c r="A308" s="2">
        <v>46102</v>
      </c>
      <c r="B308" s="2">
        <f t="shared" si="70"/>
        <v>49327.75</v>
      </c>
      <c r="C308" s="1">
        <f t="shared" si="64"/>
        <v>1543</v>
      </c>
      <c r="D308" s="1" t="str">
        <f t="shared" si="62"/>
        <v/>
      </c>
    </row>
    <row r="309" spans="1:4" x14ac:dyDescent="0.45">
      <c r="A309" s="2">
        <v>46103</v>
      </c>
      <c r="B309" s="2">
        <f t="shared" si="70"/>
        <v>49331.75</v>
      </c>
      <c r="C309" s="1">
        <f t="shared" si="64"/>
        <v>1543</v>
      </c>
      <c r="D309" s="1" t="str">
        <f t="shared" si="62"/>
        <v>time-skip</v>
      </c>
    </row>
    <row r="310" spans="1:4" x14ac:dyDescent="0.45">
      <c r="A310" s="2">
        <v>46104</v>
      </c>
      <c r="B310" s="5">
        <f t="shared" si="65"/>
        <v>49400.75</v>
      </c>
      <c r="C310" s="1">
        <f t="shared" si="64"/>
        <v>1543</v>
      </c>
      <c r="D310" s="1" t="str">
        <f t="shared" si="62"/>
        <v/>
      </c>
    </row>
    <row r="311" spans="1:4" x14ac:dyDescent="0.45">
      <c r="A311" s="2">
        <v>46105</v>
      </c>
      <c r="B311" s="2">
        <f t="shared" ref="B311" si="74">B310+3</f>
        <v>49403.75</v>
      </c>
      <c r="C311" s="1">
        <f t="shared" si="64"/>
        <v>1543</v>
      </c>
      <c r="D311" s="1" t="str">
        <f t="shared" si="62"/>
        <v/>
      </c>
    </row>
    <row r="312" spans="1:4" x14ac:dyDescent="0.45">
      <c r="A312" s="2">
        <v>46106</v>
      </c>
      <c r="B312" s="2">
        <f t="shared" si="72"/>
        <v>49407.75</v>
      </c>
      <c r="C312" s="1">
        <f t="shared" si="64"/>
        <v>1543</v>
      </c>
      <c r="D312" s="1" t="str">
        <f t="shared" si="62"/>
        <v/>
      </c>
    </row>
    <row r="313" spans="1:4" x14ac:dyDescent="0.45">
      <c r="A313" s="2">
        <v>46107</v>
      </c>
      <c r="B313" s="2">
        <f t="shared" si="70"/>
        <v>49410.75</v>
      </c>
      <c r="C313" s="1">
        <f t="shared" si="64"/>
        <v>1543</v>
      </c>
      <c r="D313" s="1" t="str">
        <f t="shared" si="62"/>
        <v/>
      </c>
    </row>
    <row r="314" spans="1:4" x14ac:dyDescent="0.45">
      <c r="A314" s="2">
        <v>46108</v>
      </c>
      <c r="B314" s="2">
        <f t="shared" si="70"/>
        <v>49414.75</v>
      </c>
      <c r="C314" s="1">
        <f t="shared" si="64"/>
        <v>1543</v>
      </c>
      <c r="D314" s="1" t="str">
        <f t="shared" si="62"/>
        <v/>
      </c>
    </row>
    <row r="315" spans="1:4" x14ac:dyDescent="0.45">
      <c r="A315" s="2">
        <v>46109</v>
      </c>
      <c r="B315" s="2">
        <f t="shared" si="70"/>
        <v>49417.75</v>
      </c>
      <c r="C315" s="1">
        <f t="shared" si="64"/>
        <v>1543</v>
      </c>
      <c r="D315" s="1" t="str">
        <f t="shared" si="62"/>
        <v/>
      </c>
    </row>
    <row r="316" spans="1:4" x14ac:dyDescent="0.45">
      <c r="A316" s="2">
        <v>46110</v>
      </c>
      <c r="B316" s="2">
        <f t="shared" si="70"/>
        <v>49421.75</v>
      </c>
      <c r="C316" s="1">
        <f t="shared" si="64"/>
        <v>1543</v>
      </c>
      <c r="D316" s="1" t="str">
        <f t="shared" si="62"/>
        <v>time-skip</v>
      </c>
    </row>
    <row r="317" spans="1:4" x14ac:dyDescent="0.45">
      <c r="A317" s="2">
        <v>46111</v>
      </c>
      <c r="B317" s="5">
        <f t="shared" si="65"/>
        <v>49491.75</v>
      </c>
      <c r="C317" s="1">
        <f t="shared" si="64"/>
        <v>1543</v>
      </c>
      <c r="D317" s="1" t="str">
        <f t="shared" si="62"/>
        <v/>
      </c>
    </row>
    <row r="318" spans="1:4" x14ac:dyDescent="0.45">
      <c r="A318" s="2">
        <v>46112</v>
      </c>
      <c r="B318" s="2">
        <f t="shared" ref="B318" si="75">B317+3</f>
        <v>49494.75</v>
      </c>
      <c r="C318" s="1">
        <f t="shared" si="64"/>
        <v>1543</v>
      </c>
      <c r="D318" s="1" t="str">
        <f t="shared" si="62"/>
        <v/>
      </c>
    </row>
    <row r="319" spans="1:4" x14ac:dyDescent="0.45">
      <c r="A319" s="2">
        <v>46113</v>
      </c>
      <c r="B319" s="2">
        <f t="shared" si="72"/>
        <v>49498.75</v>
      </c>
      <c r="C319" s="1">
        <f t="shared" si="64"/>
        <v>1543</v>
      </c>
      <c r="D319" s="1" t="str">
        <f t="shared" si="62"/>
        <v/>
      </c>
    </row>
    <row r="320" spans="1:4" x14ac:dyDescent="0.45">
      <c r="A320" s="2">
        <v>46114</v>
      </c>
      <c r="B320" s="2">
        <f t="shared" si="70"/>
        <v>49501.75</v>
      </c>
      <c r="C320" s="1">
        <f t="shared" si="64"/>
        <v>1543</v>
      </c>
      <c r="D320" s="1" t="str">
        <f t="shared" si="62"/>
        <v/>
      </c>
    </row>
    <row r="321" spans="1:4" x14ac:dyDescent="0.45">
      <c r="A321" s="2">
        <v>46115</v>
      </c>
      <c r="B321" s="2">
        <f t="shared" si="70"/>
        <v>49505.75</v>
      </c>
      <c r="C321" s="1">
        <f t="shared" si="64"/>
        <v>1543</v>
      </c>
      <c r="D321" s="1" t="str">
        <f t="shared" si="62"/>
        <v/>
      </c>
    </row>
    <row r="322" spans="1:4" x14ac:dyDescent="0.45">
      <c r="A322" s="2">
        <v>46116</v>
      </c>
      <c r="B322" s="2">
        <f t="shared" si="70"/>
        <v>49508.75</v>
      </c>
      <c r="C322" s="1">
        <f t="shared" si="64"/>
        <v>1543</v>
      </c>
      <c r="D322" s="1" t="str">
        <f t="shared" si="62"/>
        <v/>
      </c>
    </row>
    <row r="323" spans="1:4" x14ac:dyDescent="0.45">
      <c r="A323" s="2">
        <v>46117</v>
      </c>
      <c r="B323" s="2">
        <f t="shared" si="70"/>
        <v>49512.75</v>
      </c>
      <c r="C323" s="1">
        <f t="shared" si="64"/>
        <v>1543</v>
      </c>
      <c r="D323" s="1" t="str">
        <f t="shared" ref="D323:D331" si="76">IF(WEEKDAY(A323,2)=7,"time-skip","")</f>
        <v>time-skip</v>
      </c>
    </row>
    <row r="324" spans="1:4" x14ac:dyDescent="0.45">
      <c r="A324" s="2">
        <v>46118</v>
      </c>
      <c r="B324" s="5">
        <f t="shared" si="65"/>
        <v>49583.75</v>
      </c>
      <c r="C324" s="1">
        <f t="shared" si="64"/>
        <v>1543</v>
      </c>
      <c r="D324" s="1" t="str">
        <f t="shared" si="76"/>
        <v/>
      </c>
    </row>
    <row r="325" spans="1:4" x14ac:dyDescent="0.45">
      <c r="A325" s="2">
        <v>46119</v>
      </c>
      <c r="B325" s="2">
        <f t="shared" ref="B325" si="77">B324+3</f>
        <v>49586.75</v>
      </c>
      <c r="C325" s="1">
        <f t="shared" si="64"/>
        <v>1543</v>
      </c>
      <c r="D325" s="1" t="str">
        <f t="shared" si="76"/>
        <v/>
      </c>
    </row>
    <row r="326" spans="1:4" x14ac:dyDescent="0.45">
      <c r="A326" s="2">
        <v>46120</v>
      </c>
      <c r="B326" s="2">
        <f t="shared" si="72"/>
        <v>49590.75</v>
      </c>
      <c r="C326" s="1">
        <f t="shared" ref="C326:C331" si="78">C325+(DAY(B326)=1) * (MONTH(B326)=1)</f>
        <v>1543</v>
      </c>
      <c r="D326" s="1" t="str">
        <f t="shared" si="76"/>
        <v/>
      </c>
    </row>
    <row r="327" spans="1:4" x14ac:dyDescent="0.45">
      <c r="A327" s="2">
        <v>46121</v>
      </c>
      <c r="B327" s="2">
        <f t="shared" si="70"/>
        <v>49593.75</v>
      </c>
      <c r="C327" s="1">
        <f t="shared" si="78"/>
        <v>1543</v>
      </c>
      <c r="D327" s="1" t="str">
        <f t="shared" si="76"/>
        <v/>
      </c>
    </row>
    <row r="328" spans="1:4" x14ac:dyDescent="0.45">
      <c r="A328" s="2">
        <v>46122</v>
      </c>
      <c r="B328" s="2">
        <f t="shared" si="70"/>
        <v>49597.75</v>
      </c>
      <c r="C328" s="1">
        <f t="shared" si="78"/>
        <v>1543</v>
      </c>
      <c r="D328" s="1" t="str">
        <f t="shared" si="76"/>
        <v/>
      </c>
    </row>
    <row r="329" spans="1:4" x14ac:dyDescent="0.45">
      <c r="A329" s="2">
        <v>46123</v>
      </c>
      <c r="B329" s="2">
        <f t="shared" si="70"/>
        <v>49600.75</v>
      </c>
      <c r="C329" s="1">
        <f t="shared" si="78"/>
        <v>1543</v>
      </c>
      <c r="D329" s="1" t="str">
        <f t="shared" si="76"/>
        <v/>
      </c>
    </row>
    <row r="330" spans="1:4" x14ac:dyDescent="0.45">
      <c r="A330" s="2">
        <v>46124</v>
      </c>
      <c r="B330" s="2">
        <f t="shared" si="70"/>
        <v>49604.75</v>
      </c>
      <c r="C330" s="1">
        <f t="shared" si="78"/>
        <v>1543</v>
      </c>
      <c r="D330" s="1" t="str">
        <f t="shared" si="76"/>
        <v>time-skip</v>
      </c>
    </row>
    <row r="331" spans="1:4" x14ac:dyDescent="0.45">
      <c r="A331" s="2">
        <v>46125</v>
      </c>
      <c r="B331" s="5">
        <f t="shared" si="65"/>
        <v>49675.75</v>
      </c>
      <c r="C331" s="1">
        <f t="shared" si="78"/>
        <v>1544</v>
      </c>
      <c r="D331" s="1" t="str">
        <f t="shared" si="76"/>
        <v/>
      </c>
    </row>
    <row r="332" spans="1:4" x14ac:dyDescent="0.45">
      <c r="A332" s="2"/>
      <c r="B332" s="2"/>
    </row>
    <row r="333" spans="1:4" x14ac:dyDescent="0.45">
      <c r="A333" s="2"/>
      <c r="B333" s="2"/>
    </row>
    <row r="334" spans="1:4" x14ac:dyDescent="0.45">
      <c r="A334" s="2"/>
      <c r="B334" s="2"/>
    </row>
    <row r="335" spans="1:4" x14ac:dyDescent="0.45">
      <c r="A335" s="2"/>
      <c r="B335" s="2"/>
    </row>
    <row r="336" spans="1:4" x14ac:dyDescent="0.45">
      <c r="A336" s="2"/>
      <c r="B33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9FAE-E1DE-4631-BCC8-EF9749BBC570}">
  <dimension ref="B2:L20"/>
  <sheetViews>
    <sheetView workbookViewId="0">
      <selection activeCell="L11" sqref="L5:L11"/>
    </sheetView>
  </sheetViews>
  <sheetFormatPr defaultRowHeight="14.25" x14ac:dyDescent="0.45"/>
  <cols>
    <col min="1" max="2" width="9.06640625" style="6"/>
    <col min="3" max="3" width="12.9296875" style="6" customWidth="1"/>
    <col min="4" max="6" width="11.6640625" style="6" customWidth="1"/>
    <col min="7" max="7" width="14.6640625" style="6" customWidth="1"/>
    <col min="8" max="8" width="13.06640625" style="6" customWidth="1"/>
    <col min="9" max="9" width="9.06640625" style="6"/>
    <col min="10" max="10" width="10.73046875" style="6" customWidth="1"/>
    <col min="11" max="16384" width="9.06640625" style="6"/>
  </cols>
  <sheetData>
    <row r="2" spans="2:12" ht="15.75" x14ac:dyDescent="0.5">
      <c r="B2" s="21" t="s">
        <v>77</v>
      </c>
    </row>
    <row r="4" spans="2:12" ht="28.5" x14ac:dyDescent="0.45">
      <c r="C4" s="19" t="s">
        <v>72</v>
      </c>
      <c r="D4" s="19" t="s">
        <v>86</v>
      </c>
      <c r="E4" s="19" t="s">
        <v>87</v>
      </c>
      <c r="F4" s="19" t="s">
        <v>88</v>
      </c>
      <c r="G4" s="19" t="s">
        <v>73</v>
      </c>
      <c r="H4" s="19" t="s">
        <v>74</v>
      </c>
      <c r="I4" s="19" t="s">
        <v>75</v>
      </c>
      <c r="J4" s="19" t="s">
        <v>89</v>
      </c>
    </row>
    <row r="5" spans="2:12" x14ac:dyDescent="0.45">
      <c r="B5" s="6" t="s">
        <v>63</v>
      </c>
      <c r="C5" s="6">
        <v>500</v>
      </c>
      <c r="D5" s="6">
        <v>3</v>
      </c>
      <c r="E5" s="6">
        <v>3</v>
      </c>
      <c r="G5" s="6">
        <v>2.5</v>
      </c>
      <c r="H5" s="6">
        <f t="shared" ref="H5:H11" si="0">G5*C5</f>
        <v>1250</v>
      </c>
      <c r="I5" s="18">
        <v>4</v>
      </c>
      <c r="J5" s="18">
        <f>I5*H5/SUM(D5:F5)</f>
        <v>833.33333333333337</v>
      </c>
      <c r="L5" s="18">
        <f t="shared" ref="L5:L11" si="1">J5/C5</f>
        <v>1.6666666666666667</v>
      </c>
    </row>
    <row r="6" spans="2:12" x14ac:dyDescent="0.45">
      <c r="B6" s="6" t="s">
        <v>64</v>
      </c>
      <c r="C6" s="6">
        <v>500</v>
      </c>
      <c r="D6" s="6">
        <v>3</v>
      </c>
      <c r="E6" s="6">
        <v>3</v>
      </c>
      <c r="G6" s="6">
        <v>5</v>
      </c>
      <c r="H6" s="6">
        <f t="shared" si="0"/>
        <v>2500</v>
      </c>
      <c r="I6" s="18">
        <v>10</v>
      </c>
      <c r="J6" s="18">
        <f t="shared" ref="J6:J11" si="2">I6*H6/SUM(D6:F6)</f>
        <v>4166.666666666667</v>
      </c>
      <c r="L6" s="18">
        <f t="shared" si="1"/>
        <v>8.3333333333333339</v>
      </c>
    </row>
    <row r="7" spans="2:12" x14ac:dyDescent="0.45">
      <c r="B7" s="6" t="s">
        <v>65</v>
      </c>
      <c r="C7" s="6">
        <v>200</v>
      </c>
      <c r="D7" s="6">
        <v>3</v>
      </c>
      <c r="G7" s="6">
        <v>1.5</v>
      </c>
      <c r="H7" s="6">
        <f t="shared" si="0"/>
        <v>300</v>
      </c>
      <c r="I7" s="18">
        <v>12</v>
      </c>
      <c r="J7" s="18">
        <f t="shared" si="2"/>
        <v>1200</v>
      </c>
      <c r="L7" s="18">
        <f t="shared" si="1"/>
        <v>6</v>
      </c>
    </row>
    <row r="8" spans="2:12" x14ac:dyDescent="0.45">
      <c r="B8" s="6" t="s">
        <v>67</v>
      </c>
      <c r="C8" s="6">
        <v>200</v>
      </c>
      <c r="D8" s="6">
        <v>3</v>
      </c>
      <c r="E8" s="6">
        <v>3</v>
      </c>
      <c r="G8" s="6">
        <v>1</v>
      </c>
      <c r="H8" s="6">
        <f t="shared" si="0"/>
        <v>200</v>
      </c>
      <c r="I8" s="18">
        <v>4.5</v>
      </c>
      <c r="J8" s="18">
        <f t="shared" si="2"/>
        <v>150</v>
      </c>
      <c r="L8" s="18">
        <f t="shared" si="1"/>
        <v>0.75</v>
      </c>
    </row>
    <row r="9" spans="2:12" x14ac:dyDescent="0.45">
      <c r="B9" s="6" t="s">
        <v>69</v>
      </c>
      <c r="C9" s="6">
        <v>200</v>
      </c>
      <c r="D9" s="6">
        <v>3</v>
      </c>
      <c r="E9" s="6">
        <v>3</v>
      </c>
      <c r="G9" s="6">
        <v>10</v>
      </c>
      <c r="H9" s="6">
        <f t="shared" si="0"/>
        <v>2000</v>
      </c>
      <c r="I9" s="18">
        <v>7.0000000000000007E-2</v>
      </c>
      <c r="J9" s="18">
        <f t="shared" si="2"/>
        <v>23.333333333333332</v>
      </c>
      <c r="L9" s="18">
        <f t="shared" si="1"/>
        <v>0.11666666666666665</v>
      </c>
    </row>
    <row r="10" spans="2:12" x14ac:dyDescent="0.45">
      <c r="B10" s="6" t="s">
        <v>66</v>
      </c>
      <c r="C10" s="6">
        <v>100</v>
      </c>
      <c r="D10" s="6">
        <v>3</v>
      </c>
      <c r="F10" s="6">
        <v>3</v>
      </c>
      <c r="G10" s="6">
        <v>300</v>
      </c>
      <c r="H10" s="6">
        <f t="shared" si="0"/>
        <v>30000</v>
      </c>
      <c r="I10" s="18">
        <v>0.04</v>
      </c>
      <c r="J10" s="18">
        <f t="shared" si="2"/>
        <v>200</v>
      </c>
      <c r="L10" s="18">
        <f t="shared" si="1"/>
        <v>2</v>
      </c>
    </row>
    <row r="11" spans="2:12" x14ac:dyDescent="0.45">
      <c r="B11" s="6" t="s">
        <v>68</v>
      </c>
      <c r="C11" s="6">
        <v>100</v>
      </c>
      <c r="D11" s="6">
        <v>3</v>
      </c>
      <c r="E11" s="6">
        <v>3</v>
      </c>
      <c r="F11" s="6">
        <v>3</v>
      </c>
      <c r="G11" s="6">
        <v>150</v>
      </c>
      <c r="H11" s="6">
        <f t="shared" si="0"/>
        <v>15000</v>
      </c>
      <c r="I11" s="18">
        <v>0.25</v>
      </c>
      <c r="J11" s="18">
        <f t="shared" si="2"/>
        <v>416.66666666666669</v>
      </c>
      <c r="L11" s="18">
        <f t="shared" si="1"/>
        <v>4.166666666666667</v>
      </c>
    </row>
    <row r="12" spans="2:12" x14ac:dyDescent="0.45">
      <c r="B12" s="6" t="s">
        <v>78</v>
      </c>
      <c r="C12" s="20" t="s">
        <v>76</v>
      </c>
      <c r="D12" s="20" t="s">
        <v>76</v>
      </c>
      <c r="E12" s="20" t="s">
        <v>76</v>
      </c>
      <c r="F12" s="20" t="s">
        <v>76</v>
      </c>
      <c r="G12" s="20" t="s">
        <v>76</v>
      </c>
      <c r="H12" s="6">
        <v>100</v>
      </c>
      <c r="I12" s="18">
        <v>12</v>
      </c>
      <c r="J12" s="18">
        <f>I12*H12/12</f>
        <v>100</v>
      </c>
    </row>
    <row r="13" spans="2:12" x14ac:dyDescent="0.45">
      <c r="B13" s="6" t="s">
        <v>71</v>
      </c>
      <c r="C13" s="20" t="s">
        <v>76</v>
      </c>
      <c r="D13" s="20" t="s">
        <v>76</v>
      </c>
      <c r="E13" s="20" t="s">
        <v>76</v>
      </c>
      <c r="F13" s="20" t="s">
        <v>76</v>
      </c>
      <c r="G13" s="20" t="s">
        <v>76</v>
      </c>
      <c r="H13" s="6">
        <v>300</v>
      </c>
      <c r="I13" s="18">
        <v>10</v>
      </c>
      <c r="J13" s="18">
        <f>I13*H13/12</f>
        <v>250</v>
      </c>
    </row>
    <row r="19" spans="3:10" x14ac:dyDescent="0.45">
      <c r="C19" s="6">
        <v>189</v>
      </c>
      <c r="D19" s="6" t="s">
        <v>82</v>
      </c>
      <c r="E19" s="6">
        <v>1</v>
      </c>
      <c r="F19" s="6" t="s">
        <v>84</v>
      </c>
      <c r="G19" s="6">
        <v>500</v>
      </c>
      <c r="H19" s="6" t="s">
        <v>85</v>
      </c>
      <c r="I19" s="6">
        <v>10</v>
      </c>
      <c r="J19" s="6" t="s">
        <v>62</v>
      </c>
    </row>
    <row r="20" spans="3:10" x14ac:dyDescent="0.45">
      <c r="C20" s="6">
        <f>C19/3*3.6</f>
        <v>226.8</v>
      </c>
      <c r="D20" s="6" t="s">
        <v>83</v>
      </c>
      <c r="E20" s="9">
        <f>E19*10000/3.6</f>
        <v>2777.7777777777778</v>
      </c>
      <c r="F20" s="6" t="s">
        <v>85</v>
      </c>
      <c r="G20" s="6">
        <f>G19*3.6/10000</f>
        <v>0.18</v>
      </c>
      <c r="H20" s="6" t="s">
        <v>84</v>
      </c>
      <c r="I20" s="6">
        <f>I19*100/0.375/10000*3.6</f>
        <v>0.96</v>
      </c>
      <c r="J20" s="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Nic</vt:lpstr>
      <vt:lpstr>Cris</vt:lpstr>
      <vt:lpstr>Peter</vt:lpstr>
      <vt:lpstr>Zilla</vt:lpstr>
      <vt:lpstr>Vito</vt:lpstr>
      <vt:lpstr>Kleit</vt:lpstr>
      <vt:lpstr>Economia</vt:lpstr>
      <vt:lpstr>Katane</vt:lpstr>
      <vt:lpstr>Cash-flow</vt:lpstr>
      <vt:lpstr>Calendario</vt:lpstr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Cusma Fait</dc:creator>
  <cp:lastModifiedBy>Omar Cusma Fait</cp:lastModifiedBy>
  <dcterms:created xsi:type="dcterms:W3CDTF">2025-05-15T10:25:52Z</dcterms:created>
  <dcterms:modified xsi:type="dcterms:W3CDTF">2026-01-01T05:25:26Z</dcterms:modified>
</cp:coreProperties>
</file>